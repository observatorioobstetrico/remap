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 1 APS + Leitos Nec." sheetId="1" r:id="rId4"/>
    <sheet state="visible" name="RRAS 6 - Tabela 1 APS + Leitos " sheetId="2" r:id="rId5"/>
    <sheet state="visible" name="Tabela 1 APS - Ref. AAE + BR" sheetId="3" r:id="rId6"/>
    <sheet state="visible" name="RRAS 6 - Tabela 1 Ref. AAE + BR" sheetId="4" r:id="rId7"/>
    <sheet state="visible" name="Tabela 1 APS + Leitos Nec. TOTA" sheetId="5" r:id="rId8"/>
    <sheet state="visible" name="Descr. Tabela 1 APS + Leitos Ne" sheetId="6" r:id="rId9"/>
    <sheet state="visible" name="Descr. de Tabela 1 APS - Ref. A" sheetId="7" r:id="rId10"/>
    <sheet state="visible" name="tabela 2 AGAR" sheetId="8" r:id="rId11"/>
    <sheet state="visible" name="tabela 3 ANEO" sheetId="9" r:id="rId12"/>
  </sheets>
  <externalReferences>
    <externalReference r:id="rId13"/>
  </externalReferences>
  <definedNames>
    <definedName hidden="1" localSheetId="0" name="_xlnm._FilterDatabase">'Tabela 1 APS + Leitos Nec.'!$A$1:$Y$645</definedName>
  </definedNames>
  <calcPr/>
  <extLst>
    <ext uri="GoogleSheetsCustomDataVersion2">
      <go:sheetsCustomData xmlns:go="http://customooxmlschemas.google.com/" r:id="rId14" roundtripDataChecksum="NmAdYgXyhD6JdMhfXbX4S0k5rokgqIg4QNGypIXaW60="/>
    </ext>
  </extLst>
</workbook>
</file>

<file path=xl/sharedStrings.xml><?xml version="1.0" encoding="utf-8"?>
<sst xmlns="http://schemas.openxmlformats.org/spreadsheetml/2006/main" count="23515" uniqueCount="1369">
  <si>
    <t>RRAS</t>
  </si>
  <si>
    <t>DRS</t>
  </si>
  <si>
    <t>REGIÃO DE SAÚDE</t>
  </si>
  <si>
    <t>MUNICÍPIO DA RRAS</t>
  </si>
  <si>
    <t xml:space="preserve">NASCIDOS VIVOS </t>
  </si>
  <si>
    <t>COBERTURA ANS (%)</t>
  </si>
  <si>
    <t>Nº DE UBS</t>
  </si>
  <si>
    <t>COBERTURA ESF (%)</t>
  </si>
  <si>
    <t>COBERTURA AB (%)</t>
  </si>
  <si>
    <t>GESTANTES SUSDEPENDENTES ESTIMADAS/ANO</t>
  </si>
  <si>
    <t>NASCIDOS VIVOS SUSDEPENDENTES ESTIMADOS/ANO</t>
  </si>
  <si>
    <t>LEITOS OBSTÉTRICOS</t>
  </si>
  <si>
    <t>LEITOS GAR PARA ATENDER AS GESTANTES SUSDEPENDENTES DO MUNICÍPIO - RRAS</t>
  </si>
  <si>
    <t>LEITOS UTI ADULTO</t>
  </si>
  <si>
    <t>LEITOS UTIN</t>
  </si>
  <si>
    <t>LEITOS UCINCO</t>
  </si>
  <si>
    <t>LEITOS UCINCA</t>
  </si>
  <si>
    <t>CPN I: 3 LEITOS</t>
  </si>
  <si>
    <t>CPN I: 5 LEITOS</t>
  </si>
  <si>
    <t>CPN II: 3 LEITOS</t>
  </si>
  <si>
    <t>CPN II: 5 LEITOS</t>
  </si>
  <si>
    <t>CGBP: 10 LEITOS</t>
  </si>
  <si>
    <t>CGBP: 15 LEITOS</t>
  </si>
  <si>
    <t>CGBP: 20 LEITOS</t>
  </si>
  <si>
    <t>BLH</t>
  </si>
  <si>
    <t>RRAS 1</t>
  </si>
  <si>
    <t>Grande São Paulo</t>
  </si>
  <si>
    <t>Grande ABC</t>
  </si>
  <si>
    <t>Diadema</t>
  </si>
  <si>
    <t>Mauá</t>
  </si>
  <si>
    <t>Ribeirão Pires</t>
  </si>
  <si>
    <t>Rio Grande da Serra</t>
  </si>
  <si>
    <t>Santo André</t>
  </si>
  <si>
    <t>São Bernardo do Campo</t>
  </si>
  <si>
    <t>São Caetano do Sul</t>
  </si>
  <si>
    <t>RRAS 2</t>
  </si>
  <si>
    <t>Alto Tietê</t>
  </si>
  <si>
    <t>Arujá</t>
  </si>
  <si>
    <t>Biritiba Mirim</t>
  </si>
  <si>
    <t>Ferraz de Vasconcelos</t>
  </si>
  <si>
    <t>Guararema</t>
  </si>
  <si>
    <t>Guarulhos</t>
  </si>
  <si>
    <t>Itaquaquecetuba</t>
  </si>
  <si>
    <t>Mogi das Cruzes</t>
  </si>
  <si>
    <t>Poá</t>
  </si>
  <si>
    <t>Salesópolis</t>
  </si>
  <si>
    <t>Santa Isabel</t>
  </si>
  <si>
    <t>Suzano</t>
  </si>
  <si>
    <t>RRAS 3</t>
  </si>
  <si>
    <t>Franco da Rocha</t>
  </si>
  <si>
    <t>Caieiras</t>
  </si>
  <si>
    <t>Cajamar</t>
  </si>
  <si>
    <t>Francisco Morato</t>
  </si>
  <si>
    <t>Mairiporã</t>
  </si>
  <si>
    <t>RRAS 4</t>
  </si>
  <si>
    <t>Mananciais</t>
  </si>
  <si>
    <t>Cotia</t>
  </si>
  <si>
    <t>Embu das Artes</t>
  </si>
  <si>
    <t>Embu Guaçu</t>
  </si>
  <si>
    <t>Itapecerica da Serra</t>
  </si>
  <si>
    <t>Juquitiba</t>
  </si>
  <si>
    <t>São Lourenço da Serra</t>
  </si>
  <si>
    <t>Taboão da Serra</t>
  </si>
  <si>
    <t>Vargem Grande Paulista</t>
  </si>
  <si>
    <t>RRAS 5</t>
  </si>
  <si>
    <t>Rota dos Bandeirantes</t>
  </si>
  <si>
    <t>Barueri</t>
  </si>
  <si>
    <t>Carapicuíba</t>
  </si>
  <si>
    <t>Itapevi</t>
  </si>
  <si>
    <t>Jandira</t>
  </si>
  <si>
    <t>Osasco</t>
  </si>
  <si>
    <t>Pirapora do Bom Jesus</t>
  </si>
  <si>
    <t>Santana de Parnaíba</t>
  </si>
  <si>
    <t>RRAS 7</t>
  </si>
  <si>
    <t>Baixada Santista</t>
  </si>
  <si>
    <t>Bertioga</t>
  </si>
  <si>
    <t>Cubatão</t>
  </si>
  <si>
    <t>Guarujá</t>
  </si>
  <si>
    <t>Itanhaém</t>
  </si>
  <si>
    <t>Mongaguá</t>
  </si>
  <si>
    <t>Peruíbe</t>
  </si>
  <si>
    <t>Praia Grande</t>
  </si>
  <si>
    <t>Santos</t>
  </si>
  <si>
    <t>São Vicente</t>
  </si>
  <si>
    <t>Registro</t>
  </si>
  <si>
    <t>Vale do Ribeira</t>
  </si>
  <si>
    <t>Barra do Turvo</t>
  </si>
  <si>
    <t>Cajati</t>
  </si>
  <si>
    <t>Cananeia</t>
  </si>
  <si>
    <t>Eldorado</t>
  </si>
  <si>
    <t>Iguape</t>
  </si>
  <si>
    <t>Ilha Comprida</t>
  </si>
  <si>
    <t>Iporanga</t>
  </si>
  <si>
    <t>Itariri</t>
  </si>
  <si>
    <t>Jacupiranga</t>
  </si>
  <si>
    <t>Juquia</t>
  </si>
  <si>
    <t>Miracatu</t>
  </si>
  <si>
    <t>Pariquera Açú</t>
  </si>
  <si>
    <t>Pedro de Toledo</t>
  </si>
  <si>
    <t>Sete Barras</t>
  </si>
  <si>
    <t>RRAS 8</t>
  </si>
  <si>
    <t>Sorocaba</t>
  </si>
  <si>
    <t>Itapetininga</t>
  </si>
  <si>
    <t>Alambari</t>
  </si>
  <si>
    <t>Angatuba</t>
  </si>
  <si>
    <t>Campina do Monte Alegre</t>
  </si>
  <si>
    <t>Capão Bonito</t>
  </si>
  <si>
    <t>Cerquilho</t>
  </si>
  <si>
    <t>Cesário Lange</t>
  </si>
  <si>
    <t>Guareí</t>
  </si>
  <si>
    <t>Quadra</t>
  </si>
  <si>
    <t>Ribeirão Grande</t>
  </si>
  <si>
    <t>São Miguel Arcanjo</t>
  </si>
  <si>
    <t>Sarapuí</t>
  </si>
  <si>
    <t>Tatuí</t>
  </si>
  <si>
    <t>Itapeva</t>
  </si>
  <si>
    <t>Apiaí</t>
  </si>
  <si>
    <t>Barra do Chapéu</t>
  </si>
  <si>
    <t xml:space="preserve">Bom Sucesso do Itararé </t>
  </si>
  <si>
    <t>Buri</t>
  </si>
  <si>
    <t xml:space="preserve">Guapiara </t>
  </si>
  <si>
    <t>Itaberá</t>
  </si>
  <si>
    <t>Itaóca</t>
  </si>
  <si>
    <t xml:space="preserve">Itapeva </t>
  </si>
  <si>
    <t>Itapirapuã Paulista</t>
  </si>
  <si>
    <t>Itararé</t>
  </si>
  <si>
    <t>Nova Campina</t>
  </si>
  <si>
    <t xml:space="preserve">Ribeira </t>
  </si>
  <si>
    <t>Ribeirão Branco</t>
  </si>
  <si>
    <t>Riversul</t>
  </si>
  <si>
    <t>Taquarivaí</t>
  </si>
  <si>
    <t xml:space="preserve">Aluminio </t>
  </si>
  <si>
    <t>Araçariguama</t>
  </si>
  <si>
    <t xml:space="preserve">Araçoiaba da Serra </t>
  </si>
  <si>
    <t>Boituva</t>
  </si>
  <si>
    <t>Capela do Alto</t>
  </si>
  <si>
    <t>Ibiuna</t>
  </si>
  <si>
    <t>Iperó</t>
  </si>
  <si>
    <t>Itu</t>
  </si>
  <si>
    <t>Jumirim</t>
  </si>
  <si>
    <t>Mairinque</t>
  </si>
  <si>
    <t>Piedade</t>
  </si>
  <si>
    <t>Pilar do Sul</t>
  </si>
  <si>
    <t>Porto Feliz</t>
  </si>
  <si>
    <t>Salto</t>
  </si>
  <si>
    <t>Salto de Pirapora</t>
  </si>
  <si>
    <t>São Roque</t>
  </si>
  <si>
    <t>Tapiraí</t>
  </si>
  <si>
    <t>Tietê</t>
  </si>
  <si>
    <t>Votorantim</t>
  </si>
  <si>
    <t>RRAS 9</t>
  </si>
  <si>
    <t>Bauru</t>
  </si>
  <si>
    <t>Agudos</t>
  </si>
  <si>
    <t>Arealva</t>
  </si>
  <si>
    <t>Avaí</t>
  </si>
  <si>
    <t>Balbinos</t>
  </si>
  <si>
    <t>Borebi</t>
  </si>
  <si>
    <t>Cabrália Paulista</t>
  </si>
  <si>
    <t>Duartina</t>
  </si>
  <si>
    <t>Iacanga</t>
  </si>
  <si>
    <t>Lençóis Paulista</t>
  </si>
  <si>
    <t>Lucianópolis</t>
  </si>
  <si>
    <t>Macatuba</t>
  </si>
  <si>
    <t>Paulistânia</t>
  </si>
  <si>
    <t>Pederneiras</t>
  </si>
  <si>
    <t>Pirajuí</t>
  </si>
  <si>
    <t>Piratininga</t>
  </si>
  <si>
    <t>Presidente Alves</t>
  </si>
  <si>
    <t>Reginópolis</t>
  </si>
  <si>
    <t>Jaú</t>
  </si>
  <si>
    <t>Bariri</t>
  </si>
  <si>
    <t>Barra Bonita</t>
  </si>
  <si>
    <t>Bocaina</t>
  </si>
  <si>
    <t>Boracéia</t>
  </si>
  <si>
    <t>Brotas</t>
  </si>
  <si>
    <t>Dois Córregos</t>
  </si>
  <si>
    <t>Igaraçu do Tietê</t>
  </si>
  <si>
    <t>Itaju</t>
  </si>
  <si>
    <t>Itapuí</t>
  </si>
  <si>
    <t>Mineiros do Tietê</t>
  </si>
  <si>
    <t>Torrinha</t>
  </si>
  <si>
    <t>Lins</t>
  </si>
  <si>
    <t>Cafelândia</t>
  </si>
  <si>
    <t>Getulina</t>
  </si>
  <si>
    <t>Guaiçara</t>
  </si>
  <si>
    <t>Pongai</t>
  </si>
  <si>
    <t>Promissão</t>
  </si>
  <si>
    <t>Sabino</t>
  </si>
  <si>
    <t>Uru</t>
  </si>
  <si>
    <t>Polo Cuesta</t>
  </si>
  <si>
    <t>Anhembi</t>
  </si>
  <si>
    <t>Areiópolis</t>
  </si>
  <si>
    <t>Bofete</t>
  </si>
  <si>
    <t>Botucatu</t>
  </si>
  <si>
    <t>Conchas</t>
  </si>
  <si>
    <t>Itatinga</t>
  </si>
  <si>
    <t>Laranjal Paulista</t>
  </si>
  <si>
    <t>Pardinho</t>
  </si>
  <si>
    <t>Pereiras</t>
  </si>
  <si>
    <t>Porangaba</t>
  </si>
  <si>
    <t>Pratânia</t>
  </si>
  <si>
    <t>São Manuel</t>
  </si>
  <si>
    <t>Torre de Pedra</t>
  </si>
  <si>
    <t>Vale do Jurumirim</t>
  </si>
  <si>
    <t>Águas de Santa Bárbara</t>
  </si>
  <si>
    <t>Arandu</t>
  </si>
  <si>
    <t>Avaré</t>
  </si>
  <si>
    <t>Barão de Antonina</t>
  </si>
  <si>
    <t>Cerqueira César</t>
  </si>
  <si>
    <t>Coronel Macedo</t>
  </si>
  <si>
    <t>Fartura</t>
  </si>
  <si>
    <t>Iaras</t>
  </si>
  <si>
    <t>Itaí</t>
  </si>
  <si>
    <t>Itaporanga</t>
  </si>
  <si>
    <t>Manduri</t>
  </si>
  <si>
    <t>Paranapanema</t>
  </si>
  <si>
    <t>Piraju</t>
  </si>
  <si>
    <t>Sarutaia</t>
  </si>
  <si>
    <t>Taguaí</t>
  </si>
  <si>
    <t>Taquarituba</t>
  </si>
  <si>
    <t>Tejupá</t>
  </si>
  <si>
    <t>RRAS 10</t>
  </si>
  <si>
    <t>Marília</t>
  </si>
  <si>
    <t>Adamantina</t>
  </si>
  <si>
    <t>Flórida Paulista</t>
  </si>
  <si>
    <t>Inúbia Paulista</t>
  </si>
  <si>
    <t>Lucélia</t>
  </si>
  <si>
    <t>Mariápolis</t>
  </si>
  <si>
    <t>Osvaldo Cruz</t>
  </si>
  <si>
    <t>Pacaembu</t>
  </si>
  <si>
    <t>Pracinha</t>
  </si>
  <si>
    <t>Sagres</t>
  </si>
  <si>
    <t>Salmourão</t>
  </si>
  <si>
    <t>Assis</t>
  </si>
  <si>
    <t>Borá</t>
  </si>
  <si>
    <t>Cândido Mota</t>
  </si>
  <si>
    <t>Cruzália</t>
  </si>
  <si>
    <t>Florínia</t>
  </si>
  <si>
    <t>Lutécia</t>
  </si>
  <si>
    <t>Maracaí</t>
  </si>
  <si>
    <t>Palmital</t>
  </si>
  <si>
    <t>Paraguaçu Paulista</t>
  </si>
  <si>
    <t>Pedrinhas Paulista</t>
  </si>
  <si>
    <t>Platina</t>
  </si>
  <si>
    <t>Tarumã</t>
  </si>
  <si>
    <t>Álvaro de Carvalho</t>
  </si>
  <si>
    <t>Alvinlândia</t>
  </si>
  <si>
    <t>Campos Novos Paulista</t>
  </si>
  <si>
    <t>Echaporã</t>
  </si>
  <si>
    <t>Fernão</t>
  </si>
  <si>
    <t>Gália</t>
  </si>
  <si>
    <t>Garça</t>
  </si>
  <si>
    <t>Guaimbê</t>
  </si>
  <si>
    <t>Guarantã</t>
  </si>
  <si>
    <t>Júlio Mesquita</t>
  </si>
  <si>
    <t>Lupércio</t>
  </si>
  <si>
    <t>Ocauçu</t>
  </si>
  <si>
    <t>Oriente</t>
  </si>
  <si>
    <t>Oscar Bressane</t>
  </si>
  <si>
    <t>Pompéia</t>
  </si>
  <si>
    <t>Quintana</t>
  </si>
  <si>
    <t>Ubirajara</t>
  </si>
  <si>
    <t>Vera Cruz</t>
  </si>
  <si>
    <t>Ourinhos</t>
  </si>
  <si>
    <t>Bernardino de Campos</t>
  </si>
  <si>
    <t>Canitar</t>
  </si>
  <si>
    <t>Chavantes</t>
  </si>
  <si>
    <t>Espírito Santo do Turvo</t>
  </si>
  <si>
    <t>Ibirarema</t>
  </si>
  <si>
    <t>Ipaussu</t>
  </si>
  <si>
    <t>Óleo</t>
  </si>
  <si>
    <t>Ribeirão do Sul</t>
  </si>
  <si>
    <t>Salto Grande</t>
  </si>
  <si>
    <t>Santa Cruz do Rio Pardo</t>
  </si>
  <si>
    <t>São Pedro do Turvo</t>
  </si>
  <si>
    <t>Timburi</t>
  </si>
  <si>
    <t>Tupã</t>
  </si>
  <si>
    <t>Arco-Íris</t>
  </si>
  <si>
    <t>Bastos</t>
  </si>
  <si>
    <t>Herculândia</t>
  </si>
  <si>
    <t>Iacri</t>
  </si>
  <si>
    <t>Parapuã</t>
  </si>
  <si>
    <t>Queiroz</t>
  </si>
  <si>
    <t>Rinópolis</t>
  </si>
  <si>
    <t>RRAS 11</t>
  </si>
  <si>
    <t>Presidente Prudente</t>
  </si>
  <si>
    <t>Alta Paulista</t>
  </si>
  <si>
    <t>Dracena</t>
  </si>
  <si>
    <t>Flora Rica</t>
  </si>
  <si>
    <t>Irapuru</t>
  </si>
  <si>
    <t>Junqueirópolis</t>
  </si>
  <si>
    <t>Monte Castelo</t>
  </si>
  <si>
    <t>Nova Guataporanga</t>
  </si>
  <si>
    <t>Ouro Verde</t>
  </si>
  <si>
    <t>Panorama</t>
  </si>
  <si>
    <t>Paulicéia</t>
  </si>
  <si>
    <t>Santa Mercedes</t>
  </si>
  <si>
    <t>São João do Pau D'Alho</t>
  </si>
  <si>
    <t>Tupi Paulista</t>
  </si>
  <si>
    <t>Alta Sorocabana</t>
  </si>
  <si>
    <t>Alfredo Marcondes</t>
  </si>
  <si>
    <t>Álvares Machado</t>
  </si>
  <si>
    <t>Anhumas</t>
  </si>
  <si>
    <t>Caiabu</t>
  </si>
  <si>
    <t>Emilianópolis</t>
  </si>
  <si>
    <t>Estrela do Norte</t>
  </si>
  <si>
    <t>Indiana</t>
  </si>
  <si>
    <t>Martinópolis</t>
  </si>
  <si>
    <t>Narandiba</t>
  </si>
  <si>
    <t>Pirapozinho</t>
  </si>
  <si>
    <t>Presidente Bernardes</t>
  </si>
  <si>
    <t>Regente Feijó</t>
  </si>
  <si>
    <t>Ribeirão dos Índios</t>
  </si>
  <si>
    <t>Sandovalina</t>
  </si>
  <si>
    <t>Santo Anastácio</t>
  </si>
  <si>
    <t>Santo Expedito</t>
  </si>
  <si>
    <t>Taciba</t>
  </si>
  <si>
    <t>Tarabai</t>
  </si>
  <si>
    <t>Alto Capivari</t>
  </si>
  <si>
    <t>Iepê</t>
  </si>
  <si>
    <t>João Ramalho</t>
  </si>
  <si>
    <t>Nantes</t>
  </si>
  <si>
    <t xml:space="preserve">Quatá </t>
  </si>
  <si>
    <t>Rancharia</t>
  </si>
  <si>
    <t>Extremo Oeste Paulista</t>
  </si>
  <si>
    <t>Caiuá</t>
  </si>
  <si>
    <t>Marabá Paulista</t>
  </si>
  <si>
    <t>Piquerobi</t>
  </si>
  <si>
    <t>Presidente Epitácio</t>
  </si>
  <si>
    <t>Presidente Venceslau</t>
  </si>
  <si>
    <t>Pontal do Paranapanema</t>
  </si>
  <si>
    <t>Euclides da Cunha Paulista</t>
  </si>
  <si>
    <t>Mirante do Paranapanema</t>
  </si>
  <si>
    <t>Rosana</t>
  </si>
  <si>
    <t>Teodoro Sampaio</t>
  </si>
  <si>
    <t>RRAS 12</t>
  </si>
  <si>
    <t>Araçatuba</t>
  </si>
  <si>
    <t>Central do DRS II</t>
  </si>
  <si>
    <t>Auriflama</t>
  </si>
  <si>
    <t>Bento de Abreu</t>
  </si>
  <si>
    <t>Bilac</t>
  </si>
  <si>
    <t>Guararapes</t>
  </si>
  <si>
    <t>Guzolândia</t>
  </si>
  <si>
    <t>Nova Castilho</t>
  </si>
  <si>
    <t>Nova Luzitânia</t>
  </si>
  <si>
    <t>Rubiácea</t>
  </si>
  <si>
    <t>Santo Antônio do Aracanguá</t>
  </si>
  <si>
    <t>Valparaíso</t>
  </si>
  <si>
    <t>Lagos do DRS II</t>
  </si>
  <si>
    <t>Andradina</t>
  </si>
  <si>
    <t>Castilho</t>
  </si>
  <si>
    <t>Guaraçaí</t>
  </si>
  <si>
    <t>Ilha Solteira</t>
  </si>
  <si>
    <t>Itapura</t>
  </si>
  <si>
    <t>Lavínia</t>
  </si>
  <si>
    <t>Mirandópolis</t>
  </si>
  <si>
    <t>Murutinga do Sul</t>
  </si>
  <si>
    <t>Nova Independência</t>
  </si>
  <si>
    <t>Pereira Barreto</t>
  </si>
  <si>
    <t>Sud Mennucci</t>
  </si>
  <si>
    <t>Suzanápolis</t>
  </si>
  <si>
    <t>Consórcio do DRS II</t>
  </si>
  <si>
    <t>Alto Alegre</t>
  </si>
  <si>
    <t>Avanhandava</t>
  </si>
  <si>
    <t>Barbosa</t>
  </si>
  <si>
    <t>Birigui</t>
  </si>
  <si>
    <t>Braúna</t>
  </si>
  <si>
    <t>Brejo Alegre</t>
  </si>
  <si>
    <t>Buritama</t>
  </si>
  <si>
    <t>Clementina</t>
  </si>
  <si>
    <t>Coroados</t>
  </si>
  <si>
    <t>Gabriel Monteiro</t>
  </si>
  <si>
    <t>Glicério</t>
  </si>
  <si>
    <t>Lourdes</t>
  </si>
  <si>
    <t>Luiziânia</t>
  </si>
  <si>
    <t>Penápolis</t>
  </si>
  <si>
    <t>Piacatu</t>
  </si>
  <si>
    <t>Santópolis do Aguapeí</t>
  </si>
  <si>
    <t>Turiúba</t>
  </si>
  <si>
    <t>Sao José do Rio Preto</t>
  </si>
  <si>
    <t>Catanduva</t>
  </si>
  <si>
    <t>Ariranha</t>
  </si>
  <si>
    <t>Catiguá</t>
  </si>
  <si>
    <t>Elisiário</t>
  </si>
  <si>
    <t>Embaúba</t>
  </si>
  <si>
    <t>Fernando Prestes</t>
  </si>
  <si>
    <t>Irapuã</t>
  </si>
  <si>
    <t>Itajobi</t>
  </si>
  <si>
    <t>Marapoama</t>
  </si>
  <si>
    <t>Novais</t>
  </si>
  <si>
    <t>Novo Horizonte</t>
  </si>
  <si>
    <t>Palmares Paulista</t>
  </si>
  <si>
    <t>Paraíso</t>
  </si>
  <si>
    <t>Pindorama</t>
  </si>
  <si>
    <t>Pirangi</t>
  </si>
  <si>
    <t>Sales</t>
  </si>
  <si>
    <t>Santa Adélia</t>
  </si>
  <si>
    <t>Tabapuã</t>
  </si>
  <si>
    <t>Urupês</t>
  </si>
  <si>
    <t>Santa Fé do Sul</t>
  </si>
  <si>
    <t>Nova Canaã Paulista</t>
  </si>
  <si>
    <t>Rubinéia</t>
  </si>
  <si>
    <t>Santa Clara d'Oeste</t>
  </si>
  <si>
    <t>Santa Rita d'Oeste</t>
  </si>
  <si>
    <t>Três Fronteiras</t>
  </si>
  <si>
    <t>Jales</t>
  </si>
  <si>
    <t>Aparecida d'Oeste</t>
  </si>
  <si>
    <t>Aspásia</t>
  </si>
  <si>
    <t>Dirce Reis</t>
  </si>
  <si>
    <t>Dolcinópolis</t>
  </si>
  <si>
    <t>Marinópolis</t>
  </si>
  <si>
    <t>Mesópolis</t>
  </si>
  <si>
    <t>Palmeira d'Oeste</t>
  </si>
  <si>
    <t>Paranapuã</t>
  </si>
  <si>
    <t>Pontalinda</t>
  </si>
  <si>
    <t>Santa Albertina</t>
  </si>
  <si>
    <t>Santa Salete</t>
  </si>
  <si>
    <t>Santana da Ponte Pensa</t>
  </si>
  <si>
    <t>São Francisco</t>
  </si>
  <si>
    <t>Urânia</t>
  </si>
  <si>
    <t>Vitória Brasil</t>
  </si>
  <si>
    <t>Fernandópolis</t>
  </si>
  <si>
    <t>Estrela d'Oeste</t>
  </si>
  <si>
    <t>Guarani d'Oeste</t>
  </si>
  <si>
    <t>Indiaporã</t>
  </si>
  <si>
    <t>Macedônia</t>
  </si>
  <si>
    <t>Meridiano</t>
  </si>
  <si>
    <t>Mira Estrela</t>
  </si>
  <si>
    <t>Ouroeste</t>
  </si>
  <si>
    <t>Pedranópolis</t>
  </si>
  <si>
    <t>Populina</t>
  </si>
  <si>
    <t>São João das Duas Pontes</t>
  </si>
  <si>
    <t>São João de Iracema</t>
  </si>
  <si>
    <t>Turmalina</t>
  </si>
  <si>
    <t>São José do Rio Preto</t>
  </si>
  <si>
    <t>Bady Bassitt</t>
  </si>
  <si>
    <t>Balsamo</t>
  </si>
  <si>
    <t xml:space="preserve"> Cedral</t>
  </si>
  <si>
    <t>Guapiaçu</t>
  </si>
  <si>
    <t xml:space="preserve"> Ibirá</t>
  </si>
  <si>
    <t xml:space="preserve"> Icém</t>
  </si>
  <si>
    <t xml:space="preserve"> Ipiguá</t>
  </si>
  <si>
    <t xml:space="preserve"> Mirassol</t>
  </si>
  <si>
    <t xml:space="preserve"> Mirassolândia</t>
  </si>
  <si>
    <t xml:space="preserve"> Neves Paulista</t>
  </si>
  <si>
    <t xml:space="preserve"> Nova Aliança</t>
  </si>
  <si>
    <t>Nova Granada</t>
  </si>
  <si>
    <t xml:space="preserve"> Onda Verde</t>
  </si>
  <si>
    <t>Orindiuva</t>
  </si>
  <si>
    <t xml:space="preserve"> Palestina</t>
  </si>
  <si>
    <t xml:space="preserve"> Paulo de Faria</t>
  </si>
  <si>
    <t xml:space="preserve"> Potirendaba</t>
  </si>
  <si>
    <t xml:space="preserve"> São José do Rio Preto</t>
  </si>
  <si>
    <t>Tanabi</t>
  </si>
  <si>
    <t>Uchoa</t>
  </si>
  <si>
    <t>José Bonifácio</t>
  </si>
  <si>
    <t xml:space="preserve"> Adolfo</t>
  </si>
  <si>
    <t>Jaci</t>
  </si>
  <si>
    <t xml:space="preserve"> José Bonifácio</t>
  </si>
  <si>
    <t xml:space="preserve"> Mendonça</t>
  </si>
  <si>
    <t xml:space="preserve"> Monte Aprazível</t>
  </si>
  <si>
    <t xml:space="preserve"> Nipoã</t>
  </si>
  <si>
    <t xml:space="preserve"> Planalto</t>
  </si>
  <si>
    <t xml:space="preserve"> Poloni</t>
  </si>
  <si>
    <t>Ubarana</t>
  </si>
  <si>
    <t xml:space="preserve"> União Paulista</t>
  </si>
  <si>
    <t>Zacarias</t>
  </si>
  <si>
    <t>Votuporanga</t>
  </si>
  <si>
    <t xml:space="preserve"> Álvares Florence</t>
  </si>
  <si>
    <t xml:space="preserve"> Américo de Campos</t>
  </si>
  <si>
    <t>Cardoso</t>
  </si>
  <si>
    <t xml:space="preserve"> Cosmorama</t>
  </si>
  <si>
    <t xml:space="preserve"> Floreal</t>
  </si>
  <si>
    <t>Gastão Vidigal</t>
  </si>
  <si>
    <t xml:space="preserve"> General Salgado</t>
  </si>
  <si>
    <t xml:space="preserve"> Macaubal</t>
  </si>
  <si>
    <t xml:space="preserve"> Magda</t>
  </si>
  <si>
    <t xml:space="preserve"> Monções</t>
  </si>
  <si>
    <t xml:space="preserve"> Nhandeara</t>
  </si>
  <si>
    <t>Parisi</t>
  </si>
  <si>
    <t xml:space="preserve"> Pontes Gestal</t>
  </si>
  <si>
    <t xml:space="preserve"> Riolândia</t>
  </si>
  <si>
    <t xml:space="preserve"> Sebastianópolis do Sul</t>
  </si>
  <si>
    <t>Valentim Gentil</t>
  </si>
  <si>
    <t xml:space="preserve"> Votuporanga</t>
  </si>
  <si>
    <t>RRAS 13</t>
  </si>
  <si>
    <t>Barretos</t>
  </si>
  <si>
    <t>Norte</t>
  </si>
  <si>
    <t>Altair</t>
  </si>
  <si>
    <t>Cajobi</t>
  </si>
  <si>
    <t>Colina</t>
  </si>
  <si>
    <t>Colombia</t>
  </si>
  <si>
    <t>Guaíra</t>
  </si>
  <si>
    <t>Guaraci</t>
  </si>
  <si>
    <t>Jaborandi</t>
  </si>
  <si>
    <t>Olímpia</t>
  </si>
  <si>
    <t>Severínia</t>
  </si>
  <si>
    <t>Sul</t>
  </si>
  <si>
    <t>Bebedouro</t>
  </si>
  <si>
    <t>Monte Azul Paulista</t>
  </si>
  <si>
    <t>Taiaçu</t>
  </si>
  <si>
    <t>Taiúva</t>
  </si>
  <si>
    <t>Taquaral</t>
  </si>
  <si>
    <t>Terra Roxa</t>
  </si>
  <si>
    <t>Viradouro</t>
  </si>
  <si>
    <t>Vista Alegre do Alto</t>
  </si>
  <si>
    <t>Franca</t>
  </si>
  <si>
    <t>Alta Anhanguera</t>
  </si>
  <si>
    <t>Ipuã</t>
  </si>
  <si>
    <t>Morro Agudo</t>
  </si>
  <si>
    <t xml:space="preserve">Orlândia </t>
  </si>
  <si>
    <t>Nuporanga</t>
  </si>
  <si>
    <t>Sales Oliveira</t>
  </si>
  <si>
    <t>São Joaquim da Barra</t>
  </si>
  <si>
    <t>Alta Mogiana</t>
  </si>
  <si>
    <t>Aramina</t>
  </si>
  <si>
    <t>Buritizal</t>
  </si>
  <si>
    <t>Guará</t>
  </si>
  <si>
    <t>Igarapava</t>
  </si>
  <si>
    <t>Ituverava</t>
  </si>
  <si>
    <t xml:space="preserve">Miguelópolis </t>
  </si>
  <si>
    <t>Três Colinas</t>
  </si>
  <si>
    <t>Cristais Paulista</t>
  </si>
  <si>
    <t>Itirapuã</t>
  </si>
  <si>
    <t>Jeriquara</t>
  </si>
  <si>
    <t>Patrocínio Paulista</t>
  </si>
  <si>
    <t>Pedregulho</t>
  </si>
  <si>
    <t>Restinga</t>
  </si>
  <si>
    <t>Ribeirão Corrente</t>
  </si>
  <si>
    <t>Rifaina</t>
  </si>
  <si>
    <t>São José da Bela Vista</t>
  </si>
  <si>
    <t>Ribeirão Preto</t>
  </si>
  <si>
    <t>Aquífero Guarani</t>
  </si>
  <si>
    <t>Cravinhos</t>
  </si>
  <si>
    <t>Guatapará</t>
  </si>
  <si>
    <t>Jardinópolis</t>
  </si>
  <si>
    <t>Luís Antonio</t>
  </si>
  <si>
    <t>Santa Rita do Passa Quatro</t>
  </si>
  <si>
    <t>Santa Rosa do Viterbo</t>
  </si>
  <si>
    <t>São Simão</t>
  </si>
  <si>
    <t>Serra Azul</t>
  </si>
  <si>
    <t>Serrana</t>
  </si>
  <si>
    <t>Horizonte Verde</t>
  </si>
  <si>
    <t>Barrinha</t>
  </si>
  <si>
    <t>Dumont</t>
  </si>
  <si>
    <t>Guariba</t>
  </si>
  <si>
    <t>Jaboticabal</t>
  </si>
  <si>
    <t>Monte Alto</t>
  </si>
  <si>
    <t>Pitangueiras</t>
  </si>
  <si>
    <t>Pontal</t>
  </si>
  <si>
    <t>Pradópolis</t>
  </si>
  <si>
    <t xml:space="preserve">Sertãozinho </t>
  </si>
  <si>
    <t xml:space="preserve">Vale das Cachoeiras </t>
  </si>
  <si>
    <t xml:space="preserve">Altinópolis </t>
  </si>
  <si>
    <t>Batatais</t>
  </si>
  <si>
    <t>Brodowski</t>
  </si>
  <si>
    <t>Cajuru</t>
  </si>
  <si>
    <t>Cássia dos Coqueiros</t>
  </si>
  <si>
    <t>Santa Cruz da Esperança</t>
  </si>
  <si>
    <t xml:space="preserve">Santo Antonio da Alegria </t>
  </si>
  <si>
    <t>RRAS 14</t>
  </si>
  <si>
    <t>Piracicaba</t>
  </si>
  <si>
    <t>Araras</t>
  </si>
  <si>
    <t>Conchal</t>
  </si>
  <si>
    <t>Leme</t>
  </si>
  <si>
    <t>Pirassununga</t>
  </si>
  <si>
    <t>Santa Cruz da Conceição</t>
  </si>
  <si>
    <t>Limeira</t>
  </si>
  <si>
    <t>Cordeirópolis</t>
  </si>
  <si>
    <t>Engenheiro Coelho</t>
  </si>
  <si>
    <t>Iracemápolis</t>
  </si>
  <si>
    <t>Águas de São Pedro</t>
  </si>
  <si>
    <t>Capivari</t>
  </si>
  <si>
    <t>Charqueada</t>
  </si>
  <si>
    <t>Elias Fausto</t>
  </si>
  <si>
    <t>Mombuca</t>
  </si>
  <si>
    <t>Rafard</t>
  </si>
  <si>
    <t>Rio das Pedras</t>
  </si>
  <si>
    <t>Saltinho</t>
  </si>
  <si>
    <t>Santa Maria da Serra</t>
  </si>
  <si>
    <t>São Pedro</t>
  </si>
  <si>
    <t>Rio Claro</t>
  </si>
  <si>
    <t>Analândia</t>
  </si>
  <si>
    <t>Corumbataí</t>
  </si>
  <si>
    <t>Ipeúna</t>
  </si>
  <si>
    <t>Itirapina</t>
  </si>
  <si>
    <t>Santa Gertrudes</t>
  </si>
  <si>
    <t>RRAS 15</t>
  </si>
  <si>
    <t>Campinas</t>
  </si>
  <si>
    <t>Circuito das Aguas</t>
  </si>
  <si>
    <t>Águas de Lindóia</t>
  </si>
  <si>
    <t>Reg. Metrop. Campinas</t>
  </si>
  <si>
    <t>Americana</t>
  </si>
  <si>
    <t>34,35</t>
  </si>
  <si>
    <t>Amparo</t>
  </si>
  <si>
    <t>Artur Nogueira</t>
  </si>
  <si>
    <t>76,92</t>
  </si>
  <si>
    <t>68,65</t>
  </si>
  <si>
    <t>Cosmópolis</t>
  </si>
  <si>
    <t>40,28</t>
  </si>
  <si>
    <t>Holambra</t>
  </si>
  <si>
    <t>Hortolândia</t>
  </si>
  <si>
    <t>61,34</t>
  </si>
  <si>
    <t>Indaiatuba</t>
  </si>
  <si>
    <t>Itatiba</t>
  </si>
  <si>
    <t>86,71</t>
  </si>
  <si>
    <t>Jaguariúna</t>
  </si>
  <si>
    <t>63,4</t>
  </si>
  <si>
    <t>Lindóia</t>
  </si>
  <si>
    <t>Monte Alegre do Sul</t>
  </si>
  <si>
    <t>85,84</t>
  </si>
  <si>
    <t>Monte Mor</t>
  </si>
  <si>
    <t>51,95</t>
  </si>
  <si>
    <t>Morungaba</t>
  </si>
  <si>
    <t>Nova Odessa</t>
  </si>
  <si>
    <t>38,64</t>
  </si>
  <si>
    <t>Paulínia</t>
  </si>
  <si>
    <t>50,72</t>
  </si>
  <si>
    <t>Pedreira</t>
  </si>
  <si>
    <t>84,64</t>
  </si>
  <si>
    <t>Santa Bárbara d'Oeste</t>
  </si>
  <si>
    <t>41,71</t>
  </si>
  <si>
    <t>Santo Antônio de Posse</t>
  </si>
  <si>
    <t>88,8</t>
  </si>
  <si>
    <t>Serra Negra</t>
  </si>
  <si>
    <t>Sumaré</t>
  </si>
  <si>
    <t>48,98</t>
  </si>
  <si>
    <t>Valinhos</t>
  </si>
  <si>
    <t>16,25</t>
  </si>
  <si>
    <t>Vinhedo</t>
  </si>
  <si>
    <t>São João da Boa Vista</t>
  </si>
  <si>
    <t>Mantiqueira</t>
  </si>
  <si>
    <t>Aguaí</t>
  </si>
  <si>
    <t>Águas da Prata</t>
  </si>
  <si>
    <t>Rio Pardo</t>
  </si>
  <si>
    <t>Caconde</t>
  </si>
  <si>
    <t>65,39</t>
  </si>
  <si>
    <t>Casa Branca</t>
  </si>
  <si>
    <t>Divinolândia</t>
  </si>
  <si>
    <t>Espírito Santo do Pinhal</t>
  </si>
  <si>
    <t>Baixa Mogiana</t>
  </si>
  <si>
    <t>Estiva Gerbi</t>
  </si>
  <si>
    <t>Itapira</t>
  </si>
  <si>
    <t>Itobi</t>
  </si>
  <si>
    <t>Mococa</t>
  </si>
  <si>
    <t>Mogi Guaçu</t>
  </si>
  <si>
    <t>Mogi Mirim</t>
  </si>
  <si>
    <t>Santa Cruz das Palmeiras</t>
  </si>
  <si>
    <t>Santo Antônio do Jardim</t>
  </si>
  <si>
    <t>São José do Rio Pardo</t>
  </si>
  <si>
    <t>São Sebastião da Grama</t>
  </si>
  <si>
    <t>Tambaú</t>
  </si>
  <si>
    <t>Tapiratiba</t>
  </si>
  <si>
    <t>Vargem Grande do Sul</t>
  </si>
  <si>
    <t>RRAS 16</t>
  </si>
  <si>
    <t>Bragança</t>
  </si>
  <si>
    <t>Atibaia</t>
  </si>
  <si>
    <t>Bom Jesus dos Perdões</t>
  </si>
  <si>
    <t>Bragança Paulista</t>
  </si>
  <si>
    <t>Joanópolis</t>
  </si>
  <si>
    <t>Nazaré Paulista</t>
  </si>
  <si>
    <t>Pedra Bela</t>
  </si>
  <si>
    <t>Pinhalzinho</t>
  </si>
  <si>
    <t>Piracaia</t>
  </si>
  <si>
    <t>Socorro</t>
  </si>
  <si>
    <t>Tuiuti</t>
  </si>
  <si>
    <t>Vargem</t>
  </si>
  <si>
    <t>Jundiaí</t>
  </si>
  <si>
    <t>Cabreúva</t>
  </si>
  <si>
    <t>Campo Limpo Paulista</t>
  </si>
  <si>
    <t>Itupeva</t>
  </si>
  <si>
    <t>Jarinu</t>
  </si>
  <si>
    <t>Louveira</t>
  </si>
  <si>
    <t>Várzea Paulista</t>
  </si>
  <si>
    <t>RRAS 17</t>
  </si>
  <si>
    <t>Taubaté</t>
  </si>
  <si>
    <t>Alto Vale do Paraíba</t>
  </si>
  <si>
    <t>Caçapava</t>
  </si>
  <si>
    <t>Igaratá</t>
  </si>
  <si>
    <t>Jacareí</t>
  </si>
  <si>
    <t>Jambeiro</t>
  </si>
  <si>
    <t>Monteiro Lobato</t>
  </si>
  <si>
    <t>Paraibuna</t>
  </si>
  <si>
    <t>Santa Branca</t>
  </si>
  <si>
    <t>São José dos Campos</t>
  </si>
  <si>
    <t>Circ. da Fé - V. Histórico</t>
  </si>
  <si>
    <t>Aparecida</t>
  </si>
  <si>
    <t>Arapeí</t>
  </si>
  <si>
    <t>Areias</t>
  </si>
  <si>
    <t>Bananal</t>
  </si>
  <si>
    <t>Cachoeira Paulista</t>
  </si>
  <si>
    <t>Canas</t>
  </si>
  <si>
    <t>Cruzeiro</t>
  </si>
  <si>
    <t>Cunha</t>
  </si>
  <si>
    <t>Guaratinguetá</t>
  </si>
  <si>
    <t>Lavrinhas</t>
  </si>
  <si>
    <t>Lorena</t>
  </si>
  <si>
    <t>Piquete</t>
  </si>
  <si>
    <t>Potim</t>
  </si>
  <si>
    <t>Queluz</t>
  </si>
  <si>
    <t>Roseira</t>
  </si>
  <si>
    <t>São José do Barreiro</t>
  </si>
  <si>
    <t>Silveiras</t>
  </si>
  <si>
    <t>Litoral Norte</t>
  </si>
  <si>
    <t>Caraguatatuba</t>
  </si>
  <si>
    <t>IIhabela</t>
  </si>
  <si>
    <t>São Sebastião</t>
  </si>
  <si>
    <t>Ubatuba</t>
  </si>
  <si>
    <t>V. Paraíba - R. Serrana</t>
  </si>
  <si>
    <t>Campos do Jordão</t>
  </si>
  <si>
    <t>81,09</t>
  </si>
  <si>
    <t>Lagoinha</t>
  </si>
  <si>
    <t>Natividade da Serra</t>
  </si>
  <si>
    <t>Pindamonhangaba</t>
  </si>
  <si>
    <t>67,99</t>
  </si>
  <si>
    <t>Redenção da Serra</t>
  </si>
  <si>
    <t>Santo Antônio do Pinhal</t>
  </si>
  <si>
    <t>São Bento do Sapucaí</t>
  </si>
  <si>
    <t>São Luís do Paraitinga</t>
  </si>
  <si>
    <t>96,85</t>
  </si>
  <si>
    <t>58,44</t>
  </si>
  <si>
    <t>Tremembé</t>
  </si>
  <si>
    <t>53,15</t>
  </si>
  <si>
    <t>RRAS 18</t>
  </si>
  <si>
    <t>Araraquara</t>
  </si>
  <si>
    <t>Central</t>
  </si>
  <si>
    <t>Américo Brasiliense</t>
  </si>
  <si>
    <t>Boa Esperança do Sul</t>
  </si>
  <si>
    <t>Gavião Peixoto</t>
  </si>
  <si>
    <t>Motuca</t>
  </si>
  <si>
    <t>Rincão</t>
  </si>
  <si>
    <t>Santa Lucia</t>
  </si>
  <si>
    <t>Trabiju</t>
  </si>
  <si>
    <t>Centro-Oeste</t>
  </si>
  <si>
    <t>Borborema</t>
  </si>
  <si>
    <t>Ibitinga</t>
  </si>
  <si>
    <t>Itápolis</t>
  </si>
  <si>
    <t>Nova Europa</t>
  </si>
  <si>
    <t>Tabatinga</t>
  </si>
  <si>
    <t>Coração</t>
  </si>
  <si>
    <t>Descalvado</t>
  </si>
  <si>
    <t>Dourado</t>
  </si>
  <si>
    <t>Ibaté</t>
  </si>
  <si>
    <t>Porto Ferreira</t>
  </si>
  <si>
    <t>Ribeirão Bonito</t>
  </si>
  <si>
    <t>São Carlos</t>
  </si>
  <si>
    <t>Cândido Rodrigues</t>
  </si>
  <si>
    <t>Dobrada</t>
  </si>
  <si>
    <t>Matão</t>
  </si>
  <si>
    <t>Santa Ernestina</t>
  </si>
  <si>
    <t>Taquaritinga</t>
  </si>
  <si>
    <t>COORDENADORIA DE SAÚDE</t>
  </si>
  <si>
    <t>SUPERVISÃO DE SAÚDE</t>
  </si>
  <si>
    <t>RRAS 6</t>
  </si>
  <si>
    <t>CRS NORTE</t>
  </si>
  <si>
    <t xml:space="preserve">  Casa Verde / Cachoeirinha</t>
  </si>
  <si>
    <t>São Paulo</t>
  </si>
  <si>
    <t xml:space="preserve">  Freguesia do Ó / Brasilândia</t>
  </si>
  <si>
    <t xml:space="preserve">  Perus</t>
  </si>
  <si>
    <t xml:space="preserve">  Pirituba</t>
  </si>
  <si>
    <t xml:space="preserve">  Santana / Jaçanã</t>
  </si>
  <si>
    <t xml:space="preserve">  Vila Maria / Vila Guilherme</t>
  </si>
  <si>
    <t>CRS SUL</t>
  </si>
  <si>
    <t>Capela do Socorro</t>
  </si>
  <si>
    <t>Parelheiros</t>
  </si>
  <si>
    <t>Santo Amaro / Cidade Ademar</t>
  </si>
  <si>
    <t>M Boi Mirim</t>
  </si>
  <si>
    <t>Campo Limpo</t>
  </si>
  <si>
    <t>CRS LESTE</t>
  </si>
  <si>
    <t>Cidade Tiradentes</t>
  </si>
  <si>
    <t>Ermelino Matarazzo</t>
  </si>
  <si>
    <t>Guaianases</t>
  </si>
  <si>
    <t>Itaim Paulista</t>
  </si>
  <si>
    <t>Itaquera</t>
  </si>
  <si>
    <t>São Mateus</t>
  </si>
  <si>
    <t>São Miguel</t>
  </si>
  <si>
    <t xml:space="preserve">CRS CENTRO </t>
  </si>
  <si>
    <t>Santa Cecília</t>
  </si>
  <si>
    <t>Sé</t>
  </si>
  <si>
    <t>CRS OESTE</t>
  </si>
  <si>
    <t>Lapa / Pinheiros</t>
  </si>
  <si>
    <t>Butantã</t>
  </si>
  <si>
    <t>CRS SUDESTE</t>
  </si>
  <si>
    <t>Ipiranga</t>
  </si>
  <si>
    <t>Mooca / Aricanduva</t>
  </si>
  <si>
    <t>Vila Mariana / Jabaquara</t>
  </si>
  <si>
    <t>Vila Prudente / Sapopemba</t>
  </si>
  <si>
    <t>Penha</t>
  </si>
  <si>
    <t>CNES</t>
  </si>
  <si>
    <t>NOME DO ESTABELECIMENTO</t>
  </si>
  <si>
    <t>MUNICÍPIO DO ESTABELECIMENTO</t>
  </si>
  <si>
    <t>TIPO DE ATENDIMENTO</t>
  </si>
  <si>
    <t>Quarteirão da Saúde - Eng. Osvaldo Misso</t>
  </si>
  <si>
    <t>AAE</t>
  </si>
  <si>
    <t>Hospital de Clínicas Dr. Radamés Nardini</t>
  </si>
  <si>
    <t>CAISM - Centro de Atenção Integral a Saúde da Mulher</t>
  </si>
  <si>
    <t>Hospital da Mulher - Maria José dos Santos Stein</t>
  </si>
  <si>
    <t>CAISM - Centro de Atenção Integral a Saúde da Mulher Sc do Sul</t>
  </si>
  <si>
    <t>UBS Fazenda Rincão</t>
  </si>
  <si>
    <t>USF Jd. Emília</t>
  </si>
  <si>
    <t>USF Mirante</t>
  </si>
  <si>
    <t>UBS Vila Pilar</t>
  </si>
  <si>
    <t>USF Barreto Arujá</t>
  </si>
  <si>
    <t>UBS Nova Arujá</t>
  </si>
  <si>
    <t>USF Jd. Real</t>
  </si>
  <si>
    <t>Centro de Referência Mulher e Criança</t>
  </si>
  <si>
    <t xml:space="preserve">Biritiba Mirim </t>
  </si>
  <si>
    <t>Centro Integrado de Atenção à Saúde da Mulher - Mais Mulher</t>
  </si>
  <si>
    <t>Centro de Especialidades de Saúde e Apoio à População - CESAP</t>
  </si>
  <si>
    <t>UBS Haroldo Veloso</t>
  </si>
  <si>
    <t>UBS Jovaia</t>
  </si>
  <si>
    <t>UBS Jurema</t>
  </si>
  <si>
    <t>UBS Jd. Paulista</t>
  </si>
  <si>
    <t>UBS Lavras</t>
  </si>
  <si>
    <t>UBS Pq. Cecap</t>
  </si>
  <si>
    <t>Centro Especialidades CEMEG Centro</t>
  </si>
  <si>
    <t>Centro de Especialidades Itaquaquecetuba</t>
  </si>
  <si>
    <t>Mãe Mogiana</t>
  </si>
  <si>
    <t>UBS Tito Fuga (Calmon Viana)</t>
  </si>
  <si>
    <t xml:space="preserve">Poá </t>
  </si>
  <si>
    <t>UBS Jd. Emília</t>
  </si>
  <si>
    <t>UBS Dr. Cypriano Oswaldo Monaco (Jd. Nova Poá)</t>
  </si>
  <si>
    <t>UBS Filomena Rosiela Guido (Jd. São José)</t>
  </si>
  <si>
    <t>UBS Nelson Pozzani Filho (Vila Varela)</t>
  </si>
  <si>
    <t>UBS José Pereta</t>
  </si>
  <si>
    <t>UBS José Massa Vila Jaú</t>
  </si>
  <si>
    <t>UBS Edvaldo Lupettis Kemel</t>
  </si>
  <si>
    <t>UBS Dr. Murilo Mendes Soares (Vl. Júlia)</t>
  </si>
  <si>
    <t>CS II Salesópolis</t>
  </si>
  <si>
    <t>UBS II Francisco Pedreira Ribeiro</t>
  </si>
  <si>
    <t>Ambulatório de Especialidades Dr. Joracy Cruz</t>
  </si>
  <si>
    <t>Hospital Estadual Prof. Carlos da Silva Lacaz</t>
  </si>
  <si>
    <t>Clínica da Mulher</t>
  </si>
  <si>
    <t>UBS Embu</t>
  </si>
  <si>
    <t>Embu</t>
  </si>
  <si>
    <t>Hospital Geral de Itapecerica da Serra</t>
  </si>
  <si>
    <t>CRSM - Centro de Referência de Saúde da Mulher</t>
  </si>
  <si>
    <t>Centro de Referência da Mulher de Vargem Grande Paulista</t>
  </si>
  <si>
    <t>04</t>
  </si>
  <si>
    <t xml:space="preserve"> UBS Referência</t>
  </si>
  <si>
    <t>Hospital Geral de Carapicuíba</t>
  </si>
  <si>
    <t>Centro de Referência da Saúde da Mulher Thereza Farias Santos</t>
  </si>
  <si>
    <t>CIS Centro Integrado de Saúde</t>
  </si>
  <si>
    <t>Centro de Referência da Mulher</t>
  </si>
  <si>
    <t>Casa da Mulher Dinalva Souza Barcellos</t>
  </si>
  <si>
    <t>Centro de Saúde da Mulher Parnaibana</t>
  </si>
  <si>
    <t>Hospital Guilherme Alvaro Santos</t>
  </si>
  <si>
    <t>Santos / Bertioga</t>
  </si>
  <si>
    <t>Centro Especializado em Saúde da Mulher</t>
  </si>
  <si>
    <t>SAISM - Serviço de Atenção Integral à Saúde da Mulher</t>
  </si>
  <si>
    <t>Instituto da Mulher Casa Rosa</t>
  </si>
  <si>
    <t>Centro Especializado na Saúde da Criança e da Mulher Paula V – CESCRIM</t>
  </si>
  <si>
    <t>Itanhaém / Praia Grande</t>
  </si>
  <si>
    <t>AME Praia Grande</t>
  </si>
  <si>
    <t>Ambulatório de Especialidades Médicas</t>
  </si>
  <si>
    <t xml:space="preserve">Casa da Mulher e da Criança </t>
  </si>
  <si>
    <t>CEAS Mulher</t>
  </si>
  <si>
    <t>Seção Instituto da Mulher e Gestante - SEIMGE</t>
  </si>
  <si>
    <t>Unidade de Saúde da Mulher David Capistrano</t>
  </si>
  <si>
    <t>Hospital Dr. Leopoldo Bevilacqua</t>
  </si>
  <si>
    <t>Cananéia</t>
  </si>
  <si>
    <t>Juquiá</t>
  </si>
  <si>
    <t>Casa da Mulher</t>
  </si>
  <si>
    <t>Ambulatório de Gestação de Alto Risco Gestar</t>
  </si>
  <si>
    <t>UBS Caic</t>
  </si>
  <si>
    <t>HC da FM de Botucatu</t>
  </si>
  <si>
    <t>  2748223</t>
  </si>
  <si>
    <t>Botucatu / Avaré</t>
  </si>
  <si>
    <t>AME Vale do Jurumirim</t>
  </si>
  <si>
    <t>Hospital das Clínicas HCFAMEMA</t>
  </si>
  <si>
    <t>Hospital Regional de Assis</t>
  </si>
  <si>
    <t>AME Dracena</t>
  </si>
  <si>
    <t>Hospital Estadual Dr. Odilo Antunes de Siqueira</t>
  </si>
  <si>
    <t>Hospital Regional Domingos Leonardo Ceravolo</t>
  </si>
  <si>
    <t>AME Araçatuba Dr. Oscar Gurjão Cotrim</t>
  </si>
  <si>
    <r>
      <rPr>
        <rFont val="Arial"/>
        <color rgb="FF333333"/>
        <sz val="12.0"/>
      </rPr>
      <t>Araçatub</t>
    </r>
    <r>
      <rPr>
        <rFont val="Arial"/>
        <color rgb="FF333333"/>
        <sz val="12.0"/>
      </rPr>
      <t>a</t>
    </r>
  </si>
  <si>
    <r>
      <rPr>
        <rFont val="Arial"/>
        <color rgb="FF333333"/>
        <sz val="12.0"/>
      </rPr>
      <t>Araçatub</t>
    </r>
    <r>
      <rPr>
        <rFont val="Arial"/>
        <color rgb="FF333333"/>
        <sz val="12.0"/>
      </rPr>
      <t>a</t>
    </r>
  </si>
  <si>
    <r>
      <rPr>
        <rFont val="Arial"/>
        <color rgb="FF333333"/>
        <sz val="12.0"/>
      </rPr>
      <t>Araçatub</t>
    </r>
    <r>
      <rPr>
        <rFont val="Arial"/>
        <color rgb="FF333333"/>
        <sz val="12.0"/>
      </rPr>
      <t>a</t>
    </r>
  </si>
  <si>
    <r>
      <rPr>
        <rFont val="Arial"/>
        <color rgb="FF333333"/>
        <sz val="12.0"/>
      </rPr>
      <t>Araçatub</t>
    </r>
    <r>
      <rPr>
        <rFont val="Arial"/>
        <color rgb="FF333333"/>
        <sz val="12.0"/>
      </rPr>
      <t>a</t>
    </r>
  </si>
  <si>
    <r>
      <rPr>
        <rFont val="Arial"/>
        <color rgb="FF333333"/>
        <sz val="12.0"/>
      </rPr>
      <t>Araçatub</t>
    </r>
    <r>
      <rPr>
        <rFont val="Arial"/>
        <color rgb="FF333333"/>
        <sz val="12.0"/>
      </rPr>
      <t>a</t>
    </r>
  </si>
  <si>
    <r>
      <rPr>
        <rFont val="Arial"/>
        <color rgb="FF333333"/>
        <sz val="12.0"/>
      </rPr>
      <t>Araçatub</t>
    </r>
    <r>
      <rPr>
        <rFont val="Arial"/>
        <color rgb="FF333333"/>
        <sz val="12.0"/>
      </rPr>
      <t>a</t>
    </r>
  </si>
  <si>
    <r>
      <rPr>
        <rFont val="Arial"/>
        <color rgb="FF333333"/>
        <sz val="12.0"/>
      </rPr>
      <t>Araçatub</t>
    </r>
    <r>
      <rPr>
        <rFont val="Arial"/>
        <color rgb="FF333333"/>
        <sz val="12.0"/>
      </rPr>
      <t>a</t>
    </r>
  </si>
  <si>
    <r>
      <rPr>
        <rFont val="Arial"/>
        <color rgb="FF333333"/>
        <sz val="12.0"/>
      </rPr>
      <t>Araçatub</t>
    </r>
    <r>
      <rPr>
        <rFont val="Arial"/>
        <color rgb="FF333333"/>
        <sz val="12.0"/>
      </rPr>
      <t>a</t>
    </r>
  </si>
  <si>
    <r>
      <rPr>
        <rFont val="Arial"/>
        <color rgb="FF333333"/>
        <sz val="12.0"/>
      </rPr>
      <t>Araçatub</t>
    </r>
    <r>
      <rPr>
        <rFont val="Arial"/>
        <color rgb="FF333333"/>
        <sz val="12.0"/>
      </rPr>
      <t>a</t>
    </r>
  </si>
  <si>
    <r>
      <rPr>
        <rFont val="Arial"/>
        <color rgb="FF333333"/>
        <sz val="12.0"/>
      </rPr>
      <t>Araçatub</t>
    </r>
    <r>
      <rPr>
        <rFont val="Arial"/>
        <color rgb="FF333333"/>
        <sz val="12.0"/>
      </rPr>
      <t>a</t>
    </r>
  </si>
  <si>
    <r>
      <rPr>
        <rFont val="Arial"/>
        <color rgb="FF333333"/>
        <sz val="12.0"/>
      </rPr>
      <t>Araçatub</t>
    </r>
    <r>
      <rPr>
        <rFont val="Arial"/>
        <color rgb="FF333333"/>
        <sz val="12.0"/>
      </rPr>
      <t>a</t>
    </r>
  </si>
  <si>
    <t>AME Andradina Dr. Edmon Alexandre Salomão</t>
  </si>
  <si>
    <r>
      <rPr>
        <rFont val="Arial"/>
        <color rgb="FF333333"/>
        <sz val="12.0"/>
      </rPr>
      <t>Araçatub</t>
    </r>
    <r>
      <rPr>
        <rFont val="Arial"/>
        <color rgb="FF333333"/>
        <sz val="12.0"/>
      </rPr>
      <t>a</t>
    </r>
  </si>
  <si>
    <r>
      <rPr>
        <rFont val="Arial"/>
        <color rgb="FF333333"/>
        <sz val="12.0"/>
      </rPr>
      <t>Araçatub</t>
    </r>
    <r>
      <rPr>
        <rFont val="Arial"/>
        <color rgb="FF333333"/>
        <sz val="12.0"/>
      </rPr>
      <t>a</t>
    </r>
  </si>
  <si>
    <r>
      <rPr>
        <rFont val="Arial"/>
        <color rgb="FF333333"/>
        <sz val="12.0"/>
      </rPr>
      <t>Araçatub</t>
    </r>
    <r>
      <rPr>
        <rFont val="Arial"/>
        <color rgb="FF333333"/>
        <sz val="12.0"/>
      </rPr>
      <t>a</t>
    </r>
  </si>
  <si>
    <r>
      <rPr>
        <rFont val="Arial"/>
        <color rgb="FF333333"/>
        <sz val="12.0"/>
      </rPr>
      <t>Araçatub</t>
    </r>
    <r>
      <rPr>
        <rFont val="Arial"/>
        <color rgb="FF333333"/>
        <sz val="12.0"/>
      </rPr>
      <t>a</t>
    </r>
  </si>
  <si>
    <r>
      <rPr>
        <rFont val="Arial"/>
        <color rgb="FF333333"/>
        <sz val="12.0"/>
      </rPr>
      <t>Araçatub</t>
    </r>
    <r>
      <rPr>
        <rFont val="Arial"/>
        <color rgb="FF333333"/>
        <sz val="12.0"/>
      </rPr>
      <t>a</t>
    </r>
  </si>
  <si>
    <r>
      <rPr>
        <rFont val="Arial"/>
        <color rgb="FF333333"/>
        <sz val="12.0"/>
      </rPr>
      <t>Araçatub</t>
    </r>
    <r>
      <rPr>
        <rFont val="Arial"/>
        <color rgb="FF333333"/>
        <sz val="12.0"/>
      </rPr>
      <t>a</t>
    </r>
  </si>
  <si>
    <r>
      <rPr>
        <rFont val="Arial"/>
        <color rgb="FF333333"/>
        <sz val="12.0"/>
      </rPr>
      <t>Araçatub</t>
    </r>
    <r>
      <rPr>
        <rFont val="Arial"/>
        <color rgb="FF333333"/>
        <sz val="12.0"/>
      </rPr>
      <t>a</t>
    </r>
  </si>
  <si>
    <r>
      <rPr>
        <rFont val="Arial"/>
        <color rgb="FF333333"/>
        <sz val="12.0"/>
      </rPr>
      <t>Araçatub</t>
    </r>
    <r>
      <rPr>
        <rFont val="Arial"/>
        <color rgb="FF333333"/>
        <sz val="12.0"/>
      </rPr>
      <t>a</t>
    </r>
  </si>
  <si>
    <r>
      <rPr>
        <rFont val="Arial"/>
        <color rgb="FF333333"/>
        <sz val="12.0"/>
      </rPr>
      <t>Araçatub</t>
    </r>
    <r>
      <rPr>
        <rFont val="Arial"/>
        <color rgb="FF333333"/>
        <sz val="12.0"/>
      </rPr>
      <t>a</t>
    </r>
  </si>
  <si>
    <r>
      <rPr>
        <rFont val="Arial"/>
        <color rgb="FF333333"/>
        <sz val="12.0"/>
      </rPr>
      <t>Araçatub</t>
    </r>
    <r>
      <rPr>
        <rFont val="Arial"/>
        <color rgb="FF333333"/>
        <sz val="12.0"/>
      </rPr>
      <t>a</t>
    </r>
  </si>
  <si>
    <r>
      <rPr>
        <rFont val="Arial"/>
        <color rgb="FF333333"/>
        <sz val="12.0"/>
      </rPr>
      <t>Araçatub</t>
    </r>
    <r>
      <rPr>
        <rFont val="Arial"/>
        <color rgb="FF333333"/>
        <sz val="12.0"/>
      </rPr>
      <t>a</t>
    </r>
  </si>
  <si>
    <r>
      <rPr>
        <rFont val="Arial"/>
        <color rgb="FF333333"/>
        <sz val="12.0"/>
      </rPr>
      <t>Araçatub</t>
    </r>
    <r>
      <rPr>
        <rFont val="Arial"/>
        <color rgb="FF333333"/>
        <sz val="12.0"/>
      </rPr>
      <t>a</t>
    </r>
  </si>
  <si>
    <r>
      <rPr>
        <rFont val="Arial"/>
        <color rgb="FF333333"/>
        <sz val="12.0"/>
      </rPr>
      <t>Araçatub</t>
    </r>
    <r>
      <rPr>
        <rFont val="Arial"/>
        <color rgb="FF333333"/>
        <sz val="12.0"/>
      </rPr>
      <t>a</t>
    </r>
  </si>
  <si>
    <r>
      <rPr>
        <rFont val="Arial"/>
        <color rgb="FF333333"/>
        <sz val="12.0"/>
      </rPr>
      <t>Araçatub</t>
    </r>
    <r>
      <rPr>
        <rFont val="Arial"/>
        <color rgb="FF333333"/>
        <sz val="12.0"/>
      </rPr>
      <t>a</t>
    </r>
  </si>
  <si>
    <r>
      <rPr>
        <rFont val="Arial"/>
        <color rgb="FF333333"/>
        <sz val="12.0"/>
      </rPr>
      <t>Araçatub</t>
    </r>
    <r>
      <rPr>
        <rFont val="Arial"/>
        <color rgb="FF333333"/>
        <sz val="12.0"/>
      </rPr>
      <t>a</t>
    </r>
  </si>
  <si>
    <r>
      <rPr>
        <rFont val="Arial"/>
        <color rgb="FF333333"/>
        <sz val="12.0"/>
      </rPr>
      <t>Araçatub</t>
    </r>
    <r>
      <rPr>
        <rFont val="Arial"/>
        <color rgb="FF333333"/>
        <sz val="12.0"/>
      </rPr>
      <t>a</t>
    </r>
  </si>
  <si>
    <r>
      <rPr>
        <rFont val="Arial"/>
        <color rgb="FF333333"/>
        <sz val="12.0"/>
      </rPr>
      <t>Araçatub</t>
    </r>
    <r>
      <rPr>
        <rFont val="Arial"/>
        <color rgb="FF333333"/>
        <sz val="12.0"/>
      </rPr>
      <t>a</t>
    </r>
  </si>
  <si>
    <t>Hospital Padre Albino</t>
  </si>
  <si>
    <t>Hospital de Base / Hospital da Criança e Maternidade</t>
  </si>
  <si>
    <t>AME Votuporanga</t>
  </si>
  <si>
    <t>AME Geral</t>
  </si>
  <si>
    <t>AME Ituverava</t>
  </si>
  <si>
    <t>AGAR Franca</t>
  </si>
  <si>
    <t>HC FAEPA de Ribeirão Preto</t>
  </si>
  <si>
    <t>Santa Casa de Ribeirão Preto</t>
  </si>
  <si>
    <t>Hospital São Luiz de Araras</t>
  </si>
  <si>
    <t>Centro de Atenção à Saúde da Mulher Limeira</t>
  </si>
  <si>
    <t>Santa Casa de Piracicaba</t>
  </si>
  <si>
    <t>Hospital dos Fornecedores de Cana de Piracicaba</t>
  </si>
  <si>
    <t>Centro de Especialidades e Apoio Diagnóstico CEAD</t>
  </si>
  <si>
    <t>Centro de Atenção Integral de Saúde da Mulher</t>
  </si>
  <si>
    <t>Hospital Estadual de Sumaré</t>
  </si>
  <si>
    <t>Ambulatório de Especialidades de Amparo</t>
  </si>
  <si>
    <t>Hospital e Maternidade Celso Pierro - PUCC</t>
  </si>
  <si>
    <t>Policlínica II</t>
  </si>
  <si>
    <t>Centro Especializado na Saúde Integral da Mulher</t>
  </si>
  <si>
    <t>Hospital Estadual Sumaré</t>
  </si>
  <si>
    <t>Ambulatório da Saúde da Mulher e da Criança</t>
  </si>
  <si>
    <t>Centro de Saúde Integrada de Saúde da Mulher (CAISMI)</t>
  </si>
  <si>
    <t>Centro de Referência em Saúde da Mulher</t>
  </si>
  <si>
    <t>Santa Bárbara d`Oeste</t>
  </si>
  <si>
    <t>Base de Excelência da Mulher</t>
  </si>
  <si>
    <t>Centro de Atenção a Mulher - CAM</t>
  </si>
  <si>
    <t>Centro de Atenção a Saúde da Mulher</t>
  </si>
  <si>
    <t>Centro de Especialidades de Aguai</t>
  </si>
  <si>
    <t>Centro de Saúde da Casa Branca</t>
  </si>
  <si>
    <t>UBS Pascoalina Mangili Tomazetti</t>
  </si>
  <si>
    <t>Centro de Atendimento da Mulher</t>
  </si>
  <si>
    <t>Ambulatório PM Alto Risco Municipal</t>
  </si>
  <si>
    <t>NAI Lambari</t>
  </si>
  <si>
    <t>Centro de Especialidades Mogi Mirim</t>
  </si>
  <si>
    <t>Ambulatório Médico UNIFAE</t>
  </si>
  <si>
    <t>Unidade da Saúde da Mulher Isaura Cerquetani Riciardi</t>
  </si>
  <si>
    <t>Centro de Atendimento à Mulher Ordália Duzi Moraes</t>
  </si>
  <si>
    <t>AME Atibaia</t>
  </si>
  <si>
    <t>Hospital Universitário São Francisco</t>
  </si>
  <si>
    <t>Ambulatório de Saúde da Mulher</t>
  </si>
  <si>
    <t>Ambulatório Médico de Especialidades</t>
  </si>
  <si>
    <t>Hospital São Francisco de Assis - CEAMI</t>
  </si>
  <si>
    <t>Hospital Municipal Dr José de Carvalho Florence</t>
  </si>
  <si>
    <t>Ambulatório da Mulher Dra. Therezinha Veneziani Silva</t>
  </si>
  <si>
    <t>Irmandade Santa Casa de Lorena</t>
  </si>
  <si>
    <t>Hospital Municipal Universitário de Taubaté</t>
  </si>
  <si>
    <t>Assistência Médica Especializada</t>
  </si>
  <si>
    <t>Centro de Referência de Saúde da Mulher Dra. Ana M. Veronesi</t>
  </si>
  <si>
    <t>Centro de Referência Especializada Julia Tenório e mais 8 unidades de saúde</t>
  </si>
  <si>
    <t>Ilhabela</t>
  </si>
  <si>
    <t>Centro de Saude II Dr Carlos Alberto Camara Leal</t>
  </si>
  <si>
    <t>CIAMA Costa Sul</t>
  </si>
  <si>
    <t>Centro de Especialidades Dr. Affonso de Faria Fraga</t>
  </si>
  <si>
    <t>Centro Integrado de Atendimento a Saúde da Mulher</t>
  </si>
  <si>
    <t>Centro da Mulher Casa da Mãe Taubateana</t>
  </si>
  <si>
    <t>Ambulatório de Atenção à Saúde Integral da Mulher</t>
  </si>
  <si>
    <t xml:space="preserve">Araraquara </t>
  </si>
  <si>
    <t>Hospital Carlos Fernando Malzoni</t>
  </si>
  <si>
    <t xml:space="preserve">Matão </t>
  </si>
  <si>
    <t xml:space="preserve">São Carlos </t>
  </si>
  <si>
    <t>Hospital Municipal de Diadema</t>
  </si>
  <si>
    <t>BR</t>
  </si>
  <si>
    <t>Hospital e Maternidade São Lucas</t>
  </si>
  <si>
    <t>Hospital da Mulher</t>
  </si>
  <si>
    <t>Complexo Hospitalar Municipal</t>
  </si>
  <si>
    <t>Hospital Dalila Ferreira Barbosa</t>
  </si>
  <si>
    <t>Hospital Nossa Senhora Aparecida (Santa Casa)</t>
  </si>
  <si>
    <t>Hospital Dr. Osíris Florindo Coelho - HOFC</t>
  </si>
  <si>
    <t>Santa Casa de Misericórdia de Guararema</t>
  </si>
  <si>
    <t>Hospital Pimentas Bonsucesso - Manuel de Paiva</t>
  </si>
  <si>
    <t>Hospital Maternidade Jesus José e Maria</t>
  </si>
  <si>
    <t>Hospital Geral de Guarulhos - HGG</t>
  </si>
  <si>
    <t>Hospital Geral de Itaquaquecetuba</t>
  </si>
  <si>
    <t>Irmandade da Santa Casa Santa de Misericórdia de Santa Isabel</t>
  </si>
  <si>
    <t>Hospital e Maternidade de Suzano</t>
  </si>
  <si>
    <t>Hospital Estadual de Caieiras</t>
  </si>
  <si>
    <t>Hospital Enf. Antonio Policarpo de Oliveira</t>
  </si>
  <si>
    <t>Santa Casa de Francisco Morato</t>
  </si>
  <si>
    <t>Hospital Regional de Cotia</t>
  </si>
  <si>
    <t>Unidade Mista e Maternidade Central - Alice Campos Mendes Machado</t>
  </si>
  <si>
    <t>Hospital Geral De Pirajussara</t>
  </si>
  <si>
    <t>Maternidade Municipal Zoraide Eva das Dores</t>
  </si>
  <si>
    <t>Unidade Mista de Saúde de Taboão da Serra</t>
  </si>
  <si>
    <t xml:space="preserve">Taboão da Serra
</t>
  </si>
  <si>
    <t>PS e Maternidade Municipal Nair Fonseca Leitão Arantes</t>
  </si>
  <si>
    <t>Hospital Geral de Itapevi</t>
  </si>
  <si>
    <t>0008036</t>
  </si>
  <si>
    <t>Hospital e Maternidade Municipal Amador Aguiar</t>
  </si>
  <si>
    <t>Hospital e Maternidade Municipal Santa Ana</t>
  </si>
  <si>
    <t xml:space="preserve"> Hospital Municipal de Bertioga</t>
  </si>
  <si>
    <t>Hospital Dr. Luiz Camargo da Fonseca e Silva</t>
  </si>
  <si>
    <t>Hospital Santo Amaro</t>
  </si>
  <si>
    <t>Hospital Regional Jorge Rossmann</t>
  </si>
  <si>
    <t>Unidade Hospitalar de Peruíbe</t>
  </si>
  <si>
    <t xml:space="preserve"> Complexo Hospitalar Irmã Dulce O S S</t>
  </si>
  <si>
    <t>Seção Hospital e Maternidade Municipal Dr. Silverio Fontes</t>
  </si>
  <si>
    <t>Hospital e Maternidade Municipal de São Vicente</t>
  </si>
  <si>
    <t>Maternidade Unidade Hospitalar de Peruíbe</t>
  </si>
  <si>
    <t>Hospital São João</t>
  </si>
  <si>
    <t>Hospital de Agudos</t>
  </si>
  <si>
    <t>Santa Casa de Arealva</t>
  </si>
  <si>
    <t>Maternidade Santa Isabel</t>
  </si>
  <si>
    <t>Hospital Santa Luzia Duartina</t>
  </si>
  <si>
    <t>Santa Casa de Iacanga</t>
  </si>
  <si>
    <t>Hospital Nossa Senhora da Piedade</t>
  </si>
  <si>
    <t>Santa Casas de Macatuba</t>
  </si>
  <si>
    <t>Santa Casa de Pederneiras</t>
  </si>
  <si>
    <t>Santa Casa de Misericórdia de Pirajuí</t>
  </si>
  <si>
    <t>Organização Social Vitale Saúde</t>
  </si>
  <si>
    <t>Hospital e Maternidade São José</t>
  </si>
  <si>
    <t>Santa Casa de Jaú</t>
  </si>
  <si>
    <t>Hospital Santa Therezinha</t>
  </si>
  <si>
    <t>Santa Casa de Dois Córregos</t>
  </si>
  <si>
    <t>Santa Casa de Cafelândia</t>
  </si>
  <si>
    <t>Santa Casa de Lins</t>
  </si>
  <si>
    <t>Hospital da Casa Pia São Vicente de Paula</t>
  </si>
  <si>
    <t>Santa Casa de Laranjal Paulista</t>
  </si>
  <si>
    <t>Santa Casa de Cerqueira César</t>
  </si>
  <si>
    <t>Santa Casa de Avaré</t>
  </si>
  <si>
    <t>Hospital e Maternidade Nossa Senhora das Graças</t>
  </si>
  <si>
    <t>Santa Casa de Fartura</t>
  </si>
  <si>
    <t>Irmandade da Santa Casa de Misericórdia de Itaí</t>
  </si>
  <si>
    <t>Hospital Municipal Leonardus Van Mellis</t>
  </si>
  <si>
    <t>Hospital de Piraju</t>
  </si>
  <si>
    <t>Santa Casa de Misericórdia de Taguaí</t>
  </si>
  <si>
    <t>Santa Casa de Misericórdia de Taquarituba</t>
  </si>
  <si>
    <t>Santa Casa de Adamantina</t>
  </si>
  <si>
    <t>Santa Casa de Misericórdia de Flórida Paulista</t>
  </si>
  <si>
    <t>Santa Casa de Misericórdia de Osvaldo Cruz</t>
  </si>
  <si>
    <t>Santa Casa de Assis</t>
  </si>
  <si>
    <t>Santa Casa de Paraguaçu Paulista</t>
  </si>
  <si>
    <t>Santa Casa de Misericórdia de Cândido Mota</t>
  </si>
  <si>
    <t>Santa Casa de Misericórdia de Palmital</t>
  </si>
  <si>
    <t>Hospital São Lucas da Associação Hospitalar Beneficente do Brasil</t>
  </si>
  <si>
    <t>Maternidade Gota de Leite</t>
  </si>
  <si>
    <t>Santa Casa de Misericórdia de Santa Cruz do Rio Pardo</t>
  </si>
  <si>
    <t>Santa Casa de Misericórdia de Ourinhos</t>
  </si>
  <si>
    <t>Santa Casa de Chavantes</t>
  </si>
  <si>
    <t>Santa Casa de Ipaussu</t>
  </si>
  <si>
    <t>Santa Casa de Tupã</t>
  </si>
  <si>
    <t>Santa Casa de Dracena</t>
  </si>
  <si>
    <t>Santa Casa de Junqueirópolis</t>
  </si>
  <si>
    <t>Santa Casa de Tupi Paulista</t>
  </si>
  <si>
    <t xml:space="preserve"> Junqueirópolis </t>
  </si>
  <si>
    <t>Santa Casa de Misericórdia Pe. João Schneider</t>
  </si>
  <si>
    <t>Santa Casa de Santo Anastácio</t>
  </si>
  <si>
    <t>Hospital e Maternidade de Rancharia</t>
  </si>
  <si>
    <t>Santa Casa de Presidente Venceslau</t>
  </si>
  <si>
    <t>Santa Casa de Presidente Epitácio</t>
  </si>
  <si>
    <t>Hospital Estadual Porto Primavera</t>
  </si>
  <si>
    <t>Hospital Regional de Teodoro Sampaio</t>
  </si>
  <si>
    <t>Santa Casa de Araçatuba - Hospital Sagrado Coração de Jesus</t>
  </si>
  <si>
    <t>Santa Casa de Auriflama</t>
  </si>
  <si>
    <t>Santa Casa de Valparaíso</t>
  </si>
  <si>
    <t>Santa Casa de Misericórdia de Guararapes</t>
  </si>
  <si>
    <t>Santa Casa de Andradina</t>
  </si>
  <si>
    <t>Hospital Estadual de Mirandópolis Dr. Oswaldo Brandi Faria</t>
  </si>
  <si>
    <t>Hospital Regional de Ilha Solteira</t>
  </si>
  <si>
    <t>Santa Casa de Misericórdia de Pereira Barreto</t>
  </si>
  <si>
    <t>Santa Casa de Sud Menucci</t>
  </si>
  <si>
    <t>Sud Menucci</t>
  </si>
  <si>
    <t>Irmandade da Santa Casa de Misericórdia de Penápolis</t>
  </si>
  <si>
    <t>Santa Casa de Birigui</t>
  </si>
  <si>
    <t>Santa Casa de Misericórdia São Francisco</t>
  </si>
  <si>
    <t>Irmandade São José de Novo Horizonte</t>
  </si>
  <si>
    <t>Santa Casa de Santa Fé do Sul</t>
  </si>
  <si>
    <t>Santa Casa de Misericórdia de Jales</t>
  </si>
  <si>
    <t>Santa Casa de Fernandópolis</t>
  </si>
  <si>
    <t>Santa Casa de Misericórdia de São José do Rio Preto</t>
  </si>
  <si>
    <t>Santa Casa de Misericórdia de Votuporanga</t>
  </si>
  <si>
    <t>Santa Casa de Olímpia</t>
  </si>
  <si>
    <t>Santa Casa de Barretos</t>
  </si>
  <si>
    <t>Hospital João Depieri</t>
  </si>
  <si>
    <t>Hospital José Venâncio</t>
  </si>
  <si>
    <t>Santa Casa de Guaíra</t>
  </si>
  <si>
    <t>Hospital Municipal de Bebedouro Julia Pinto Caldeira</t>
  </si>
  <si>
    <t>Maternidade Fernando Magalhães</t>
  </si>
  <si>
    <t>Santa Casa de Ipuã</t>
  </si>
  <si>
    <t>Hospital São Marcos</t>
  </si>
  <si>
    <t xml:space="preserve">Morro Agudo </t>
  </si>
  <si>
    <t>Hospital Beneficente Santo Antônio</t>
  </si>
  <si>
    <t xml:space="preserve">Orlandia </t>
  </si>
  <si>
    <t>Hospital Santa Rita de Sales Oliveira</t>
  </si>
  <si>
    <t xml:space="preserve">Sales Oliveira </t>
  </si>
  <si>
    <t>Santa Casa de Misericórdia de São Joaquim da Barra</t>
  </si>
  <si>
    <t xml:space="preserve">São Joaquim da Barra </t>
  </si>
  <si>
    <t>Santa Casa de Misericórdia de Ituverava</t>
  </si>
  <si>
    <t xml:space="preserve">Ituverava </t>
  </si>
  <si>
    <t>Santa Casa de Guará</t>
  </si>
  <si>
    <t xml:space="preserve">Guará </t>
  </si>
  <si>
    <t>Santa Casa de Igarapava</t>
  </si>
  <si>
    <t>Santa Casa de Miguelópolis</t>
  </si>
  <si>
    <t>Miguelópolis</t>
  </si>
  <si>
    <t>Santa Casa de Franca</t>
  </si>
  <si>
    <t>Santa Casa de Patrocinio Paulista</t>
  </si>
  <si>
    <t xml:space="preserve">Patrocinio Paulista </t>
  </si>
  <si>
    <t>Santa Casa de Misericórdia de Pedregulho</t>
  </si>
  <si>
    <t>Santa Casa de Misericórdia de Patrocínio Paulista</t>
  </si>
  <si>
    <t>Centro de Ref. da Saúde da Mulher de R. Preto MATER</t>
  </si>
  <si>
    <t>Hospital Electro Bonini</t>
  </si>
  <si>
    <t>Santa Casa de Santa Rita do Passa Quatro</t>
  </si>
  <si>
    <t>Sertãozinho</t>
  </si>
  <si>
    <t>Santa Casa de Guariba</t>
  </si>
  <si>
    <t>Hospital e Maternidade Santa Isabel</t>
  </si>
  <si>
    <t>Santa Casa de Monte Alto</t>
  </si>
  <si>
    <t>Santa Casa de Misericórdia de Pitangueiras</t>
  </si>
  <si>
    <t>Santa Casa de Pontal</t>
  </si>
  <si>
    <t>Hospital Major Antonio Candido</t>
  </si>
  <si>
    <t>Casa de Caridade São Vicente de Paulo</t>
  </si>
  <si>
    <t>Hospital e Maternidade Madre Vannini</t>
  </si>
  <si>
    <t>Santa Casa de Leme</t>
  </si>
  <si>
    <t>Santa Casa de Pirassununga</t>
  </si>
  <si>
    <t>Santa Casa de Limeira</t>
  </si>
  <si>
    <t>Sociedade Operária Humanitária de Limeira</t>
  </si>
  <si>
    <t>Santa Casa de São Pedro</t>
  </si>
  <si>
    <t>Santa Casa de Misericórdia de Capivari</t>
  </si>
  <si>
    <t>Santa Casa de Rio Claro</t>
  </si>
  <si>
    <t>Hospital São Camilo</t>
  </si>
  <si>
    <t>Hospital Municipal Dr. Waldemar Tebaldi</t>
  </si>
  <si>
    <t>Hospital Santa Casa Anna Cintra</t>
  </si>
  <si>
    <t>Hospital e Maternidade de Artur Nogueira</t>
  </si>
  <si>
    <t>Hospital e Maternidade Celso Pierro</t>
  </si>
  <si>
    <t>Maternidade de Campinas</t>
  </si>
  <si>
    <t>Hospital Beneficente Santa Gertrudes</t>
  </si>
  <si>
    <t>Hospital Municipal Walter Ferrari</t>
  </si>
  <si>
    <t>Hospital Municipal Dr. Mario Covas</t>
  </si>
  <si>
    <t>Condomínio Edifício Clínica Integrada</t>
  </si>
  <si>
    <t>Santa Casa de Itatiba</t>
  </si>
  <si>
    <t>Hospital Beneficente Sagrado Coração de Jesus</t>
  </si>
  <si>
    <t>Hospital e Maternidade Nova Odessa</t>
  </si>
  <si>
    <t>Hospital Municipal de Paulínia</t>
  </si>
  <si>
    <t>Santa Casa de Santa Bárbara d'Oeste</t>
  </si>
  <si>
    <t>Hospital Santa Rosa de Lima</t>
  </si>
  <si>
    <t>Santa Casa de Valinhos</t>
  </si>
  <si>
    <t>Santa Casa de Vinhedo</t>
  </si>
  <si>
    <t>Santa Casa de Misericórdia Dona Carolina Malheiros</t>
  </si>
  <si>
    <t>Hospital São Vicente</t>
  </si>
  <si>
    <t>Santa Casa de Mococa</t>
  </si>
  <si>
    <t>Hospital Francisco Rosas</t>
  </si>
  <si>
    <t>Santa Casa de Mogi Guaçu</t>
  </si>
  <si>
    <t>Hospital Municipal de Itapira</t>
  </si>
  <si>
    <t>Irmandade da SAnta Casa de Misericórdia de Mogi Mirim</t>
  </si>
  <si>
    <t>Santa Casa de Santa Cruz das Palmeiras</t>
  </si>
  <si>
    <t>Santa Casa de Misericórdia de Tambaú</t>
  </si>
  <si>
    <t>Hospital de Caridade de Vargem Grande do Sul</t>
  </si>
  <si>
    <t>Santa Casa de Atibaia</t>
  </si>
  <si>
    <t>Santa Casa de Bragança Paulista</t>
  </si>
  <si>
    <t>Santa Casa de Piracaia</t>
  </si>
  <si>
    <t>Hospital Dr. Renato Silva de Socorro</t>
  </si>
  <si>
    <t>Hospital São Roque Cabreúva</t>
  </si>
  <si>
    <t>Hospital de Clínicas Campo Limpo Paulista</t>
  </si>
  <si>
    <t>Hospital Nossa Senhora Aparecida</t>
  </si>
  <si>
    <t>Hospital Universitário de Jundiaí</t>
  </si>
  <si>
    <t>Santa Casa de Louveira</t>
  </si>
  <si>
    <t>Hospital e Maternidade Nossa Senhora Da Ajuda - FUSAM</t>
  </si>
  <si>
    <t>Hospital São Francisco de Assis</t>
  </si>
  <si>
    <t>Hospital Municipal Dr. José de Carvalho Florence</t>
  </si>
  <si>
    <t>Santa Casa de Cruzeiro</t>
  </si>
  <si>
    <t>Santa Casa de Misericordia e Maternidade Nossa Senhora da Conceição</t>
  </si>
  <si>
    <t>Santa Casa de Misericórdia de Guaratinguetá</t>
  </si>
  <si>
    <t>Casa de Saúde Stella Maris</t>
  </si>
  <si>
    <t>Hospital Municipal Gov. Mario Covas Jr.</t>
  </si>
  <si>
    <t>Hospital de Clínicas de São Sebastião</t>
  </si>
  <si>
    <t>Santa Casa de Misericórdia de Ubatuba</t>
  </si>
  <si>
    <t>Complexo Municipal de Saúde</t>
  </si>
  <si>
    <t>Santa Casa de Pindamonhangaba</t>
  </si>
  <si>
    <t xml:space="preserve">Santa Casa de Pindamonhangaba </t>
  </si>
  <si>
    <t>Santa Casa São Bento do Sapucaí</t>
  </si>
  <si>
    <t>Maternidade Gota de Leite de Araraquara</t>
  </si>
  <si>
    <t>Hospital São Sebastião - Borborema</t>
  </si>
  <si>
    <t xml:space="preserve">Borborema </t>
  </si>
  <si>
    <t>Santa Casa de Caridade e Maternidade Ibitinga</t>
  </si>
  <si>
    <t xml:space="preserve">Ibitinga </t>
  </si>
  <si>
    <t>Santa Casa de Misericórdia Itápolis</t>
  </si>
  <si>
    <t>Santa Casa de Misericórdia de Nova Europa</t>
  </si>
  <si>
    <t>Santa Casa de Misericórdia São Miguel Tabatinga</t>
  </si>
  <si>
    <t>Santa Casa Descalvado</t>
  </si>
  <si>
    <t>Casa de Saúde Santa Emília</t>
  </si>
  <si>
    <t>APAE Ibaté</t>
  </si>
  <si>
    <t>Hospital Dona Balbina</t>
  </si>
  <si>
    <t>Santa Casa de Misericórdia de Ribeirão Bonito</t>
  </si>
  <si>
    <t>Santa Casa de São Carlos</t>
  </si>
  <si>
    <t>Santa Casa de Taquaritinga</t>
  </si>
  <si>
    <t>Conjunto Hospitalar do Mandaqui São Paulo</t>
  </si>
  <si>
    <t xml:space="preserve"> Hospital Municipal Maternidade Esc. Dr. Mario de Moraes A. Silva</t>
  </si>
  <si>
    <t>Hospital Kátia de Souza Rodrigues Taipas São Paulo</t>
  </si>
  <si>
    <t>Santana / Jaçanã</t>
  </si>
  <si>
    <t>Hospital São Luiz Gonzaga</t>
  </si>
  <si>
    <t>Hospital Municipal Vereador José Storopolli</t>
  </si>
  <si>
    <t xml:space="preserve"> Hospital Maternidade Interlagos</t>
  </si>
  <si>
    <t>UBS Jd. Cliper</t>
  </si>
  <si>
    <t xml:space="preserve"> AE Alto da Boa Vista</t>
  </si>
  <si>
    <t xml:space="preserve"> AMA Esp. Vila Constância</t>
  </si>
  <si>
    <t>Hospital Dia M Boi Mirim I - Jd. Ibirapuera</t>
  </si>
  <si>
    <t>Hospital Dia M Boi Mirim II - Vera Cruz</t>
  </si>
  <si>
    <t xml:space="preserve"> Hospital Municipal Fernando Mauro Pires da Rocha</t>
  </si>
  <si>
    <t xml:space="preserve"> AE Jardim Marcelo</t>
  </si>
  <si>
    <t xml:space="preserve"> AMA Capão Redondo</t>
  </si>
  <si>
    <t xml:space="preserve"> UBS Nascer do Sol</t>
  </si>
  <si>
    <t>UBS Burgo Paulista</t>
  </si>
  <si>
    <t>AE São Carlos</t>
  </si>
  <si>
    <t>Hospital Dia Itaim Paulista</t>
  </si>
  <si>
    <t>AMA E Itaquera</t>
  </si>
  <si>
    <t>Hospital Dia São Mateus</t>
  </si>
  <si>
    <t>Hospital Dia São Miguel</t>
  </si>
  <si>
    <t>Santa Casa de São Paulo Hospital Central São Paulo</t>
  </si>
  <si>
    <t>HC da FMUSP Hospital Das Clínicas São Paulo</t>
  </si>
  <si>
    <t>Hospital Municipal Maternidade Prof. Mario Degni</t>
  </si>
  <si>
    <t>Hospital Dia Flávio Gianotti</t>
  </si>
  <si>
    <t>Hospital Ipiranga II</t>
  </si>
  <si>
    <t>Hospital Geral Henrique Altimeyer de Vila Alpina</t>
  </si>
  <si>
    <t>Hospital Dia Mooca</t>
  </si>
  <si>
    <t>Hospital e Maternidade Leonor Mendes de Barros</t>
  </si>
  <si>
    <t>Hospital Municipal Gilson de Cassia Marques de Carvalho</t>
  </si>
  <si>
    <t>AMA UBS Dr. Geraldo da Silva Ferreira</t>
  </si>
  <si>
    <t>AE Sapopemba</t>
  </si>
  <si>
    <t>Hospital Dia Vila Prudente</t>
  </si>
  <si>
    <t>Hospital Dia Penha Hatiro Shimomoto</t>
  </si>
  <si>
    <t xml:space="preserve">Hospital Municipal Josanias Castanha Braga </t>
  </si>
  <si>
    <t>Hospital Geral do Grajaú Prof. John Alphonse Di Dio SP</t>
  </si>
  <si>
    <t>Hospital Geral de Pedreira</t>
  </si>
  <si>
    <t>Hospital Maternidade Interlagos</t>
  </si>
  <si>
    <t>Hospital Municipal Fernando Mauro Pires da Rocha</t>
  </si>
  <si>
    <t>Amparo Maternal</t>
  </si>
  <si>
    <t>Hospital Municipal M Boi Mirim</t>
  </si>
  <si>
    <t>Hospital Municipal Carmen Prudente</t>
  </si>
  <si>
    <t>Hospital Municipal Prof. Dr. Alipio Correa Neto</t>
  </si>
  <si>
    <t>Hospital Geral Jesus Teixeira da Costa</t>
  </si>
  <si>
    <t>Hospital Geral Santa Marcelina de Itaim Paulista</t>
  </si>
  <si>
    <t>Hospital Municipal Tide Setubal</t>
  </si>
  <si>
    <t>Hospital Municipal Prof. Dr. Waldomiro de Paula</t>
  </si>
  <si>
    <t>Hospital Geral de São Mateus</t>
  </si>
  <si>
    <t xml:space="preserve">Hospital Universitário da USP São Paulo </t>
  </si>
  <si>
    <t>Hospital Ipiranga</t>
  </si>
  <si>
    <t xml:space="preserve">Hospital Municipal Ignacio Proença de Gouveia </t>
  </si>
  <si>
    <t>Hospital Estadual Sapopemba</t>
  </si>
  <si>
    <t xml:space="preserve"> RRAS 1</t>
  </si>
  <si>
    <t xml:space="preserve"> RRAS 2</t>
  </si>
  <si>
    <t xml:space="preserve"> RRAS 3</t>
  </si>
  <si>
    <t xml:space="preserve"> RRAS 4</t>
  </si>
  <si>
    <t xml:space="preserve"> RRAS 5</t>
  </si>
  <si>
    <t>RRAS 7 - BAIXADA SANTISTA</t>
  </si>
  <si>
    <t>RRAS 7 - REGISTRO</t>
  </si>
  <si>
    <t xml:space="preserve"> RRAS 8</t>
  </si>
  <si>
    <t xml:space="preserve"> RRAS 9</t>
  </si>
  <si>
    <t xml:space="preserve"> RRAS 10</t>
  </si>
  <si>
    <t xml:space="preserve"> RRAS 11</t>
  </si>
  <si>
    <t xml:space="preserve"> RRAS 12 - ARAÇATUBA</t>
  </si>
  <si>
    <t>RRAS 12 - SÃO JOSÉ DO RIO PRETO</t>
  </si>
  <si>
    <t xml:space="preserve"> RRAS 13 - BARRETOS</t>
  </si>
  <si>
    <t>RRAS 13 - FRANCA</t>
  </si>
  <si>
    <t>RRAS 13 - RIBEIRÃO PRETO</t>
  </si>
  <si>
    <t xml:space="preserve"> RRAS 14</t>
  </si>
  <si>
    <t xml:space="preserve"> RRAS 15 - CAMPINAS</t>
  </si>
  <si>
    <t>RRAS 15 - SÃO JOÃO DA BOA VISTA</t>
  </si>
  <si>
    <t xml:space="preserve"> RRAS 16</t>
  </si>
  <si>
    <t xml:space="preserve"> RRAS 17</t>
  </si>
  <si>
    <t xml:space="preserve"> RRAS 18</t>
  </si>
  <si>
    <t>Tabela 1 APS - Cobertura de Acesso e Capacidade Instalada na Atenção Primária à Saúde (APS) Para a Gestação de Baixo Risco</t>
  </si>
  <si>
    <t>Número de Leitos Necessários Para a Rede Materna e Infantil</t>
  </si>
  <si>
    <r>
      <rPr>
        <rFont val="Arial"/>
        <b/>
        <color theme="1"/>
        <sz val="11.0"/>
      </rPr>
      <t xml:space="preserve">OBSTÉTRICOS
</t>
    </r>
    <r>
      <rPr>
        <rFont val="Arial"/>
        <b val="0"/>
        <color theme="1"/>
        <sz val="11.0"/>
      </rPr>
      <t>(Taxa de ocupação de 90% - Rede Alyne)</t>
    </r>
  </si>
  <si>
    <r>
      <rPr>
        <rFont val="Arial"/>
        <b/>
        <color theme="1"/>
        <sz val="11.0"/>
      </rPr>
      <t xml:space="preserve">Leitos GAR para atender as gestantes susdependentes do município - RRAS
</t>
    </r>
    <r>
      <rPr>
        <rFont val="Arial"/>
        <b val="0"/>
        <color theme="1"/>
        <sz val="11.0"/>
      </rPr>
      <t>(30% - Rede Alyne)</t>
    </r>
  </si>
  <si>
    <t>UTI ADULTO</t>
  </si>
  <si>
    <t>UTIN</t>
  </si>
  <si>
    <r>
      <rPr>
        <rFont val="Arial"/>
        <b/>
        <color theme="1"/>
        <sz val="11.0"/>
      </rPr>
      <t xml:space="preserve">UCINCO
</t>
    </r>
    <r>
      <rPr>
        <rFont val="Arial"/>
        <b val="0"/>
        <color theme="1"/>
        <sz val="11.0"/>
      </rPr>
      <t>(x3 Portaria 2015)</t>
    </r>
  </si>
  <si>
    <t>UCINCA</t>
  </si>
  <si>
    <t>CPN I</t>
  </si>
  <si>
    <t>CPN II</t>
  </si>
  <si>
    <t>CGBP</t>
  </si>
  <si>
    <t>3 Leitos</t>
  </si>
  <si>
    <t>5 Leitos</t>
  </si>
  <si>
    <t>10 Leitos</t>
  </si>
  <si>
    <t>15 Leitos</t>
  </si>
  <si>
    <t>20 Leitos</t>
  </si>
  <si>
    <t>Tabela 1 - Cobertura de Acesso e Capacidade Instalada na Atenção Ambulatorial Especializada (AAE) Gestação de Alto Risco e na Atenção Primária à Saúde (APS) para Parto Baixo Risco (BR)</t>
  </si>
  <si>
    <t>NOME DO ESTABELECIMENTO (AAE)</t>
  </si>
  <si>
    <t>MUNICÍPIO DO ESTABELECIMENTO (AAE)</t>
  </si>
  <si>
    <t xml:space="preserve">CNES </t>
  </si>
  <si>
    <t>NOME DO ESTABELECIMENTO (BR)</t>
  </si>
  <si>
    <t>MUNICÍPIO DO ESTABELECIMENTO (BR)</t>
  </si>
  <si>
    <r>
      <rPr>
        <rFont val="Arial"/>
        <color rgb="FF333333"/>
        <sz val="12.0"/>
      </rPr>
      <t>Araçatub</t>
    </r>
    <r>
      <rPr>
        <rFont val="Arial"/>
        <color rgb="FF333333"/>
        <sz val="12.0"/>
      </rPr>
      <t>a</t>
    </r>
  </si>
  <si>
    <r>
      <rPr>
        <rFont val="Arial"/>
        <color rgb="FF333333"/>
        <sz val="12.0"/>
      </rPr>
      <t>Araçatub</t>
    </r>
    <r>
      <rPr>
        <rFont val="Arial"/>
        <color rgb="FF333333"/>
        <sz val="12.0"/>
      </rPr>
      <t>a</t>
    </r>
  </si>
  <si>
    <r>
      <rPr>
        <rFont val="Arial"/>
        <color rgb="FF333333"/>
        <sz val="12.0"/>
      </rPr>
      <t>Araçatub</t>
    </r>
    <r>
      <rPr>
        <rFont val="Arial"/>
        <color rgb="FF333333"/>
        <sz val="12.0"/>
      </rPr>
      <t>a</t>
    </r>
  </si>
  <si>
    <r>
      <rPr>
        <rFont val="Arial"/>
        <color rgb="FF333333"/>
        <sz val="12.0"/>
      </rPr>
      <t>Araçatub</t>
    </r>
    <r>
      <rPr>
        <rFont val="Arial"/>
        <color rgb="FF333333"/>
        <sz val="12.0"/>
      </rPr>
      <t>a</t>
    </r>
  </si>
  <si>
    <r>
      <rPr>
        <rFont val="Arial"/>
        <color rgb="FF333333"/>
        <sz val="12.0"/>
      </rPr>
      <t>Araçatub</t>
    </r>
    <r>
      <rPr>
        <rFont val="Arial"/>
        <color rgb="FF333333"/>
        <sz val="12.0"/>
      </rPr>
      <t>a</t>
    </r>
  </si>
  <si>
    <r>
      <rPr>
        <rFont val="Arial"/>
        <color rgb="FF333333"/>
        <sz val="12.0"/>
      </rPr>
      <t>Araçatub</t>
    </r>
    <r>
      <rPr>
        <rFont val="Arial"/>
        <color rgb="FF333333"/>
        <sz val="12.0"/>
      </rPr>
      <t>a</t>
    </r>
  </si>
  <si>
    <r>
      <rPr>
        <rFont val="Arial"/>
        <color rgb="FF333333"/>
        <sz val="12.0"/>
      </rPr>
      <t>Araçatub</t>
    </r>
    <r>
      <rPr>
        <rFont val="Arial"/>
        <color rgb="FF333333"/>
        <sz val="12.0"/>
      </rPr>
      <t>a</t>
    </r>
  </si>
  <si>
    <r>
      <rPr>
        <rFont val="Arial"/>
        <color rgb="FF333333"/>
        <sz val="12.0"/>
      </rPr>
      <t>Araçatub</t>
    </r>
    <r>
      <rPr>
        <rFont val="Arial"/>
        <color rgb="FF333333"/>
        <sz val="12.0"/>
      </rPr>
      <t>a</t>
    </r>
  </si>
  <si>
    <r>
      <rPr>
        <rFont val="Arial"/>
        <color rgb="FF333333"/>
        <sz val="12.0"/>
      </rPr>
      <t>Araçatub</t>
    </r>
    <r>
      <rPr>
        <rFont val="Arial"/>
        <color rgb="FF333333"/>
        <sz val="12.0"/>
      </rPr>
      <t>a</t>
    </r>
  </si>
  <si>
    <r>
      <rPr>
        <rFont val="Arial"/>
        <color rgb="FF333333"/>
        <sz val="12.0"/>
      </rPr>
      <t>Araçatub</t>
    </r>
    <r>
      <rPr>
        <rFont val="Arial"/>
        <color rgb="FF333333"/>
        <sz val="12.0"/>
      </rPr>
      <t>a</t>
    </r>
  </si>
  <si>
    <r>
      <rPr>
        <rFont val="Arial"/>
        <color rgb="FF333333"/>
        <sz val="12.0"/>
      </rPr>
      <t>Araçatub</t>
    </r>
    <r>
      <rPr>
        <rFont val="Arial"/>
        <color rgb="FF333333"/>
        <sz val="12.0"/>
      </rPr>
      <t>a</t>
    </r>
  </si>
  <si>
    <r>
      <rPr>
        <rFont val="Arial"/>
        <color rgb="FF333333"/>
        <sz val="12.0"/>
      </rPr>
      <t>Araçatub</t>
    </r>
    <r>
      <rPr>
        <rFont val="Arial"/>
        <color rgb="FF333333"/>
        <sz val="12.0"/>
      </rPr>
      <t>a</t>
    </r>
  </si>
  <si>
    <r>
      <rPr>
        <rFont val="Arial"/>
        <color rgb="FF333333"/>
        <sz val="12.0"/>
      </rPr>
      <t>Araçatub</t>
    </r>
    <r>
      <rPr>
        <rFont val="Arial"/>
        <color rgb="FF333333"/>
        <sz val="12.0"/>
      </rPr>
      <t>a</t>
    </r>
  </si>
  <si>
    <r>
      <rPr>
        <rFont val="Arial"/>
        <color rgb="FF333333"/>
        <sz val="12.0"/>
      </rPr>
      <t>Araçatub</t>
    </r>
    <r>
      <rPr>
        <rFont val="Arial"/>
        <color rgb="FF333333"/>
        <sz val="12.0"/>
      </rPr>
      <t>a</t>
    </r>
  </si>
  <si>
    <r>
      <rPr>
        <rFont val="Arial"/>
        <color rgb="FF333333"/>
        <sz val="12.0"/>
      </rPr>
      <t>Araçatub</t>
    </r>
    <r>
      <rPr>
        <rFont val="Arial"/>
        <color rgb="FF333333"/>
        <sz val="12.0"/>
      </rPr>
      <t>a</t>
    </r>
  </si>
  <si>
    <r>
      <rPr>
        <rFont val="Arial"/>
        <color rgb="FF333333"/>
        <sz val="12.0"/>
      </rPr>
      <t>Araçatub</t>
    </r>
    <r>
      <rPr>
        <rFont val="Arial"/>
        <color rgb="FF333333"/>
        <sz val="12.0"/>
      </rPr>
      <t>a</t>
    </r>
  </si>
  <si>
    <r>
      <rPr>
        <rFont val="Arial"/>
        <color rgb="FF333333"/>
        <sz val="12.0"/>
      </rPr>
      <t>Araçatub</t>
    </r>
    <r>
      <rPr>
        <rFont val="Arial"/>
        <color rgb="FF333333"/>
        <sz val="12.0"/>
      </rPr>
      <t>a</t>
    </r>
  </si>
  <si>
    <r>
      <rPr>
        <rFont val="Arial"/>
        <color rgb="FF333333"/>
        <sz val="12.0"/>
      </rPr>
      <t>Araçatub</t>
    </r>
    <r>
      <rPr>
        <rFont val="Arial"/>
        <color rgb="FF333333"/>
        <sz val="12.0"/>
      </rPr>
      <t>a</t>
    </r>
  </si>
  <si>
    <r>
      <rPr>
        <rFont val="Arial"/>
        <color rgb="FF333333"/>
        <sz val="12.0"/>
      </rPr>
      <t>Araçatub</t>
    </r>
    <r>
      <rPr>
        <rFont val="Arial"/>
        <color rgb="FF333333"/>
        <sz val="12.0"/>
      </rPr>
      <t>a</t>
    </r>
  </si>
  <si>
    <r>
      <rPr>
        <rFont val="Arial"/>
        <color rgb="FF333333"/>
        <sz val="12.0"/>
      </rPr>
      <t>Araçatub</t>
    </r>
    <r>
      <rPr>
        <rFont val="Arial"/>
        <color rgb="FF333333"/>
        <sz val="12.0"/>
      </rPr>
      <t>a</t>
    </r>
  </si>
  <si>
    <r>
      <rPr>
        <rFont val="Arial"/>
        <color rgb="FF333333"/>
        <sz val="12.0"/>
      </rPr>
      <t>Araçatub</t>
    </r>
    <r>
      <rPr>
        <rFont val="Arial"/>
        <color rgb="FF333333"/>
        <sz val="12.0"/>
      </rPr>
      <t>a</t>
    </r>
  </si>
  <si>
    <r>
      <rPr>
        <rFont val="Arial"/>
        <color rgb="FF333333"/>
        <sz val="12.0"/>
      </rPr>
      <t>Araçatub</t>
    </r>
    <r>
      <rPr>
        <rFont val="Arial"/>
        <color rgb="FF333333"/>
        <sz val="12.0"/>
      </rPr>
      <t>a</t>
    </r>
  </si>
  <si>
    <r>
      <rPr>
        <rFont val="Arial"/>
        <color rgb="FF333333"/>
        <sz val="12.0"/>
      </rPr>
      <t>Araçatub</t>
    </r>
    <r>
      <rPr>
        <rFont val="Arial"/>
        <color rgb="FF333333"/>
        <sz val="12.0"/>
      </rPr>
      <t>a</t>
    </r>
  </si>
  <si>
    <r>
      <rPr>
        <rFont val="Arial"/>
        <color rgb="FF333333"/>
        <sz val="12.0"/>
      </rPr>
      <t>Araçatub</t>
    </r>
    <r>
      <rPr>
        <rFont val="Arial"/>
        <color rgb="FF333333"/>
        <sz val="12.0"/>
      </rPr>
      <t>a</t>
    </r>
  </si>
  <si>
    <r>
      <rPr>
        <rFont val="Arial"/>
        <color rgb="FF333333"/>
        <sz val="12.0"/>
      </rPr>
      <t>Araçatub</t>
    </r>
    <r>
      <rPr>
        <rFont val="Arial"/>
        <color rgb="FF333333"/>
        <sz val="12.0"/>
      </rPr>
      <t>a</t>
    </r>
  </si>
  <si>
    <r>
      <rPr>
        <rFont val="Arial"/>
        <color rgb="FF333333"/>
        <sz val="12.0"/>
      </rPr>
      <t>Araçatub</t>
    </r>
    <r>
      <rPr>
        <rFont val="Arial"/>
        <color rgb="FF333333"/>
        <sz val="12.0"/>
      </rPr>
      <t>a</t>
    </r>
  </si>
  <si>
    <r>
      <rPr>
        <rFont val="Arial"/>
        <color rgb="FF333333"/>
        <sz val="12.0"/>
      </rPr>
      <t>Araçatub</t>
    </r>
    <r>
      <rPr>
        <rFont val="Arial"/>
        <color rgb="FF333333"/>
        <sz val="12.0"/>
      </rPr>
      <t>a</t>
    </r>
  </si>
  <si>
    <r>
      <rPr>
        <rFont val="Arial"/>
        <color rgb="FF333333"/>
        <sz val="12.0"/>
      </rPr>
      <t>Araçatub</t>
    </r>
    <r>
      <rPr>
        <rFont val="Arial"/>
        <color rgb="FF333333"/>
        <sz val="12.0"/>
      </rPr>
      <t>a</t>
    </r>
  </si>
  <si>
    <t>RRAS:</t>
  </si>
  <si>
    <t>CAPACIDADE OPERACIONAL PRÉ-NATAL DE ALTO RISCO</t>
  </si>
  <si>
    <t>TOTAL DE GESTANTES SUSDEPENDENTES ESTIMADAS/ANO = VIDE TABELA 1</t>
  </si>
  <si>
    <t>TOTAL DE GESTANTES DE ALTO RISCO SUSDEPENDENTES ESTIMADAS/ANO = 15% DAS GESTANTES SUSDEPENDENTES ESTIMADAS</t>
  </si>
  <si>
    <t>PREVISÃO DE NÚMERO DE CONSULTA DE PRÉ-NATAL  ALTO RISCO/ANO = Nº DE GESTANTES DE ALTO RISCO ESTIMADAS X 12 CONSULTAS</t>
  </si>
  <si>
    <t>OBSERVAR QUE O RESULTADO OBTIDO É O TOTAL DE CONSULTAS NECESSÁRIAS PARA A RRAS/REGIÃO/MUNICIPIO/ANO . O ESTABELECIMENTO DEVERÁ PREVER SE HÁ NECESSIDADE DE CONTRATAÇÃO DE RH E SERVIÇOS PARA O ATENDIMENTO DE 100% DAS CONSULTAS ESTIMADAS</t>
  </si>
  <si>
    <t>PARA ESTIMATIVA DE CAPACIDADE DE CONSULTAS DO AAE(AGAR)/ANO  CONSIDERAR DE 3 A 4 CONSULTAS /HORA/PROFISSIONAL, ESSA INFORMAÇÃO DEVE SER OBTIDA JUNTO AO SERVIÇO DE ALTO RISCO.</t>
  </si>
  <si>
    <t>NÃO ESQUECER DE COLOCAR O NOME DO ESTABELECIMENTO E CNES</t>
  </si>
  <si>
    <t>tabela: 2     Cobertura de Acesso e capacidade instalada na Atenção Ambulatorial Especializada (AAE) - PRÉ-NATAL DE ALTO RISCO (AGAR)</t>
  </si>
  <si>
    <t>MUNICIPIO</t>
  </si>
  <si>
    <t>TOTAL DE GESTANTES SUSDEPENDENTES ESTIMADAS/ANO
(trazer da tabela1 APS)</t>
  </si>
  <si>
    <t>TOTAL DE GESTANTES DE ALTO RISCO SUSDEPENDENTES ESTIMADAS/ANO</t>
  </si>
  <si>
    <t>PREVISÃO DE NÚMERO DE CONSULTA DE ALTO RISCO PARA MUNICIPIO/ANO</t>
  </si>
  <si>
    <t>CNES/ESTABELECIMENTO PARA REFERENCIA PARA AAE (AGAR)</t>
  </si>
  <si>
    <t>ESTIMATIVA DE CAPACIDADE PARA CONSULTAS DO AAE/ANO</t>
  </si>
  <si>
    <t>GESTÃO</t>
  </si>
  <si>
    <t>INDICADO PARA HABILITAÇÃO TIPO I OU TIPO II</t>
  </si>
  <si>
    <t>CONSULTA REGULADA (S) OU (N)</t>
  </si>
  <si>
    <t>CNES/ESTABELECIMENTO DA REFERENCIA PARA PARTO DE ALTO RISCO</t>
  </si>
  <si>
    <t>Grande Sao Paulo</t>
  </si>
  <si>
    <t>5851084 - QUATEIRÃO DA SAUDE</t>
  </si>
  <si>
    <t>Municipal</t>
  </si>
  <si>
    <t>Não Atende os Parâmetros da Portaria</t>
  </si>
  <si>
    <t>S</t>
  </si>
  <si>
    <t>2080028  - HOSPITAL MUNICIPAL DE DIADEMA</t>
  </si>
  <si>
    <t>6442781 - CENTRO DE REF EM SAUDE DA MULHER CRIANCA E ADOLESCENTE</t>
  </si>
  <si>
    <t>I</t>
  </si>
  <si>
    <t>s</t>
  </si>
  <si>
    <t>2082349 - HOSPITAL RADAMES NARDINI</t>
  </si>
  <si>
    <t>2906562 - CAISM</t>
  </si>
  <si>
    <t>-</t>
  </si>
  <si>
    <t xml:space="preserve">6020917 - HOSPITAL DA MULHER </t>
  </si>
  <si>
    <t xml:space="preserve">I </t>
  </si>
  <si>
    <t>2035081 - CAISM</t>
  </si>
  <si>
    <t>II</t>
  </si>
  <si>
    <t>2027356 - HOSPITAL MUNICIPAL UNIVERSITARIO / HOSPITAL DA MULHER</t>
  </si>
  <si>
    <t>2038196 - CAISM CENTRO DE ATENCAO INT SAUDE DA MULHER SC DO SUL</t>
  </si>
  <si>
    <t>2082594 - COMPLEXO HOSPITALAR MARCIA E MARIA BRAIDO</t>
  </si>
  <si>
    <t>CAPACIDADE OPERACIONAL ALTO RISCO - ANEO</t>
  </si>
  <si>
    <r>
      <rPr>
        <rFont val="Calibri"/>
        <b/>
        <color theme="1"/>
        <sz val="11.0"/>
      </rPr>
      <t>UNEO</t>
    </r>
    <r>
      <rPr>
        <rFont val="Calibri"/>
        <color theme="1"/>
        <sz val="11.0"/>
      </rPr>
      <t xml:space="preserve"> = UNIDADE NEONATAL</t>
    </r>
  </si>
  <si>
    <t>(1) ESTIMATIVA DE RECEM NASCIDO DE ALTO RISCO /ANEO: CONSIDERAR AS SAIDAS DA DA UNEO NO ANO ANTERIOR</t>
  </si>
  <si>
    <t>(2) ESTIMATIVA PARA CONSULTAS MÉDICAS  2.500g = 92% DOS RN DE ALTO RISCO ESTIMADOS X 3 CONSULTAS</t>
  </si>
  <si>
    <t>(3) ESTIMATIVA PARA CONSULTAS DE ENFERMAGEM  2.500g = 92% DOS RN DE ALTO RISCO ESTIMADOS X 4 CONSULTAS</t>
  </si>
  <si>
    <t>(4) ESTIMATIVA PARA CONSULTAS MÉDICA  PESO &lt; 2.500G = 8% DOS RN DE ALTO RISCO ESTIMADOS X 7 CONSULTAS</t>
  </si>
  <si>
    <t>(5) ESTIMATIVA PARA CONSULTAS DE ENFERMAGEM  PESO &lt; 2.500GDOS 8% RN DE ALTO RISCO ESTIMADOS X 6 CONSULTAS</t>
  </si>
  <si>
    <t>Tabela 3 : Cobertura de Acesso e capacidade instalada na Atenção Ambulatorial Especializada (AAE) - ANEO</t>
  </si>
  <si>
    <t>ESTIMATIVA DE RECEM NASCIDO DE ALTO RISCO /ANEO (1)</t>
  </si>
  <si>
    <t>CNES/ESTABELECIMENTO PARA REFERENCIA PARA AAE (ANEO)</t>
  </si>
  <si>
    <t>ESTIMATIVA PARA CONSULTAS MÉDICA DO ANEO &gt; 2.500G (2)</t>
  </si>
  <si>
    <t>ESTIMATIVA PARA CONSULTAS ENFERMAGEM DO ANEO &gt; 2.500G (3)</t>
  </si>
  <si>
    <t>ESTIMATIVA PARA CONSULTAS MÉDICA DO ANEO PESO &lt; 2.500G (4)</t>
  </si>
  <si>
    <t>ESTIMATIVA PARA CONSULTAS DE ENFERMAGEM DO ANEO &lt; 2.500G (5)</t>
  </si>
  <si>
    <t>CNES/ESTABELECIMENTO DE REFERENCIA HOSPITALAR PARA O AAE (ANEO)</t>
  </si>
  <si>
    <t>CONSULTA REGULADA 
(S) OU (N)</t>
  </si>
  <si>
    <t>2081202 - HOSPITAL E MATERNIDADE SÃO LUCAS</t>
  </si>
  <si>
    <t>Região (Estadual Diadema)</t>
  </si>
  <si>
    <t>Obs. Município Mauá Pretende Implantar o ANEO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</si>
</sst>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#,##0.0"/>
  </numFmts>
  <fonts count="20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sz val="12.0"/>
      <color rgb="FF000000"/>
      <name val="Arial"/>
    </font>
    <font>
      <sz val="10.0"/>
      <color rgb="FF000000"/>
      <name val="Arial"/>
    </font>
    <font>
      <sz val="11.0"/>
      <color rgb="FF000000"/>
      <name val="Arial"/>
    </font>
    <font>
      <sz val="11.0"/>
      <color rgb="FF000000"/>
      <name val="Calibri"/>
    </font>
    <font>
      <sz val="12.0"/>
      <color theme="1"/>
      <name val="Arial"/>
    </font>
    <font>
      <b/>
      <sz val="12.0"/>
      <color theme="1"/>
      <name val="Arial"/>
    </font>
    <font>
      <color theme="1"/>
      <name val="Calibri"/>
      <scheme val="minor"/>
    </font>
    <font>
      <sz val="12.0"/>
      <color rgb="FF333333"/>
      <name val="Arial"/>
    </font>
    <font>
      <b/>
      <sz val="12.0"/>
      <color rgb="FF000000"/>
      <name val="Arial"/>
    </font>
    <font/>
    <font>
      <b/>
      <sz val="16.0"/>
      <color theme="1"/>
      <name val="Calibri"/>
    </font>
    <font>
      <sz val="10.0"/>
      <color theme="1"/>
      <name val="Calibri"/>
    </font>
    <font>
      <b/>
      <sz val="14.0"/>
      <color theme="1"/>
      <name val="Calibri"/>
    </font>
    <font>
      <sz val="9.0"/>
      <color theme="1"/>
      <name val="Calibri"/>
    </font>
    <font>
      <b/>
      <sz val="12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C5E0B4"/>
        <bgColor rgb="FFC5E0B4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</fills>
  <borders count="4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17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1" fillId="0" fontId="2" numFmtId="1" xfId="0" applyAlignment="1" applyBorder="1" applyFont="1" applyNumberFormat="1">
      <alignment horizontal="center" shrinkToFit="0" vertical="center" wrapText="1"/>
    </xf>
    <xf borderId="1" fillId="2" fontId="2" numFmtId="1" xfId="0" applyAlignment="1" applyBorder="1" applyFill="1" applyFont="1" applyNumberFormat="1">
      <alignment horizontal="center" shrinkToFit="0" vertical="center" wrapText="1"/>
    </xf>
    <xf borderId="1" fillId="2" fontId="2" numFmtId="164" xfId="0" applyAlignment="1" applyBorder="1" applyFont="1" applyNumberForma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ont="1">
      <alignment horizontal="center" vertical="center"/>
    </xf>
    <xf borderId="1" fillId="4" fontId="2" numFmtId="1" xfId="0" applyAlignment="1" applyBorder="1" applyFill="1" applyFont="1" applyNumberFormat="1">
      <alignment horizontal="center" shrinkToFit="0" vertical="center" wrapText="1"/>
    </xf>
    <xf borderId="1" fillId="5" fontId="2" numFmtId="164" xfId="0" applyAlignment="1" applyBorder="1" applyFill="1" applyFont="1" applyNumberFormat="1">
      <alignment horizontal="center" shrinkToFit="0" vertical="center" wrapText="1"/>
    </xf>
    <xf borderId="1" fillId="6" fontId="2" numFmtId="1" xfId="0" applyAlignment="1" applyBorder="1" applyFill="1" applyFont="1" applyNumberFormat="1">
      <alignment horizontal="center" shrinkToFit="0" vertical="center" wrapText="1"/>
    </xf>
    <xf borderId="1" fillId="5" fontId="2" numFmtId="1" xfId="0" applyAlignment="1" applyBorder="1" applyFont="1" applyNumberForma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0" fillId="0" fontId="3" numFmtId="0" xfId="0" applyFont="1"/>
    <xf borderId="1" fillId="3" fontId="3" numFmtId="0" xfId="0" applyAlignment="1" applyBorder="1" applyFont="1">
      <alignment horizontal="center" vertical="center"/>
    </xf>
    <xf borderId="1" fillId="7" fontId="2" numFmtId="1" xfId="0" applyAlignment="1" applyBorder="1" applyFill="1" applyFont="1" applyNumberFormat="1">
      <alignment horizontal="center" shrinkToFit="0" vertical="center" wrapText="1"/>
    </xf>
    <xf borderId="4" fillId="3" fontId="3" numFmtId="0" xfId="0" applyAlignment="1" applyBorder="1" applyFont="1">
      <alignment horizontal="center" shrinkToFit="0" vertical="center" wrapText="1"/>
    </xf>
    <xf borderId="4" fillId="3" fontId="3" numFmtId="0" xfId="0" applyAlignment="1" applyBorder="1" applyFont="1">
      <alignment horizontal="center" vertical="center"/>
    </xf>
    <xf borderId="4" fillId="3" fontId="4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164" xfId="0" applyAlignment="1" applyBorder="1" applyFont="1" applyNumberFormat="1">
      <alignment horizontal="center" shrinkToFit="0" vertical="center" wrapText="1"/>
    </xf>
    <xf borderId="1" fillId="0" fontId="5" numFmtId="1" xfId="0" applyAlignment="1" applyBorder="1" applyFont="1" applyNumberFormat="1">
      <alignment horizontal="center" shrinkToFit="0" vertical="center" wrapText="1"/>
    </xf>
    <xf borderId="1" fillId="8" fontId="6" numFmtId="1" xfId="0" applyAlignment="1" applyBorder="1" applyFill="1" applyFont="1" applyNumberFormat="1">
      <alignment horizontal="center" shrinkToFit="0" vertical="center" wrapText="1"/>
    </xf>
    <xf borderId="1" fillId="8" fontId="7" numFmtId="1" xfId="0" applyAlignment="1" applyBorder="1" applyFont="1" applyNumberFormat="1">
      <alignment horizontal="center" shrinkToFit="0" vertical="center" wrapText="1"/>
    </xf>
    <xf borderId="1" fillId="3" fontId="8" numFmtId="0" xfId="0" applyAlignment="1" applyBorder="1" applyFont="1">
      <alignment horizontal="center" shrinkToFit="0" wrapText="1"/>
    </xf>
    <xf borderId="1" fillId="3" fontId="8" numFmtId="0" xfId="0" applyBorder="1" applyFont="1"/>
    <xf borderId="1" fillId="0" fontId="5" numFmtId="3" xfId="0" applyAlignment="1" applyBorder="1" applyFont="1" applyNumberForma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5" fillId="0" fontId="2" numFmtId="164" xfId="0" applyAlignment="1" applyBorder="1" applyFont="1" applyNumberFormat="1">
      <alignment horizontal="center" shrinkToFit="0" vertical="center" wrapText="1"/>
    </xf>
    <xf borderId="5" fillId="0" fontId="2" numFmtId="1" xfId="0" applyAlignment="1" applyBorder="1" applyFont="1" applyNumberFormat="1">
      <alignment horizontal="center" shrinkToFit="0" vertical="center" wrapText="1"/>
    </xf>
    <xf borderId="5" fillId="6" fontId="2" numFmtId="1" xfId="0" applyAlignment="1" applyBorder="1" applyFont="1" applyNumberFormat="1">
      <alignment horizontal="center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7" fillId="2" fontId="2" numFmtId="1" xfId="0" applyAlignment="1" applyBorder="1" applyFont="1" applyNumberFormat="1">
      <alignment horizontal="center" shrinkToFit="0" vertical="center" wrapText="1"/>
    </xf>
    <xf borderId="7" fillId="3" fontId="2" numFmtId="0" xfId="0" applyAlignment="1" applyBorder="1" applyFont="1">
      <alignment horizontal="center" shrinkToFit="0" vertical="center" wrapText="1"/>
    </xf>
    <xf borderId="7" fillId="3" fontId="2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shrinkToFit="0" vertical="center" wrapText="1"/>
    </xf>
    <xf borderId="1" fillId="0" fontId="9" numFmtId="164" xfId="0" applyAlignment="1" applyBorder="1" applyFont="1" applyNumberFormat="1">
      <alignment horizontal="center" shrinkToFit="0" vertical="center" wrapText="1"/>
    </xf>
    <xf borderId="1" fillId="0" fontId="9" numFmtId="1" xfId="0" applyAlignment="1" applyBorder="1" applyFont="1" applyNumberFormat="1">
      <alignment horizontal="center" shrinkToFit="0" vertical="center" wrapText="1"/>
    </xf>
    <xf borderId="1" fillId="3" fontId="2" numFmtId="0" xfId="0" applyAlignment="1" applyBorder="1" applyFont="1">
      <alignment vertical="center"/>
    </xf>
    <xf borderId="1" fillId="6" fontId="9" numFmtId="1" xfId="0" applyAlignment="1" applyBorder="1" applyFont="1" applyNumberFormat="1">
      <alignment horizontal="center" shrinkToFit="0" vertical="center" wrapText="1"/>
    </xf>
    <xf borderId="3" fillId="0" fontId="9" numFmtId="0" xfId="0" applyAlignment="1" applyBorder="1" applyFont="1">
      <alignment horizontal="center" shrinkToFit="0" vertical="center" wrapText="1"/>
    </xf>
    <xf borderId="8" fillId="0" fontId="9" numFmtId="1" xfId="0" applyAlignment="1" applyBorder="1" applyFont="1" applyNumberFormat="1">
      <alignment horizontal="center" shrinkToFit="0" vertical="center" wrapText="1"/>
    </xf>
    <xf borderId="5" fillId="0" fontId="9" numFmtId="164" xfId="0" applyAlignment="1" applyBorder="1" applyFont="1" applyNumberFormat="1">
      <alignment horizontal="center" shrinkToFit="0" vertical="center" wrapText="1"/>
    </xf>
    <xf borderId="5" fillId="0" fontId="9" numFmtId="0" xfId="0" applyAlignment="1" applyBorder="1" applyFont="1">
      <alignment horizontal="center" shrinkToFit="0" vertical="center" wrapText="1"/>
    </xf>
    <xf borderId="5" fillId="0" fontId="9" numFmtId="1" xfId="0" applyAlignment="1" applyBorder="1" applyFont="1" applyNumberFormat="1">
      <alignment horizontal="center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1" fillId="3" fontId="1" numFmtId="1" xfId="0" applyAlignment="1" applyBorder="1" applyFont="1" applyNumberFormat="1">
      <alignment horizontal="center" shrinkToFit="0" vertical="center" wrapText="1"/>
    </xf>
    <xf borderId="3" fillId="0" fontId="2" numFmtId="0" xfId="0" applyAlignment="1" applyBorder="1" applyFont="1">
      <alignment horizontal="center" vertical="center"/>
    </xf>
    <xf borderId="6" fillId="0" fontId="2" numFmtId="164" xfId="0" applyAlignment="1" applyBorder="1" applyFont="1" applyNumberFormat="1">
      <alignment horizontal="center" shrinkToFit="0" vertical="center" wrapText="1"/>
    </xf>
    <xf borderId="6" fillId="0" fontId="2" numFmtId="1" xfId="0" applyAlignment="1" applyBorder="1" applyFont="1" applyNumberFormat="1">
      <alignment horizontal="center" shrinkToFit="0" vertical="center" wrapText="1"/>
    </xf>
    <xf borderId="1" fillId="3" fontId="2" numFmtId="1" xfId="0" applyAlignment="1" applyBorder="1" applyFont="1" applyNumberFormat="1">
      <alignment horizontal="center" shrinkToFit="0" vertical="center" wrapText="1"/>
    </xf>
    <xf borderId="1" fillId="0" fontId="2" numFmtId="164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center" shrinkToFit="0" vertical="center" wrapText="1"/>
    </xf>
    <xf borderId="1" fillId="0" fontId="7" numFmtId="164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vertical="center"/>
    </xf>
    <xf borderId="5" fillId="0" fontId="7" numFmtId="0" xfId="0" applyAlignment="1" applyBorder="1" applyFont="1">
      <alignment horizontal="center" shrinkToFit="0" vertical="center" wrapText="1"/>
    </xf>
    <xf borderId="5" fillId="0" fontId="7" numFmtId="164" xfId="0" applyAlignment="1" applyBorder="1" applyFont="1" applyNumberFormat="1">
      <alignment horizontal="center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8" fillId="0" fontId="7" numFmtId="0" xfId="0" applyAlignment="1" applyBorder="1" applyFont="1">
      <alignment horizontal="center" shrinkToFit="0" vertical="center" wrapText="1"/>
    </xf>
    <xf borderId="8" fillId="0" fontId="7" numFmtId="164" xfId="0" applyAlignment="1" applyBorder="1" applyFont="1" applyNumberFormat="1">
      <alignment horizontal="center" shrinkToFit="0" vertical="center" wrapText="1"/>
    </xf>
    <xf borderId="8" fillId="0" fontId="7" numFmtId="1" xfId="0" applyAlignment="1" applyBorder="1" applyFont="1" applyNumberFormat="1">
      <alignment horizontal="center" shrinkToFit="0" vertical="center" wrapText="1"/>
    </xf>
    <xf borderId="8" fillId="0" fontId="2" numFmtId="164" xfId="0" applyAlignment="1" applyBorder="1" applyFont="1" applyNumberFormat="1">
      <alignment horizontal="center" shrinkToFit="0" vertical="center" wrapText="1"/>
    </xf>
    <xf borderId="8" fillId="0" fontId="2" numFmtId="1" xfId="0" applyAlignment="1" applyBorder="1" applyFont="1" applyNumberFormat="1">
      <alignment horizontal="center" shrinkToFit="0" vertical="center" wrapText="1"/>
    </xf>
    <xf borderId="6" fillId="0" fontId="7" numFmtId="0" xfId="0" applyAlignment="1" applyBorder="1" applyFont="1">
      <alignment horizontal="center" shrinkToFit="0" vertical="center" wrapText="1"/>
    </xf>
    <xf borderId="9" fillId="0" fontId="7" numFmtId="0" xfId="0" applyAlignment="1" applyBorder="1" applyFont="1">
      <alignment horizontal="center" shrinkToFit="0" vertical="center" wrapText="1"/>
    </xf>
    <xf borderId="8" fillId="0" fontId="9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5" fillId="0" fontId="9" numFmtId="3" xfId="0" applyAlignment="1" applyBorder="1" applyFont="1" applyNumberFormat="1">
      <alignment horizontal="center" shrinkToFit="0" vertical="center" wrapText="1"/>
    </xf>
    <xf borderId="0" fillId="0" fontId="9" numFmtId="0" xfId="0" applyFont="1"/>
    <xf borderId="1" fillId="0" fontId="10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vertical="center"/>
    </xf>
    <xf borderId="0" fillId="0" fontId="11" numFmtId="0" xfId="0" applyAlignment="1" applyFont="1">
      <alignment horizontal="center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3" numFmtId="165" xfId="0" applyAlignment="1" applyBorder="1" applyFont="1" applyNumberFormat="1">
      <alignment horizontal="center" vertical="center"/>
    </xf>
    <xf borderId="1" fillId="0" fontId="9" numFmtId="165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0" fillId="0" fontId="3" numFmtId="165" xfId="0" applyAlignment="1" applyFont="1" applyNumberFormat="1">
      <alignment horizontal="center" vertical="center"/>
    </xf>
    <xf borderId="0" fillId="0" fontId="3" numFmtId="1" xfId="0" applyAlignment="1" applyFont="1" applyNumberFormat="1">
      <alignment horizontal="center" vertical="center"/>
    </xf>
    <xf borderId="1" fillId="0" fontId="10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quotePrefix="1" borderId="1" fillId="0" fontId="9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horizontal="center" shrinkToFit="0" vertical="center" wrapText="1"/>
    </xf>
    <xf borderId="11" fillId="0" fontId="9" numFmtId="0" xfId="0" applyAlignment="1" applyBorder="1" applyFont="1">
      <alignment horizontal="center" shrinkToFit="0" vertical="center" wrapText="1"/>
    </xf>
    <xf borderId="12" fillId="0" fontId="9" numFmtId="0" xfId="0" applyAlignment="1" applyBorder="1" applyFont="1">
      <alignment horizontal="center" shrinkToFit="0" vertical="center" wrapText="1"/>
    </xf>
    <xf borderId="13" fillId="0" fontId="9" numFmtId="0" xfId="0" applyAlignment="1" applyBorder="1" applyFont="1">
      <alignment horizontal="center" shrinkToFit="0" vertical="center" wrapText="1"/>
    </xf>
    <xf borderId="5" fillId="0" fontId="9" numFmtId="0" xfId="0" applyAlignment="1" applyBorder="1" applyFont="1">
      <alignment horizontal="center" shrinkToFit="0" vertical="center" wrapText="1"/>
    </xf>
    <xf borderId="4" fillId="4" fontId="3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14" fillId="0" fontId="9" numFmtId="0" xfId="0" applyAlignment="1" applyBorder="1" applyFont="1">
      <alignment horizontal="center"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14" fillId="0" fontId="2" numFmtId="0" xfId="0" applyAlignment="1" applyBorder="1" applyFont="1">
      <alignment horizontal="center" shrinkToFit="0" vertical="center" wrapText="1"/>
    </xf>
    <xf borderId="15" fillId="0" fontId="2" numFmtId="1" xfId="0" applyAlignment="1" applyBorder="1" applyFont="1" applyNumberFormat="1">
      <alignment horizontal="center" shrinkToFit="0" vertical="center" wrapText="1"/>
    </xf>
    <xf borderId="14" fillId="0" fontId="9" numFmtId="1" xfId="0" applyAlignment="1" applyBorder="1" applyFont="1" applyNumberFormat="1">
      <alignment horizontal="center" shrinkToFit="0" vertical="center" wrapText="1"/>
    </xf>
    <xf borderId="1" fillId="0" fontId="9" numFmtId="164" xfId="0" applyAlignment="1" applyBorder="1" applyFont="1" applyNumberFormat="1">
      <alignment horizontal="center" readingOrder="0" shrinkToFit="0" vertical="center" wrapText="1"/>
    </xf>
    <xf borderId="2" fillId="0" fontId="9" numFmtId="1" xfId="0" applyAlignment="1" applyBorder="1" applyFont="1" applyNumberFormat="1">
      <alignment horizontal="center" shrinkToFit="0" vertical="center" wrapText="1"/>
    </xf>
    <xf borderId="16" fillId="2" fontId="2" numFmtId="1" xfId="0" applyAlignment="1" applyBorder="1" applyFont="1" applyNumberFormat="1">
      <alignment horizontal="center" shrinkToFit="0" vertical="center" wrapText="1"/>
    </xf>
    <xf borderId="14" fillId="0" fontId="2" numFmtId="1" xfId="0" applyAlignment="1" applyBorder="1" applyFont="1" applyNumberFormat="1">
      <alignment horizontal="center" shrinkToFit="0" vertical="center" wrapText="1"/>
    </xf>
    <xf borderId="17" fillId="0" fontId="10" numFmtId="0" xfId="0" applyAlignment="1" applyBorder="1" applyFont="1">
      <alignment horizontal="center" shrinkToFit="0" vertical="center" wrapText="1"/>
    </xf>
    <xf borderId="17" fillId="0" fontId="14" numFmtId="0" xfId="0" applyBorder="1" applyFont="1"/>
    <xf borderId="18" fillId="0" fontId="14" numFmtId="0" xfId="0" applyBorder="1" applyFont="1"/>
    <xf borderId="2" fillId="0" fontId="10" numFmtId="0" xfId="0" applyAlignment="1" applyBorder="1" applyFont="1">
      <alignment horizontal="center" vertical="center"/>
    </xf>
    <xf borderId="19" fillId="0" fontId="14" numFmtId="0" xfId="0" applyBorder="1" applyFont="1"/>
    <xf borderId="14" fillId="0" fontId="14" numFmtId="0" xfId="0" applyBorder="1" applyFont="1"/>
    <xf borderId="20" fillId="0" fontId="10" numFmtId="0" xfId="0" applyAlignment="1" applyBorder="1" applyFont="1">
      <alignment shrinkToFit="0" vertical="center" wrapText="1"/>
    </xf>
    <xf borderId="8" fillId="0" fontId="10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vertical="center"/>
    </xf>
    <xf borderId="5" fillId="0" fontId="14" numFmtId="0" xfId="0" applyBorder="1" applyFont="1"/>
    <xf borderId="1" fillId="0" fontId="1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21" fillId="0" fontId="15" numFmtId="0" xfId="0" applyBorder="1" applyFont="1"/>
    <xf borderId="22" fillId="0" fontId="4" numFmtId="0" xfId="0" applyAlignment="1" applyBorder="1" applyFont="1">
      <alignment horizontal="center"/>
    </xf>
    <xf borderId="23" fillId="0" fontId="14" numFmtId="0" xfId="0" applyBorder="1" applyFont="1"/>
    <xf borderId="24" fillId="0" fontId="14" numFmtId="0" xfId="0" applyBorder="1" applyFont="1"/>
    <xf borderId="25" fillId="9" fontId="16" numFmtId="0" xfId="0" applyAlignment="1" applyBorder="1" applyFill="1" applyFont="1">
      <alignment horizontal="left" shrinkToFit="0" vertical="center" wrapText="1"/>
    </xf>
    <xf borderId="26" fillId="0" fontId="14" numFmtId="0" xfId="0" applyBorder="1" applyFont="1"/>
    <xf borderId="27" fillId="0" fontId="14" numFmtId="0" xfId="0" applyBorder="1" applyFont="1"/>
    <xf borderId="28" fillId="9" fontId="3" numFmtId="0" xfId="0" applyBorder="1" applyFont="1"/>
    <xf borderId="29" fillId="9" fontId="3" numFmtId="0" xfId="0" applyBorder="1" applyFont="1"/>
    <xf borderId="30" fillId="9" fontId="3" numFmtId="0" xfId="0" applyBorder="1" applyFont="1"/>
    <xf borderId="31" fillId="9" fontId="3" numFmtId="0" xfId="0" applyAlignment="1" applyBorder="1" applyFont="1">
      <alignment horizontal="left"/>
    </xf>
    <xf borderId="32" fillId="0" fontId="14" numFmtId="0" xfId="0" applyBorder="1" applyFont="1"/>
    <xf borderId="33" fillId="0" fontId="14" numFmtId="0" xfId="0" applyBorder="1" applyFont="1"/>
    <xf borderId="31" fillId="9" fontId="3" numFmtId="0" xfId="0" applyAlignment="1" applyBorder="1" applyFont="1">
      <alignment horizontal="left" shrinkToFit="0" vertical="top" wrapText="1"/>
    </xf>
    <xf borderId="31" fillId="9" fontId="3" numFmtId="0" xfId="0" applyAlignment="1" applyBorder="1" applyFont="1">
      <alignment horizontal="left" shrinkToFit="0" wrapText="1"/>
    </xf>
    <xf borderId="34" fillId="9" fontId="3" numFmtId="0" xfId="0" applyBorder="1" applyFont="1"/>
    <xf borderId="35" fillId="9" fontId="3" numFmtId="0" xfId="0" applyBorder="1" applyFont="1"/>
    <xf borderId="36" fillId="9" fontId="3" numFmtId="0" xfId="0" applyBorder="1" applyFont="1"/>
    <xf borderId="37" fillId="0" fontId="17" numFmtId="0" xfId="0" applyAlignment="1" applyBorder="1" applyFont="1">
      <alignment horizontal="center" vertical="center"/>
    </xf>
    <xf borderId="38" fillId="0" fontId="14" numFmtId="0" xfId="0" applyBorder="1" applyFont="1"/>
    <xf borderId="39" fillId="0" fontId="14" numFmtId="0" xfId="0" applyBorder="1" applyFont="1"/>
    <xf borderId="0" fillId="0" fontId="17" numFmtId="0" xfId="0" applyFont="1"/>
    <xf borderId="40" fillId="0" fontId="14" numFmtId="0" xfId="0" applyBorder="1" applyFont="1"/>
    <xf borderId="41" fillId="0" fontId="14" numFmtId="0" xfId="0" applyBorder="1" applyFont="1"/>
    <xf borderId="42" fillId="0" fontId="14" numFmtId="0" xfId="0" applyBorder="1" applyFont="1"/>
    <xf borderId="5" fillId="0" fontId="3" numFmtId="0" xfId="0" applyAlignment="1" applyBorder="1" applyFont="1">
      <alignment horizontal="center" shrinkToFit="0" vertical="center" wrapText="1"/>
    </xf>
    <xf borderId="43" fillId="0" fontId="16" numFmtId="0" xfId="0" applyAlignment="1" applyBorder="1" applyFont="1">
      <alignment horizontal="center" shrinkToFit="0" vertical="center" wrapText="1"/>
    </xf>
    <xf borderId="5" fillId="0" fontId="18" numFmtId="0" xfId="0" applyAlignment="1" applyBorder="1" applyFont="1">
      <alignment horizontal="center" shrinkToFit="0" vertical="center" wrapText="1"/>
    </xf>
    <xf borderId="5" fillId="0" fontId="16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vertical="center"/>
    </xf>
    <xf borderId="1" fillId="3" fontId="3" numFmtId="0" xfId="0" applyBorder="1" applyFont="1"/>
    <xf borderId="1" fillId="10" fontId="3" numFmtId="0" xfId="0" applyBorder="1" applyFill="1" applyFont="1"/>
    <xf borderId="1" fillId="3" fontId="3" numFmtId="0" xfId="0" applyAlignment="1" applyBorder="1" applyFont="1">
      <alignment horizontal="center"/>
    </xf>
    <xf borderId="37" fillId="0" fontId="3" numFmtId="0" xfId="0" applyAlignment="1" applyBorder="1" applyFont="1">
      <alignment horizontal="left"/>
    </xf>
    <xf borderId="0" fillId="0" fontId="4" numFmtId="0" xfId="0" applyAlignment="1" applyFont="1">
      <alignment horizontal="center"/>
    </xf>
    <xf borderId="44" fillId="0" fontId="3" numFmtId="0" xfId="0" applyAlignment="1" applyBorder="1" applyFont="1">
      <alignment horizontal="center"/>
    </xf>
    <xf borderId="45" fillId="0" fontId="14" numFmtId="0" xfId="0" applyBorder="1" applyFont="1"/>
    <xf borderId="31" fillId="4" fontId="3" numFmtId="0" xfId="0" applyAlignment="1" applyBorder="1" applyFont="1">
      <alignment horizontal="left"/>
    </xf>
    <xf borderId="44" fillId="0" fontId="3" numFmtId="0" xfId="0" applyAlignment="1" applyBorder="1" applyFont="1">
      <alignment horizontal="left"/>
    </xf>
    <xf borderId="44" fillId="0" fontId="3" numFmtId="0" xfId="0" applyAlignment="1" applyBorder="1" applyFont="1">
      <alignment horizontal="left" vertical="center"/>
    </xf>
    <xf borderId="40" fillId="0" fontId="3" numFmtId="0" xfId="0" applyAlignment="1" applyBorder="1" applyFont="1">
      <alignment horizontal="left" shrinkToFit="0" vertical="center" wrapText="1"/>
    </xf>
    <xf borderId="37" fillId="0" fontId="19" numFmtId="0" xfId="0" applyAlignment="1" applyBorder="1" applyFont="1">
      <alignment horizontal="center" shrinkToFit="0" vertical="center" wrapText="1"/>
    </xf>
    <xf borderId="0" fillId="0" fontId="19" numFmtId="0" xfId="0" applyAlignment="1" applyFont="1">
      <alignment shrinkToFit="0" vertical="center" wrapText="1"/>
    </xf>
    <xf borderId="5" fillId="0" fontId="3" numFmtId="0" xfId="0" applyBorder="1" applyFont="1"/>
    <xf borderId="4" fillId="1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microsoft.com/office/2006/relationships/xlExternalLinkPath/xlPathMissing" Target="tabela%201%20AP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abela 1 AP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43"/>
    <col customWidth="1" min="3" max="3" width="17.71"/>
    <col customWidth="1" min="4" max="4" width="20.14"/>
    <col customWidth="1" min="5" max="5" width="19.29"/>
    <col customWidth="1" min="6" max="6" width="15.71"/>
    <col customWidth="1" min="7" max="7" width="12.71"/>
    <col customWidth="1" min="8" max="9" width="17.29"/>
    <col customWidth="1" min="10" max="10" width="23.86"/>
    <col customWidth="1" min="11" max="11" width="24.0"/>
    <col customWidth="1" min="12" max="12" width="20.14"/>
    <col customWidth="1" min="13" max="13" width="29.29"/>
    <col customWidth="1" min="14" max="14" width="17.14"/>
    <col customWidth="1" min="15" max="15" width="12.86"/>
    <col customWidth="1" min="16" max="17" width="17.14"/>
    <col customWidth="1" min="18" max="18" width="17.71"/>
    <col customWidth="1" min="19" max="19" width="17.86"/>
    <col customWidth="1" min="20" max="20" width="18.0"/>
    <col customWidth="1" min="21" max="21" width="17.71"/>
    <col customWidth="1" min="22" max="23" width="22.29"/>
    <col customWidth="1" min="24" max="24" width="20.71"/>
  </cols>
  <sheetData>
    <row r="1" ht="66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ht="35.25" customHeight="1">
      <c r="A2" s="5" t="s">
        <v>25</v>
      </c>
      <c r="B2" s="5" t="s">
        <v>26</v>
      </c>
      <c r="C2" s="5" t="s">
        <v>27</v>
      </c>
      <c r="D2" s="5" t="s">
        <v>28</v>
      </c>
      <c r="E2" s="5">
        <v>4230.0</v>
      </c>
      <c r="F2" s="6">
        <v>45.08</v>
      </c>
      <c r="G2" s="5">
        <v>20.0</v>
      </c>
      <c r="H2" s="6">
        <v>74.07</v>
      </c>
      <c r="I2" s="6">
        <v>80.43</v>
      </c>
      <c r="J2" s="7">
        <f t="shared" ref="J2:J326" si="1">(E2*(1-F2/100)*1.1)</f>
        <v>2555.4276</v>
      </c>
      <c r="K2" s="7">
        <f t="shared" ref="K2:K326" si="2">E2*(1-F2/100)</f>
        <v>2323.116</v>
      </c>
      <c r="L2" s="8">
        <f t="shared" ref="L2:L645" si="3">((J2*2.5)/(365*0.9))*1.21</f>
        <v>23.53171534</v>
      </c>
      <c r="M2" s="9">
        <f t="shared" ref="M2:M645" si="4">L2*30/100</f>
        <v>7.059514603</v>
      </c>
      <c r="N2" s="9">
        <f t="shared" ref="N2:N645" si="5">(L2*6/100)</f>
        <v>1.411902921</v>
      </c>
      <c r="O2" s="8">
        <f t="shared" ref="O2:O645" si="6">K2*2/1000</f>
        <v>4.646232</v>
      </c>
      <c r="P2" s="8">
        <f t="shared" ref="P2:P645" si="7">K2*3/1000</f>
        <v>6.969348</v>
      </c>
      <c r="Q2" s="8">
        <f t="shared" ref="Q2:Q645" si="8">K2*1/1000</f>
        <v>2.323116</v>
      </c>
      <c r="R2" s="10"/>
      <c r="S2" s="10"/>
      <c r="T2" s="10"/>
      <c r="U2" s="10">
        <v>1.0</v>
      </c>
      <c r="V2" s="11"/>
      <c r="W2" s="11"/>
      <c r="X2" s="11"/>
      <c r="Y2" s="11"/>
    </row>
    <row r="3" ht="35.25" customHeight="1">
      <c r="A3" s="5" t="s">
        <v>25</v>
      </c>
      <c r="B3" s="5" t="s">
        <v>26</v>
      </c>
      <c r="C3" s="5" t="s">
        <v>27</v>
      </c>
      <c r="D3" s="5" t="s">
        <v>29</v>
      </c>
      <c r="E3" s="5">
        <v>4404.0</v>
      </c>
      <c r="F3" s="6">
        <v>47.01</v>
      </c>
      <c r="G3" s="5">
        <v>23.0</v>
      </c>
      <c r="H3" s="6">
        <v>29.18</v>
      </c>
      <c r="I3" s="6">
        <v>41.23</v>
      </c>
      <c r="J3" s="7">
        <f t="shared" si="1"/>
        <v>2567.04756</v>
      </c>
      <c r="K3" s="7">
        <f t="shared" si="2"/>
        <v>2333.6796</v>
      </c>
      <c r="L3" s="8">
        <f t="shared" si="3"/>
        <v>23.63871802</v>
      </c>
      <c r="M3" s="9">
        <f t="shared" si="4"/>
        <v>7.091615405</v>
      </c>
      <c r="N3" s="9">
        <f t="shared" si="5"/>
        <v>1.418323081</v>
      </c>
      <c r="O3" s="8">
        <f t="shared" si="6"/>
        <v>4.6673592</v>
      </c>
      <c r="P3" s="8">
        <f t="shared" si="7"/>
        <v>7.0010388</v>
      </c>
      <c r="Q3" s="8">
        <f t="shared" si="8"/>
        <v>2.3336796</v>
      </c>
      <c r="R3" s="10"/>
      <c r="S3" s="10"/>
      <c r="T3" s="10"/>
      <c r="U3" s="10"/>
      <c r="V3" s="11"/>
      <c r="W3" s="11"/>
      <c r="X3" s="11"/>
      <c r="Y3" s="11"/>
    </row>
    <row r="4" ht="35.25" customHeight="1">
      <c r="A4" s="5" t="s">
        <v>25</v>
      </c>
      <c r="B4" s="5" t="s">
        <v>26</v>
      </c>
      <c r="C4" s="5" t="s">
        <v>27</v>
      </c>
      <c r="D4" s="5" t="s">
        <v>30</v>
      </c>
      <c r="E4" s="5">
        <v>1041.0</v>
      </c>
      <c r="F4" s="6">
        <v>48.59</v>
      </c>
      <c r="G4" s="5">
        <v>10.0</v>
      </c>
      <c r="H4" s="6">
        <v>39.14</v>
      </c>
      <c r="I4" s="6">
        <v>46.44</v>
      </c>
      <c r="J4" s="7">
        <f t="shared" si="1"/>
        <v>588.69591</v>
      </c>
      <c r="K4" s="7">
        <f t="shared" si="2"/>
        <v>535.1781</v>
      </c>
      <c r="L4" s="12">
        <f t="shared" si="3"/>
        <v>5.421020176</v>
      </c>
      <c r="M4" s="13">
        <f t="shared" si="4"/>
        <v>1.626306053</v>
      </c>
      <c r="N4" s="9">
        <f t="shared" si="5"/>
        <v>0.3252612105</v>
      </c>
      <c r="O4" s="8">
        <f t="shared" si="6"/>
        <v>1.0703562</v>
      </c>
      <c r="P4" s="8">
        <f t="shared" si="7"/>
        <v>1.6055343</v>
      </c>
      <c r="Q4" s="8">
        <f t="shared" si="8"/>
        <v>0.5351781</v>
      </c>
      <c r="R4" s="10"/>
      <c r="S4" s="10"/>
      <c r="T4" s="10"/>
      <c r="U4" s="10"/>
      <c r="V4" s="11"/>
      <c r="W4" s="11"/>
      <c r="X4" s="11"/>
      <c r="Y4" s="11"/>
    </row>
    <row r="5" ht="35.25" customHeight="1">
      <c r="A5" s="5" t="s">
        <v>25</v>
      </c>
      <c r="B5" s="5" t="s">
        <v>26</v>
      </c>
      <c r="C5" s="5" t="s">
        <v>27</v>
      </c>
      <c r="D5" s="5" t="s">
        <v>31</v>
      </c>
      <c r="E5" s="5">
        <v>465.0</v>
      </c>
      <c r="F5" s="6">
        <v>34.24</v>
      </c>
      <c r="G5" s="5">
        <v>8.0</v>
      </c>
      <c r="H5" s="6">
        <v>47.5</v>
      </c>
      <c r="I5" s="6">
        <v>53.4</v>
      </c>
      <c r="J5" s="7">
        <f t="shared" si="1"/>
        <v>336.3624</v>
      </c>
      <c r="K5" s="14">
        <f t="shared" si="2"/>
        <v>305.784</v>
      </c>
      <c r="L5" s="12">
        <f t="shared" si="3"/>
        <v>3.097401096</v>
      </c>
      <c r="M5" s="13">
        <f t="shared" si="4"/>
        <v>0.9292203288</v>
      </c>
      <c r="N5" s="9">
        <f t="shared" si="5"/>
        <v>0.1858440658</v>
      </c>
      <c r="O5" s="8">
        <f t="shared" si="6"/>
        <v>0.611568</v>
      </c>
      <c r="P5" s="8">
        <f t="shared" si="7"/>
        <v>0.917352</v>
      </c>
      <c r="Q5" s="8">
        <f t="shared" si="8"/>
        <v>0.305784</v>
      </c>
      <c r="R5" s="10"/>
      <c r="S5" s="10"/>
      <c r="T5" s="10"/>
      <c r="U5" s="10"/>
      <c r="V5" s="11"/>
      <c r="W5" s="11"/>
      <c r="X5" s="11">
        <v>1.0</v>
      </c>
      <c r="Y5" s="11"/>
    </row>
    <row r="6" ht="35.25" customHeight="1">
      <c r="A6" s="5" t="s">
        <v>25</v>
      </c>
      <c r="B6" s="5" t="s">
        <v>26</v>
      </c>
      <c r="C6" s="5" t="s">
        <v>27</v>
      </c>
      <c r="D6" s="5" t="s">
        <v>32</v>
      </c>
      <c r="E6" s="5">
        <v>7378.0</v>
      </c>
      <c r="F6" s="6">
        <v>57.35</v>
      </c>
      <c r="G6" s="5">
        <v>35.0</v>
      </c>
      <c r="H6" s="6">
        <v>24.48</v>
      </c>
      <c r="I6" s="6">
        <v>46.5</v>
      </c>
      <c r="J6" s="7">
        <f t="shared" si="1"/>
        <v>3461.3887</v>
      </c>
      <c r="K6" s="7">
        <f t="shared" si="2"/>
        <v>3146.717</v>
      </c>
      <c r="L6" s="8">
        <f t="shared" si="3"/>
        <v>31.87427951</v>
      </c>
      <c r="M6" s="9">
        <f t="shared" si="4"/>
        <v>9.562283852</v>
      </c>
      <c r="N6" s="9">
        <f t="shared" si="5"/>
        <v>1.91245677</v>
      </c>
      <c r="O6" s="8">
        <f t="shared" si="6"/>
        <v>6.293434</v>
      </c>
      <c r="P6" s="8">
        <f t="shared" si="7"/>
        <v>9.440151</v>
      </c>
      <c r="Q6" s="8">
        <f t="shared" si="8"/>
        <v>3.146717</v>
      </c>
      <c r="R6" s="10"/>
      <c r="S6" s="10"/>
      <c r="T6" s="10"/>
      <c r="U6" s="10">
        <v>1.0</v>
      </c>
      <c r="V6" s="11"/>
      <c r="W6" s="11"/>
      <c r="X6" s="11"/>
      <c r="Y6" s="11"/>
    </row>
    <row r="7" ht="35.25" customHeight="1">
      <c r="A7" s="5" t="s">
        <v>25</v>
      </c>
      <c r="B7" s="5" t="s">
        <v>26</v>
      </c>
      <c r="C7" s="5" t="s">
        <v>27</v>
      </c>
      <c r="D7" s="5" t="s">
        <v>33</v>
      </c>
      <c r="E7" s="5">
        <v>7815.0</v>
      </c>
      <c r="F7" s="6">
        <v>55.67</v>
      </c>
      <c r="G7" s="5">
        <v>34.0</v>
      </c>
      <c r="H7" s="6">
        <v>63.33</v>
      </c>
      <c r="I7" s="6">
        <v>74.77</v>
      </c>
      <c r="J7" s="7">
        <f t="shared" si="1"/>
        <v>3810.82845</v>
      </c>
      <c r="K7" s="7">
        <f t="shared" si="2"/>
        <v>3464.3895</v>
      </c>
      <c r="L7" s="8">
        <f t="shared" si="3"/>
        <v>35.09210369</v>
      </c>
      <c r="M7" s="9">
        <f t="shared" si="4"/>
        <v>10.52763111</v>
      </c>
      <c r="N7" s="9">
        <f t="shared" si="5"/>
        <v>2.105526221</v>
      </c>
      <c r="O7" s="8">
        <f t="shared" si="6"/>
        <v>6.928779</v>
      </c>
      <c r="P7" s="8">
        <f t="shared" si="7"/>
        <v>10.3931685</v>
      </c>
      <c r="Q7" s="8">
        <f t="shared" si="8"/>
        <v>3.4643895</v>
      </c>
      <c r="R7" s="10">
        <v>1.0</v>
      </c>
      <c r="S7" s="10"/>
      <c r="T7" s="10"/>
      <c r="U7" s="10"/>
      <c r="V7" s="11">
        <v>1.0</v>
      </c>
      <c r="W7" s="11"/>
      <c r="X7" s="11"/>
      <c r="Y7" s="11"/>
    </row>
    <row r="8" ht="35.25" customHeight="1">
      <c r="A8" s="5" t="s">
        <v>25</v>
      </c>
      <c r="B8" s="5" t="s">
        <v>26</v>
      </c>
      <c r="C8" s="5" t="s">
        <v>27</v>
      </c>
      <c r="D8" s="5" t="s">
        <v>34</v>
      </c>
      <c r="E8" s="5">
        <v>1345.0</v>
      </c>
      <c r="F8" s="6">
        <v>62.1</v>
      </c>
      <c r="G8" s="5">
        <v>12.0</v>
      </c>
      <c r="H8" s="6">
        <v>62.09</v>
      </c>
      <c r="I8" s="6">
        <v>100.0</v>
      </c>
      <c r="J8" s="7">
        <f t="shared" si="1"/>
        <v>560.7305</v>
      </c>
      <c r="K8" s="7">
        <f t="shared" si="2"/>
        <v>509.755</v>
      </c>
      <c r="L8" s="12">
        <f t="shared" si="3"/>
        <v>5.163500038</v>
      </c>
      <c r="M8" s="13">
        <f t="shared" si="4"/>
        <v>1.549050011</v>
      </c>
      <c r="N8" s="9">
        <f t="shared" si="5"/>
        <v>0.3098100023</v>
      </c>
      <c r="O8" s="8">
        <f t="shared" si="6"/>
        <v>1.01951</v>
      </c>
      <c r="P8" s="8">
        <f t="shared" si="7"/>
        <v>1.529265</v>
      </c>
      <c r="Q8" s="8">
        <f t="shared" si="8"/>
        <v>0.509755</v>
      </c>
      <c r="R8" s="10">
        <v>1.0</v>
      </c>
      <c r="S8" s="10"/>
      <c r="T8" s="10"/>
      <c r="U8" s="10"/>
      <c r="V8" s="11"/>
      <c r="W8" s="11"/>
      <c r="X8" s="11"/>
      <c r="Y8" s="11"/>
    </row>
    <row r="9" ht="34.5" customHeight="1">
      <c r="A9" s="5" t="s">
        <v>35</v>
      </c>
      <c r="B9" s="5" t="s">
        <v>26</v>
      </c>
      <c r="C9" s="5" t="s">
        <v>36</v>
      </c>
      <c r="D9" s="5" t="s">
        <v>37</v>
      </c>
      <c r="E9" s="5">
        <v>1290.0</v>
      </c>
      <c r="F9" s="6">
        <v>42.29</v>
      </c>
      <c r="G9" s="5">
        <v>7.0</v>
      </c>
      <c r="H9" s="6">
        <v>38.41</v>
      </c>
      <c r="I9" s="6">
        <v>65.53</v>
      </c>
      <c r="J9" s="7">
        <f t="shared" si="1"/>
        <v>818.9049</v>
      </c>
      <c r="K9" s="7">
        <f t="shared" si="2"/>
        <v>744.459</v>
      </c>
      <c r="L9" s="8">
        <f t="shared" si="3"/>
        <v>7.540905091</v>
      </c>
      <c r="M9" s="15">
        <f t="shared" si="4"/>
        <v>2.262271527</v>
      </c>
      <c r="N9" s="8">
        <f t="shared" si="5"/>
        <v>0.4524543055</v>
      </c>
      <c r="O9" s="8">
        <f t="shared" si="6"/>
        <v>1.488918</v>
      </c>
      <c r="P9" s="8">
        <f t="shared" si="7"/>
        <v>2.233377</v>
      </c>
      <c r="Q9" s="8">
        <f t="shared" si="8"/>
        <v>0.744459</v>
      </c>
      <c r="R9" s="16"/>
      <c r="S9" s="16"/>
      <c r="T9" s="16"/>
      <c r="U9" s="16"/>
      <c r="V9" s="16"/>
      <c r="W9" s="16"/>
      <c r="X9" s="16"/>
      <c r="Y9" s="16"/>
      <c r="Z9" s="17"/>
    </row>
    <row r="10" ht="34.5" customHeight="1">
      <c r="A10" s="5" t="s">
        <v>35</v>
      </c>
      <c r="B10" s="5" t="s">
        <v>26</v>
      </c>
      <c r="C10" s="5" t="s">
        <v>36</v>
      </c>
      <c r="D10" s="5" t="s">
        <v>38</v>
      </c>
      <c r="E10" s="5">
        <v>336.0</v>
      </c>
      <c r="F10" s="6">
        <v>11.25</v>
      </c>
      <c r="G10" s="5">
        <v>7.0</v>
      </c>
      <c r="H10" s="6">
        <v>21.17</v>
      </c>
      <c r="I10" s="6">
        <v>30.37</v>
      </c>
      <c r="J10" s="7">
        <f t="shared" si="1"/>
        <v>328.02</v>
      </c>
      <c r="K10" s="14">
        <f t="shared" si="2"/>
        <v>298.2</v>
      </c>
      <c r="L10" s="8">
        <f t="shared" si="3"/>
        <v>3.020579909</v>
      </c>
      <c r="M10" s="15">
        <f t="shared" si="4"/>
        <v>0.9061739726</v>
      </c>
      <c r="N10" s="8">
        <f t="shared" si="5"/>
        <v>0.1812347945</v>
      </c>
      <c r="O10" s="8">
        <f t="shared" si="6"/>
        <v>0.5964</v>
      </c>
      <c r="P10" s="8">
        <f t="shared" si="7"/>
        <v>0.8946</v>
      </c>
      <c r="Q10" s="8">
        <f t="shared" si="8"/>
        <v>0.2982</v>
      </c>
      <c r="R10" s="16"/>
      <c r="S10" s="16"/>
      <c r="T10" s="16"/>
      <c r="U10" s="16"/>
      <c r="V10" s="18"/>
      <c r="W10" s="18"/>
      <c r="X10" s="18"/>
      <c r="Y10" s="18"/>
      <c r="Z10" s="17"/>
    </row>
    <row r="11" ht="34.5" customHeight="1">
      <c r="A11" s="5" t="s">
        <v>35</v>
      </c>
      <c r="B11" s="5" t="s">
        <v>26</v>
      </c>
      <c r="C11" s="5" t="s">
        <v>36</v>
      </c>
      <c r="D11" s="5" t="s">
        <v>39</v>
      </c>
      <c r="E11" s="5">
        <v>2279.0</v>
      </c>
      <c r="F11" s="6">
        <v>23.22</v>
      </c>
      <c r="G11" s="5">
        <v>14.0</v>
      </c>
      <c r="H11" s="6">
        <v>35.52</v>
      </c>
      <c r="I11" s="6">
        <v>57.98</v>
      </c>
      <c r="J11" s="7">
        <f t="shared" si="1"/>
        <v>1924.79782</v>
      </c>
      <c r="K11" s="7">
        <f t="shared" si="2"/>
        <v>1749.8162</v>
      </c>
      <c r="L11" s="8">
        <f t="shared" si="3"/>
        <v>17.72454614</v>
      </c>
      <c r="M11" s="19">
        <f t="shared" si="4"/>
        <v>5.317363841</v>
      </c>
      <c r="N11" s="8">
        <f t="shared" si="5"/>
        <v>1.063472768</v>
      </c>
      <c r="O11" s="8">
        <f t="shared" si="6"/>
        <v>3.4996324</v>
      </c>
      <c r="P11" s="8">
        <f t="shared" si="7"/>
        <v>5.2494486</v>
      </c>
      <c r="Q11" s="8">
        <f t="shared" si="8"/>
        <v>1.7498162</v>
      </c>
      <c r="R11" s="16"/>
      <c r="S11" s="16"/>
      <c r="T11" s="16"/>
      <c r="U11" s="16"/>
      <c r="V11" s="18"/>
      <c r="W11" s="18"/>
      <c r="X11" s="18"/>
      <c r="Y11" s="18"/>
      <c r="Z11" s="17"/>
    </row>
    <row r="12" ht="34.5" customHeight="1">
      <c r="A12" s="5" t="s">
        <v>35</v>
      </c>
      <c r="B12" s="5" t="s">
        <v>26</v>
      </c>
      <c r="C12" s="5" t="s">
        <v>36</v>
      </c>
      <c r="D12" s="5" t="s">
        <v>40</v>
      </c>
      <c r="E12" s="5">
        <v>327.0</v>
      </c>
      <c r="F12" s="6">
        <v>21.32</v>
      </c>
      <c r="G12" s="5">
        <v>1.0</v>
      </c>
      <c r="H12" s="6">
        <v>0.0</v>
      </c>
      <c r="I12" s="6">
        <v>58.39</v>
      </c>
      <c r="J12" s="7">
        <f t="shared" si="1"/>
        <v>283.01196</v>
      </c>
      <c r="K12" s="14">
        <f t="shared" si="2"/>
        <v>257.2836</v>
      </c>
      <c r="L12" s="8">
        <f t="shared" si="3"/>
        <v>2.606122311</v>
      </c>
      <c r="M12" s="15">
        <f t="shared" si="4"/>
        <v>0.7818366932</v>
      </c>
      <c r="N12" s="8">
        <f t="shared" si="5"/>
        <v>0.1563673386</v>
      </c>
      <c r="O12" s="8">
        <f t="shared" si="6"/>
        <v>0.5145672</v>
      </c>
      <c r="P12" s="8">
        <f t="shared" si="7"/>
        <v>0.7718508</v>
      </c>
      <c r="Q12" s="8">
        <f t="shared" si="8"/>
        <v>0.2572836</v>
      </c>
      <c r="R12" s="16"/>
      <c r="S12" s="16"/>
      <c r="T12" s="16"/>
      <c r="U12" s="16"/>
      <c r="V12" s="16"/>
      <c r="W12" s="16"/>
      <c r="X12" s="16"/>
      <c r="Y12" s="16"/>
      <c r="Z12" s="17"/>
    </row>
    <row r="13" ht="34.5" customHeight="1">
      <c r="A13" s="5" t="s">
        <v>35</v>
      </c>
      <c r="B13" s="5" t="s">
        <v>26</v>
      </c>
      <c r="C13" s="5" t="s">
        <v>36</v>
      </c>
      <c r="D13" s="5" t="s">
        <v>41</v>
      </c>
      <c r="E13" s="5">
        <v>17501.0</v>
      </c>
      <c r="F13" s="6">
        <v>47.05</v>
      </c>
      <c r="G13" s="5">
        <v>69.0</v>
      </c>
      <c r="H13" s="6">
        <v>31.27</v>
      </c>
      <c r="I13" s="6">
        <v>40.23</v>
      </c>
      <c r="J13" s="7">
        <f t="shared" si="1"/>
        <v>10193.45745</v>
      </c>
      <c r="K13" s="7">
        <f t="shared" si="2"/>
        <v>9266.7795</v>
      </c>
      <c r="L13" s="8">
        <f t="shared" si="3"/>
        <v>93.86669341</v>
      </c>
      <c r="M13" s="8">
        <f t="shared" si="4"/>
        <v>28.16000802</v>
      </c>
      <c r="N13" s="8">
        <f t="shared" si="5"/>
        <v>5.632001605</v>
      </c>
      <c r="O13" s="8">
        <f t="shared" si="6"/>
        <v>18.533559</v>
      </c>
      <c r="P13" s="8">
        <f t="shared" si="7"/>
        <v>27.8003385</v>
      </c>
      <c r="Q13" s="8">
        <f t="shared" si="8"/>
        <v>9.2667795</v>
      </c>
      <c r="R13" s="20"/>
      <c r="S13" s="20"/>
      <c r="T13" s="20"/>
      <c r="U13" s="20"/>
      <c r="V13" s="21"/>
      <c r="W13" s="21"/>
      <c r="X13" s="21"/>
      <c r="Y13" s="22">
        <v>1.0</v>
      </c>
      <c r="Z13" s="17"/>
    </row>
    <row r="14" ht="34.5" customHeight="1">
      <c r="A14" s="5" t="s">
        <v>35</v>
      </c>
      <c r="B14" s="5" t="s">
        <v>26</v>
      </c>
      <c r="C14" s="5" t="s">
        <v>36</v>
      </c>
      <c r="D14" s="5" t="s">
        <v>42</v>
      </c>
      <c r="E14" s="5">
        <v>5077.0</v>
      </c>
      <c r="F14" s="6">
        <v>26.14</v>
      </c>
      <c r="G14" s="5">
        <v>17.0</v>
      </c>
      <c r="H14" s="6">
        <v>18.61</v>
      </c>
      <c r="I14" s="6">
        <v>34.1</v>
      </c>
      <c r="J14" s="7">
        <f t="shared" si="1"/>
        <v>4124.85942</v>
      </c>
      <c r="K14" s="7">
        <f t="shared" si="2"/>
        <v>3749.8722</v>
      </c>
      <c r="L14" s="8">
        <f t="shared" si="3"/>
        <v>37.98386528</v>
      </c>
      <c r="M14" s="8">
        <f t="shared" si="4"/>
        <v>11.39515958</v>
      </c>
      <c r="N14" s="8">
        <f t="shared" si="5"/>
        <v>2.279031917</v>
      </c>
      <c r="O14" s="8">
        <f t="shared" si="6"/>
        <v>7.4997444</v>
      </c>
      <c r="P14" s="8">
        <f t="shared" si="7"/>
        <v>11.2496166</v>
      </c>
      <c r="Q14" s="8">
        <f t="shared" si="8"/>
        <v>3.7498722</v>
      </c>
      <c r="R14" s="20"/>
      <c r="S14" s="20"/>
      <c r="T14" s="20"/>
      <c r="U14" s="20"/>
      <c r="V14" s="21"/>
      <c r="W14" s="21"/>
      <c r="X14" s="21"/>
      <c r="Y14" s="21"/>
      <c r="Z14" s="17"/>
    </row>
    <row r="15" ht="34.5" customHeight="1">
      <c r="A15" s="5" t="s">
        <v>35</v>
      </c>
      <c r="B15" s="5" t="s">
        <v>26</v>
      </c>
      <c r="C15" s="5" t="s">
        <v>36</v>
      </c>
      <c r="D15" s="5" t="s">
        <v>43</v>
      </c>
      <c r="E15" s="5">
        <v>5222.0</v>
      </c>
      <c r="F15" s="6">
        <v>35.92</v>
      </c>
      <c r="G15" s="5">
        <v>36.0</v>
      </c>
      <c r="H15" s="6">
        <v>10.83</v>
      </c>
      <c r="I15" s="6">
        <v>50.84</v>
      </c>
      <c r="J15" s="7">
        <f t="shared" si="1"/>
        <v>3680.88336</v>
      </c>
      <c r="K15" s="7">
        <f t="shared" si="2"/>
        <v>3346.2576</v>
      </c>
      <c r="L15" s="8">
        <f t="shared" si="3"/>
        <v>33.89550126</v>
      </c>
      <c r="M15" s="8">
        <f t="shared" si="4"/>
        <v>10.16865038</v>
      </c>
      <c r="N15" s="8">
        <f t="shared" si="5"/>
        <v>2.033730076</v>
      </c>
      <c r="O15" s="8">
        <f t="shared" si="6"/>
        <v>6.6925152</v>
      </c>
      <c r="P15" s="8">
        <f t="shared" si="7"/>
        <v>10.0387728</v>
      </c>
      <c r="Q15" s="8">
        <f t="shared" si="8"/>
        <v>3.3462576</v>
      </c>
      <c r="R15" s="16"/>
      <c r="S15" s="16"/>
      <c r="T15" s="16"/>
      <c r="U15" s="16"/>
      <c r="V15" s="18"/>
      <c r="W15" s="18"/>
      <c r="X15" s="18"/>
      <c r="Y15" s="23">
        <v>1.0</v>
      </c>
      <c r="Z15" s="17"/>
    </row>
    <row r="16" ht="34.5" customHeight="1">
      <c r="A16" s="5" t="s">
        <v>35</v>
      </c>
      <c r="B16" s="5" t="s">
        <v>26</v>
      </c>
      <c r="C16" s="5" t="s">
        <v>36</v>
      </c>
      <c r="D16" s="24" t="s">
        <v>44</v>
      </c>
      <c r="E16" s="5">
        <v>1249.0</v>
      </c>
      <c r="F16" s="6">
        <v>32.1</v>
      </c>
      <c r="G16" s="5">
        <v>12.0</v>
      </c>
      <c r="H16" s="6">
        <v>26.44</v>
      </c>
      <c r="I16" s="6">
        <v>31.54</v>
      </c>
      <c r="J16" s="7">
        <f t="shared" si="1"/>
        <v>932.8781</v>
      </c>
      <c r="K16" s="7">
        <f t="shared" si="2"/>
        <v>848.071</v>
      </c>
      <c r="L16" s="8">
        <f t="shared" si="3"/>
        <v>8.590429992</v>
      </c>
      <c r="M16" s="15">
        <f t="shared" si="4"/>
        <v>2.577128998</v>
      </c>
      <c r="N16" s="8">
        <f t="shared" si="5"/>
        <v>0.5154257995</v>
      </c>
      <c r="O16" s="8">
        <f t="shared" si="6"/>
        <v>1.696142</v>
      </c>
      <c r="P16" s="8">
        <f t="shared" si="7"/>
        <v>2.544213</v>
      </c>
      <c r="Q16" s="8">
        <f t="shared" si="8"/>
        <v>0.848071</v>
      </c>
      <c r="R16" s="16"/>
      <c r="S16" s="16"/>
      <c r="T16" s="16"/>
      <c r="U16" s="16"/>
      <c r="V16" s="18"/>
      <c r="W16" s="18"/>
      <c r="X16" s="18"/>
      <c r="Y16" s="18"/>
      <c r="Z16" s="17"/>
    </row>
    <row r="17" ht="34.5" customHeight="1">
      <c r="A17" s="5" t="s">
        <v>35</v>
      </c>
      <c r="B17" s="5" t="s">
        <v>26</v>
      </c>
      <c r="C17" s="5" t="s">
        <v>36</v>
      </c>
      <c r="D17" s="5" t="s">
        <v>45</v>
      </c>
      <c r="E17" s="5">
        <v>179.0</v>
      </c>
      <c r="F17" s="6">
        <v>11.9</v>
      </c>
      <c r="G17" s="5">
        <v>2.0</v>
      </c>
      <c r="H17" s="6">
        <v>0.0</v>
      </c>
      <c r="I17" s="6">
        <v>52.51</v>
      </c>
      <c r="J17" s="7">
        <f t="shared" si="1"/>
        <v>173.4689</v>
      </c>
      <c r="K17" s="14">
        <f t="shared" si="2"/>
        <v>157.699</v>
      </c>
      <c r="L17" s="8">
        <f t="shared" si="3"/>
        <v>1.597392458</v>
      </c>
      <c r="M17" s="15">
        <f t="shared" si="4"/>
        <v>0.4792177374</v>
      </c>
      <c r="N17" s="8">
        <f t="shared" si="5"/>
        <v>0.09584354749</v>
      </c>
      <c r="O17" s="8">
        <f t="shared" si="6"/>
        <v>0.315398</v>
      </c>
      <c r="P17" s="8">
        <f t="shared" si="7"/>
        <v>0.473097</v>
      </c>
      <c r="Q17" s="8">
        <f t="shared" si="8"/>
        <v>0.157699</v>
      </c>
      <c r="R17" s="16"/>
      <c r="S17" s="16"/>
      <c r="T17" s="16"/>
      <c r="U17" s="16"/>
      <c r="V17" s="18"/>
      <c r="W17" s="18"/>
      <c r="X17" s="18"/>
      <c r="Y17" s="18"/>
      <c r="Z17" s="17"/>
    </row>
    <row r="18" ht="34.5" customHeight="1">
      <c r="A18" s="5" t="s">
        <v>35</v>
      </c>
      <c r="B18" s="5" t="s">
        <v>26</v>
      </c>
      <c r="C18" s="5" t="s">
        <v>36</v>
      </c>
      <c r="D18" s="5" t="s">
        <v>46</v>
      </c>
      <c r="E18" s="5">
        <v>588.0</v>
      </c>
      <c r="F18" s="6">
        <v>25.52</v>
      </c>
      <c r="G18" s="5">
        <v>11.0</v>
      </c>
      <c r="H18" s="6">
        <v>30.06</v>
      </c>
      <c r="I18" s="6">
        <v>50.97</v>
      </c>
      <c r="J18" s="7">
        <f t="shared" si="1"/>
        <v>481.73664</v>
      </c>
      <c r="K18" s="7">
        <f t="shared" si="2"/>
        <v>437.9424</v>
      </c>
      <c r="L18" s="8">
        <f t="shared" si="3"/>
        <v>4.436083215</v>
      </c>
      <c r="M18" s="15">
        <f t="shared" si="4"/>
        <v>1.330824964</v>
      </c>
      <c r="N18" s="8">
        <f t="shared" si="5"/>
        <v>0.2661649929</v>
      </c>
      <c r="O18" s="8">
        <f t="shared" si="6"/>
        <v>0.8758848</v>
      </c>
      <c r="P18" s="8">
        <f t="shared" si="7"/>
        <v>1.3138272</v>
      </c>
      <c r="Q18" s="8">
        <f t="shared" si="8"/>
        <v>0.4379424</v>
      </c>
      <c r="R18" s="16"/>
      <c r="S18" s="16"/>
      <c r="T18" s="16"/>
      <c r="U18" s="16"/>
      <c r="V18" s="18"/>
      <c r="W18" s="18"/>
      <c r="X18" s="18"/>
      <c r="Y18" s="18"/>
      <c r="Z18" s="17"/>
    </row>
    <row r="19" ht="34.5" customHeight="1">
      <c r="A19" s="25" t="s">
        <v>35</v>
      </c>
      <c r="B19" s="25" t="s">
        <v>26</v>
      </c>
      <c r="C19" s="25" t="s">
        <v>36</v>
      </c>
      <c r="D19" s="25" t="s">
        <v>47</v>
      </c>
      <c r="E19" s="5">
        <v>3942.0</v>
      </c>
      <c r="F19" s="6">
        <v>30.8</v>
      </c>
      <c r="G19" s="5">
        <v>24.0</v>
      </c>
      <c r="H19" s="6">
        <v>25.5</v>
      </c>
      <c r="I19" s="6">
        <v>51.28</v>
      </c>
      <c r="J19" s="7">
        <f t="shared" si="1"/>
        <v>3000.6504</v>
      </c>
      <c r="K19" s="7">
        <f t="shared" si="2"/>
        <v>2727.864</v>
      </c>
      <c r="L19" s="8">
        <f t="shared" si="3"/>
        <v>27.63156</v>
      </c>
      <c r="M19" s="19">
        <f t="shared" si="4"/>
        <v>8.289468</v>
      </c>
      <c r="N19" s="8">
        <f t="shared" si="5"/>
        <v>1.6578936</v>
      </c>
      <c r="O19" s="8">
        <f t="shared" si="6"/>
        <v>5.455728</v>
      </c>
      <c r="P19" s="8">
        <f t="shared" si="7"/>
        <v>8.183592</v>
      </c>
      <c r="Q19" s="8">
        <f t="shared" si="8"/>
        <v>2.727864</v>
      </c>
      <c r="R19" s="16"/>
      <c r="S19" s="16"/>
      <c r="T19" s="16"/>
      <c r="U19" s="16"/>
      <c r="V19" s="18"/>
      <c r="W19" s="18"/>
      <c r="X19" s="18"/>
      <c r="Y19" s="18"/>
      <c r="Z19" s="17"/>
    </row>
    <row r="20" ht="34.5" customHeight="1">
      <c r="A20" s="25" t="s">
        <v>48</v>
      </c>
      <c r="B20" s="26" t="s">
        <v>26</v>
      </c>
      <c r="C20" s="26" t="s">
        <v>49</v>
      </c>
      <c r="D20" s="26" t="s">
        <v>50</v>
      </c>
      <c r="E20" s="26">
        <v>1147.0</v>
      </c>
      <c r="F20" s="27">
        <v>37.01</v>
      </c>
      <c r="G20" s="26">
        <v>14.0</v>
      </c>
      <c r="H20" s="27">
        <v>6.8</v>
      </c>
      <c r="I20" s="27">
        <v>62.24</v>
      </c>
      <c r="J20" s="28">
        <f t="shared" si="1"/>
        <v>794.74483</v>
      </c>
      <c r="K20" s="28">
        <f t="shared" si="2"/>
        <v>722.4953</v>
      </c>
      <c r="L20" s="29">
        <f t="shared" si="3"/>
        <v>7.318426517</v>
      </c>
      <c r="M20" s="30">
        <f t="shared" si="4"/>
        <v>2.195527955</v>
      </c>
      <c r="N20" s="30">
        <f t="shared" si="5"/>
        <v>0.439105591</v>
      </c>
      <c r="O20" s="30">
        <f t="shared" si="6"/>
        <v>1.4449906</v>
      </c>
      <c r="P20" s="30">
        <f t="shared" si="7"/>
        <v>2.1674859</v>
      </c>
      <c r="Q20" s="30">
        <f t="shared" si="8"/>
        <v>0.7224953</v>
      </c>
      <c r="R20" s="31"/>
      <c r="S20" s="31"/>
      <c r="T20" s="31"/>
      <c r="U20" s="31"/>
      <c r="V20" s="32"/>
      <c r="W20" s="32"/>
      <c r="X20" s="32"/>
      <c r="Y20" s="32"/>
    </row>
    <row r="21" ht="34.5" customHeight="1">
      <c r="A21" s="25" t="s">
        <v>48</v>
      </c>
      <c r="B21" s="26" t="s">
        <v>26</v>
      </c>
      <c r="C21" s="26" t="s">
        <v>49</v>
      </c>
      <c r="D21" s="26" t="s">
        <v>51</v>
      </c>
      <c r="E21" s="26">
        <v>1304.0</v>
      </c>
      <c r="F21" s="27">
        <v>45.0</v>
      </c>
      <c r="G21" s="26">
        <v>11.0</v>
      </c>
      <c r="H21" s="27">
        <v>53.91</v>
      </c>
      <c r="I21" s="27">
        <v>76.99</v>
      </c>
      <c r="J21" s="28">
        <f t="shared" si="1"/>
        <v>788.92</v>
      </c>
      <c r="K21" s="28">
        <f t="shared" si="2"/>
        <v>717.2</v>
      </c>
      <c r="L21" s="29">
        <f t="shared" si="3"/>
        <v>7.264788432</v>
      </c>
      <c r="M21" s="30">
        <f t="shared" si="4"/>
        <v>2.17943653</v>
      </c>
      <c r="N21" s="30">
        <f t="shared" si="5"/>
        <v>0.4358873059</v>
      </c>
      <c r="O21" s="30">
        <f t="shared" si="6"/>
        <v>1.4344</v>
      </c>
      <c r="P21" s="30">
        <f t="shared" si="7"/>
        <v>2.1516</v>
      </c>
      <c r="Q21" s="30">
        <f t="shared" si="8"/>
        <v>0.7172</v>
      </c>
      <c r="R21" s="31"/>
      <c r="S21" s="31"/>
      <c r="T21" s="31"/>
      <c r="U21" s="31"/>
      <c r="V21" s="32"/>
      <c r="W21" s="32"/>
      <c r="X21" s="32"/>
      <c r="Y21" s="32"/>
    </row>
    <row r="22" ht="34.5" customHeight="1">
      <c r="A22" s="25" t="s">
        <v>48</v>
      </c>
      <c r="B22" s="26" t="s">
        <v>26</v>
      </c>
      <c r="C22" s="26" t="s">
        <v>49</v>
      </c>
      <c r="D22" s="26" t="s">
        <v>52</v>
      </c>
      <c r="E22" s="26">
        <v>2488.0</v>
      </c>
      <c r="F22" s="27">
        <v>24.22</v>
      </c>
      <c r="G22" s="26">
        <v>13.0</v>
      </c>
      <c r="H22" s="27">
        <v>47.09</v>
      </c>
      <c r="I22" s="27">
        <v>50.5</v>
      </c>
      <c r="J22" s="28">
        <f t="shared" si="1"/>
        <v>2073.94704</v>
      </c>
      <c r="K22" s="28">
        <f t="shared" si="2"/>
        <v>1885.4064</v>
      </c>
      <c r="L22" s="29">
        <f t="shared" si="3"/>
        <v>19.09799025</v>
      </c>
      <c r="M22" s="30">
        <f t="shared" si="4"/>
        <v>5.729397074</v>
      </c>
      <c r="N22" s="30">
        <f t="shared" si="5"/>
        <v>1.145879415</v>
      </c>
      <c r="O22" s="30">
        <f t="shared" si="6"/>
        <v>3.7708128</v>
      </c>
      <c r="P22" s="30">
        <f t="shared" si="7"/>
        <v>5.6562192</v>
      </c>
      <c r="Q22" s="30">
        <f t="shared" si="8"/>
        <v>1.8854064</v>
      </c>
      <c r="R22" s="31"/>
      <c r="S22" s="31"/>
      <c r="T22" s="31"/>
      <c r="U22" s="31"/>
      <c r="V22" s="32"/>
      <c r="W22" s="32"/>
      <c r="X22" s="32"/>
      <c r="Y22" s="32"/>
    </row>
    <row r="23" ht="34.5" customHeight="1">
      <c r="A23" s="25" t="s">
        <v>48</v>
      </c>
      <c r="B23" s="26" t="s">
        <v>26</v>
      </c>
      <c r="C23" s="26" t="s">
        <v>49</v>
      </c>
      <c r="D23" s="26" t="s">
        <v>49</v>
      </c>
      <c r="E23" s="26">
        <v>1833.0</v>
      </c>
      <c r="F23" s="27">
        <v>27.18</v>
      </c>
      <c r="G23" s="26">
        <v>14.0</v>
      </c>
      <c r="H23" s="27">
        <v>55.83</v>
      </c>
      <c r="I23" s="27">
        <v>76.37</v>
      </c>
      <c r="J23" s="28">
        <f t="shared" si="1"/>
        <v>1468.26966</v>
      </c>
      <c r="K23" s="28">
        <f t="shared" si="2"/>
        <v>1334.7906</v>
      </c>
      <c r="L23" s="29">
        <f t="shared" si="3"/>
        <v>13.5205958</v>
      </c>
      <c r="M23" s="30">
        <f t="shared" si="4"/>
        <v>4.056178741</v>
      </c>
      <c r="N23" s="30">
        <f t="shared" si="5"/>
        <v>0.8112357482</v>
      </c>
      <c r="O23" s="30">
        <f t="shared" si="6"/>
        <v>2.6695812</v>
      </c>
      <c r="P23" s="30">
        <f t="shared" si="7"/>
        <v>4.0043718</v>
      </c>
      <c r="Q23" s="30">
        <f t="shared" si="8"/>
        <v>1.3347906</v>
      </c>
      <c r="R23" s="31"/>
      <c r="S23" s="31"/>
      <c r="T23" s="31"/>
      <c r="U23" s="31"/>
      <c r="V23" s="32"/>
      <c r="W23" s="32"/>
      <c r="X23" s="32"/>
      <c r="Y23" s="32"/>
    </row>
    <row r="24" ht="34.5" customHeight="1">
      <c r="A24" s="25" t="s">
        <v>48</v>
      </c>
      <c r="B24" s="26" t="s">
        <v>26</v>
      </c>
      <c r="C24" s="26" t="s">
        <v>49</v>
      </c>
      <c r="D24" s="26" t="s">
        <v>53</v>
      </c>
      <c r="E24" s="33">
        <v>910.0</v>
      </c>
      <c r="F24" s="27">
        <v>21.73</v>
      </c>
      <c r="G24" s="26">
        <v>17.0</v>
      </c>
      <c r="H24" s="27">
        <v>37.88</v>
      </c>
      <c r="I24" s="27">
        <v>58.84</v>
      </c>
      <c r="J24" s="28">
        <f t="shared" si="1"/>
        <v>783.4827</v>
      </c>
      <c r="K24" s="28">
        <f t="shared" si="2"/>
        <v>712.257</v>
      </c>
      <c r="L24" s="29">
        <f t="shared" si="3"/>
        <v>7.214718927</v>
      </c>
      <c r="M24" s="30">
        <f t="shared" si="4"/>
        <v>2.164415678</v>
      </c>
      <c r="N24" s="30">
        <f t="shared" si="5"/>
        <v>0.4328831356</v>
      </c>
      <c r="O24" s="30">
        <f t="shared" si="6"/>
        <v>1.424514</v>
      </c>
      <c r="P24" s="30">
        <f t="shared" si="7"/>
        <v>2.136771</v>
      </c>
      <c r="Q24" s="30">
        <f t="shared" si="8"/>
        <v>0.712257</v>
      </c>
      <c r="R24" s="31"/>
      <c r="S24" s="31"/>
      <c r="T24" s="31"/>
      <c r="U24" s="31"/>
      <c r="V24" s="32"/>
      <c r="W24" s="32"/>
      <c r="X24" s="32"/>
      <c r="Y24" s="32"/>
    </row>
    <row r="25" ht="34.5" customHeight="1">
      <c r="A25" s="25" t="s">
        <v>54</v>
      </c>
      <c r="B25" s="34" t="s">
        <v>26</v>
      </c>
      <c r="C25" s="34" t="s">
        <v>55</v>
      </c>
      <c r="D25" s="34" t="s">
        <v>56</v>
      </c>
      <c r="E25" s="34">
        <v>3560.0</v>
      </c>
      <c r="F25" s="35">
        <v>37.03</v>
      </c>
      <c r="G25" s="34">
        <v>26.0</v>
      </c>
      <c r="H25" s="35">
        <v>8.31</v>
      </c>
      <c r="I25" s="35">
        <v>42.31</v>
      </c>
      <c r="J25" s="36">
        <f t="shared" si="1"/>
        <v>2465.9052</v>
      </c>
      <c r="K25" s="36">
        <f t="shared" si="2"/>
        <v>2241.732</v>
      </c>
      <c r="L25" s="8">
        <f t="shared" si="3"/>
        <v>22.70734621</v>
      </c>
      <c r="M25" s="8">
        <f t="shared" si="4"/>
        <v>6.812203863</v>
      </c>
      <c r="N25" s="8">
        <f t="shared" si="5"/>
        <v>1.362440773</v>
      </c>
      <c r="O25" s="8">
        <f t="shared" si="6"/>
        <v>4.483464</v>
      </c>
      <c r="P25" s="8">
        <f t="shared" si="7"/>
        <v>6.725196</v>
      </c>
      <c r="Q25" s="8">
        <f t="shared" si="8"/>
        <v>2.241732</v>
      </c>
      <c r="R25" s="10"/>
      <c r="S25" s="10"/>
      <c r="T25" s="10"/>
      <c r="U25" s="10"/>
      <c r="V25" s="11"/>
      <c r="W25" s="11"/>
      <c r="X25" s="11"/>
      <c r="Y25" s="11"/>
      <c r="Z25" s="17"/>
    </row>
    <row r="26" ht="34.5" customHeight="1">
      <c r="A26" s="25" t="s">
        <v>54</v>
      </c>
      <c r="B26" s="34" t="s">
        <v>26</v>
      </c>
      <c r="C26" s="34" t="s">
        <v>55</v>
      </c>
      <c r="D26" s="34" t="s">
        <v>57</v>
      </c>
      <c r="E26" s="34">
        <v>3332.0</v>
      </c>
      <c r="F26" s="35">
        <v>26.8</v>
      </c>
      <c r="G26" s="34">
        <v>17.0</v>
      </c>
      <c r="H26" s="35">
        <v>28.99</v>
      </c>
      <c r="I26" s="35">
        <v>54.8</v>
      </c>
      <c r="J26" s="36">
        <f t="shared" si="1"/>
        <v>2682.9264</v>
      </c>
      <c r="K26" s="36">
        <f t="shared" si="2"/>
        <v>2439.024</v>
      </c>
      <c r="L26" s="8">
        <f t="shared" si="3"/>
        <v>24.70579105</v>
      </c>
      <c r="M26" s="8">
        <f t="shared" si="4"/>
        <v>7.411737315</v>
      </c>
      <c r="N26" s="8">
        <f t="shared" si="5"/>
        <v>1.482347463</v>
      </c>
      <c r="O26" s="8">
        <f t="shared" si="6"/>
        <v>4.878048</v>
      </c>
      <c r="P26" s="8">
        <f t="shared" si="7"/>
        <v>7.317072</v>
      </c>
      <c r="Q26" s="8">
        <f t="shared" si="8"/>
        <v>2.439024</v>
      </c>
      <c r="R26" s="10"/>
      <c r="S26" s="10"/>
      <c r="T26" s="10"/>
      <c r="U26" s="10"/>
      <c r="V26" s="11"/>
      <c r="W26" s="11"/>
      <c r="X26" s="11"/>
      <c r="Y26" s="11"/>
      <c r="Z26" s="17"/>
    </row>
    <row r="27" ht="34.5" customHeight="1">
      <c r="A27" s="25" t="s">
        <v>54</v>
      </c>
      <c r="B27" s="34" t="s">
        <v>26</v>
      </c>
      <c r="C27" s="34" t="s">
        <v>55</v>
      </c>
      <c r="D27" s="34" t="s">
        <v>58</v>
      </c>
      <c r="E27" s="34">
        <v>804.0</v>
      </c>
      <c r="F27" s="35">
        <v>13.68</v>
      </c>
      <c r="G27" s="34">
        <v>11.0</v>
      </c>
      <c r="H27" s="35">
        <v>64.64</v>
      </c>
      <c r="I27" s="35">
        <v>69.83</v>
      </c>
      <c r="J27" s="36">
        <f t="shared" si="1"/>
        <v>763.41408</v>
      </c>
      <c r="K27" s="36">
        <f t="shared" si="2"/>
        <v>694.0128</v>
      </c>
      <c r="L27" s="8">
        <f t="shared" si="3"/>
        <v>7.029916566</v>
      </c>
      <c r="M27" s="8">
        <f t="shared" si="4"/>
        <v>2.10897497</v>
      </c>
      <c r="N27" s="8">
        <f t="shared" si="5"/>
        <v>0.421794994</v>
      </c>
      <c r="O27" s="8">
        <f t="shared" si="6"/>
        <v>1.3880256</v>
      </c>
      <c r="P27" s="8">
        <f t="shared" si="7"/>
        <v>2.0820384</v>
      </c>
      <c r="Q27" s="8">
        <f t="shared" si="8"/>
        <v>0.6940128</v>
      </c>
      <c r="R27" s="10"/>
      <c r="S27" s="10"/>
      <c r="T27" s="10"/>
      <c r="U27" s="10"/>
      <c r="V27" s="11"/>
      <c r="W27" s="11"/>
      <c r="X27" s="11"/>
      <c r="Y27" s="11"/>
      <c r="Z27" s="17"/>
    </row>
    <row r="28" ht="34.5" customHeight="1">
      <c r="A28" s="25" t="s">
        <v>54</v>
      </c>
      <c r="B28" s="34" t="s">
        <v>26</v>
      </c>
      <c r="C28" s="34" t="s">
        <v>55</v>
      </c>
      <c r="D28" s="34" t="s">
        <v>59</v>
      </c>
      <c r="E28" s="34">
        <v>2090.0</v>
      </c>
      <c r="F28" s="35">
        <v>23.43</v>
      </c>
      <c r="G28" s="34">
        <v>12.0</v>
      </c>
      <c r="H28" s="35">
        <v>23.56</v>
      </c>
      <c r="I28" s="35">
        <v>43.76</v>
      </c>
      <c r="J28" s="36">
        <f t="shared" si="1"/>
        <v>1760.3443</v>
      </c>
      <c r="K28" s="36">
        <f t="shared" si="2"/>
        <v>1600.313</v>
      </c>
      <c r="L28" s="8">
        <f t="shared" si="3"/>
        <v>16.21017202</v>
      </c>
      <c r="M28" s="8">
        <f t="shared" si="4"/>
        <v>4.863051605</v>
      </c>
      <c r="N28" s="8">
        <f t="shared" si="5"/>
        <v>0.972610321</v>
      </c>
      <c r="O28" s="8">
        <f t="shared" si="6"/>
        <v>3.200626</v>
      </c>
      <c r="P28" s="8">
        <f t="shared" si="7"/>
        <v>4.800939</v>
      </c>
      <c r="Q28" s="8">
        <f t="shared" si="8"/>
        <v>1.600313</v>
      </c>
      <c r="R28" s="10"/>
      <c r="S28" s="10"/>
      <c r="T28" s="10"/>
      <c r="U28" s="10"/>
      <c r="V28" s="11"/>
      <c r="W28" s="11"/>
      <c r="X28" s="11"/>
      <c r="Y28" s="11"/>
      <c r="Z28" s="17"/>
    </row>
    <row r="29" ht="34.5" customHeight="1">
      <c r="A29" s="25" t="s">
        <v>54</v>
      </c>
      <c r="B29" s="34" t="s">
        <v>26</v>
      </c>
      <c r="C29" s="34" t="s">
        <v>55</v>
      </c>
      <c r="D29" s="34" t="s">
        <v>60</v>
      </c>
      <c r="E29" s="34">
        <v>354.0</v>
      </c>
      <c r="F29" s="35">
        <v>7.0</v>
      </c>
      <c r="G29" s="34">
        <v>8.0</v>
      </c>
      <c r="H29" s="35">
        <v>87.78</v>
      </c>
      <c r="I29" s="35">
        <v>87.78</v>
      </c>
      <c r="J29" s="36">
        <f t="shared" si="1"/>
        <v>362.142</v>
      </c>
      <c r="K29" s="36">
        <f t="shared" si="2"/>
        <v>329.22</v>
      </c>
      <c r="L29" s="8">
        <f t="shared" si="3"/>
        <v>3.334793151</v>
      </c>
      <c r="M29" s="8">
        <f t="shared" si="4"/>
        <v>1.000437945</v>
      </c>
      <c r="N29" s="8">
        <f t="shared" si="5"/>
        <v>0.200087589</v>
      </c>
      <c r="O29" s="8">
        <f t="shared" si="6"/>
        <v>0.65844</v>
      </c>
      <c r="P29" s="8">
        <f t="shared" si="7"/>
        <v>0.98766</v>
      </c>
      <c r="Q29" s="8">
        <f t="shared" si="8"/>
        <v>0.32922</v>
      </c>
      <c r="R29" s="10"/>
      <c r="S29" s="10"/>
      <c r="T29" s="10"/>
      <c r="U29" s="10"/>
      <c r="V29" s="11"/>
      <c r="W29" s="11"/>
      <c r="X29" s="11"/>
      <c r="Y29" s="11"/>
      <c r="Z29" s="17"/>
    </row>
    <row r="30" ht="34.5" customHeight="1">
      <c r="A30" s="25" t="s">
        <v>54</v>
      </c>
      <c r="B30" s="34" t="s">
        <v>26</v>
      </c>
      <c r="C30" s="34" t="s">
        <v>55</v>
      </c>
      <c r="D30" s="34" t="s">
        <v>61</v>
      </c>
      <c r="E30" s="34">
        <v>159.0</v>
      </c>
      <c r="F30" s="35">
        <v>11.15</v>
      </c>
      <c r="G30" s="34">
        <v>3.0</v>
      </c>
      <c r="H30" s="35">
        <v>65.4</v>
      </c>
      <c r="I30" s="35">
        <v>65.4</v>
      </c>
      <c r="J30" s="36">
        <f t="shared" si="1"/>
        <v>155.39865</v>
      </c>
      <c r="K30" s="37">
        <f t="shared" si="2"/>
        <v>141.2715</v>
      </c>
      <c r="L30" s="8">
        <f t="shared" si="3"/>
        <v>1.430992135</v>
      </c>
      <c r="M30" s="8">
        <f t="shared" si="4"/>
        <v>0.4292976404</v>
      </c>
      <c r="N30" s="8">
        <f t="shared" si="5"/>
        <v>0.08585952808</v>
      </c>
      <c r="O30" s="8">
        <f t="shared" si="6"/>
        <v>0.282543</v>
      </c>
      <c r="P30" s="8">
        <f t="shared" si="7"/>
        <v>0.4238145</v>
      </c>
      <c r="Q30" s="8">
        <f t="shared" si="8"/>
        <v>0.1412715</v>
      </c>
      <c r="R30" s="10"/>
      <c r="S30" s="10"/>
      <c r="T30" s="10"/>
      <c r="U30" s="10"/>
      <c r="V30" s="11"/>
      <c r="W30" s="11"/>
      <c r="X30" s="11"/>
      <c r="Y30" s="11"/>
      <c r="Z30" s="17"/>
    </row>
    <row r="31" ht="34.5" customHeight="1">
      <c r="A31" s="25" t="s">
        <v>54</v>
      </c>
      <c r="B31" s="34" t="s">
        <v>26</v>
      </c>
      <c r="C31" s="34" t="s">
        <v>55</v>
      </c>
      <c r="D31" s="34" t="s">
        <v>62</v>
      </c>
      <c r="E31" s="34">
        <v>3203.0</v>
      </c>
      <c r="F31" s="35">
        <v>34.96</v>
      </c>
      <c r="G31" s="34">
        <v>14.0</v>
      </c>
      <c r="H31" s="35">
        <v>9.53</v>
      </c>
      <c r="I31" s="35">
        <v>52.98</v>
      </c>
      <c r="J31" s="36">
        <f t="shared" si="1"/>
        <v>2291.55432</v>
      </c>
      <c r="K31" s="36">
        <f t="shared" si="2"/>
        <v>2083.2312</v>
      </c>
      <c r="L31" s="8">
        <f t="shared" si="3"/>
        <v>21.10183202</v>
      </c>
      <c r="M31" s="8">
        <f t="shared" si="4"/>
        <v>6.330549605</v>
      </c>
      <c r="N31" s="8">
        <f t="shared" si="5"/>
        <v>1.266109921</v>
      </c>
      <c r="O31" s="8">
        <f t="shared" si="6"/>
        <v>4.1664624</v>
      </c>
      <c r="P31" s="8">
        <f t="shared" si="7"/>
        <v>6.2496936</v>
      </c>
      <c r="Q31" s="8">
        <f t="shared" si="8"/>
        <v>2.0832312</v>
      </c>
      <c r="R31" s="10"/>
      <c r="S31" s="10"/>
      <c r="T31" s="10"/>
      <c r="U31" s="10"/>
      <c r="V31" s="11"/>
      <c r="W31" s="11"/>
      <c r="X31" s="11"/>
      <c r="Y31" s="11"/>
      <c r="Z31" s="17"/>
    </row>
    <row r="32" ht="34.5" customHeight="1">
      <c r="A32" s="25" t="s">
        <v>54</v>
      </c>
      <c r="B32" s="38" t="s">
        <v>26</v>
      </c>
      <c r="C32" s="38" t="s">
        <v>55</v>
      </c>
      <c r="D32" s="38" t="s">
        <v>63</v>
      </c>
      <c r="E32" s="34">
        <v>680.0</v>
      </c>
      <c r="F32" s="35">
        <v>24.96</v>
      </c>
      <c r="G32" s="34">
        <v>8.0</v>
      </c>
      <c r="H32" s="35">
        <v>45.92</v>
      </c>
      <c r="I32" s="35">
        <v>57.32</v>
      </c>
      <c r="J32" s="36">
        <f t="shared" si="1"/>
        <v>561.2992</v>
      </c>
      <c r="K32" s="36">
        <f t="shared" si="2"/>
        <v>510.272</v>
      </c>
      <c r="L32" s="8">
        <f t="shared" si="3"/>
        <v>5.168736925</v>
      </c>
      <c r="M32" s="8">
        <f t="shared" si="4"/>
        <v>1.550621078</v>
      </c>
      <c r="N32" s="39">
        <f t="shared" si="5"/>
        <v>0.3101242155</v>
      </c>
      <c r="O32" s="8">
        <f t="shared" si="6"/>
        <v>1.020544</v>
      </c>
      <c r="P32" s="8">
        <f t="shared" si="7"/>
        <v>1.530816</v>
      </c>
      <c r="Q32" s="8">
        <f t="shared" si="8"/>
        <v>0.510272</v>
      </c>
      <c r="R32" s="40"/>
      <c r="S32" s="40"/>
      <c r="T32" s="40"/>
      <c r="U32" s="40"/>
      <c r="V32" s="41"/>
      <c r="W32" s="41"/>
      <c r="X32" s="41"/>
      <c r="Y32" s="41"/>
      <c r="Z32" s="17"/>
    </row>
    <row r="33" ht="34.5" customHeight="1">
      <c r="A33" s="25" t="s">
        <v>64</v>
      </c>
      <c r="B33" s="42" t="s">
        <v>26</v>
      </c>
      <c r="C33" s="42" t="s">
        <v>65</v>
      </c>
      <c r="D33" s="42" t="s">
        <v>66</v>
      </c>
      <c r="E33" s="42">
        <v>5101.0</v>
      </c>
      <c r="F33" s="43">
        <v>47.33</v>
      </c>
      <c r="G33" s="42">
        <v>19.0</v>
      </c>
      <c r="H33" s="43">
        <v>0.0</v>
      </c>
      <c r="I33" s="43">
        <v>63.47</v>
      </c>
      <c r="J33" s="44">
        <f t="shared" si="1"/>
        <v>2955.36637</v>
      </c>
      <c r="K33" s="44">
        <f t="shared" si="2"/>
        <v>2686.6967</v>
      </c>
      <c r="L33" s="8">
        <f t="shared" si="3"/>
        <v>27.21456094</v>
      </c>
      <c r="M33" s="8">
        <f t="shared" si="4"/>
        <v>8.164368282</v>
      </c>
      <c r="N33" s="8">
        <f t="shared" si="5"/>
        <v>1.632873656</v>
      </c>
      <c r="O33" s="8">
        <f t="shared" si="6"/>
        <v>5.3733934</v>
      </c>
      <c r="P33" s="8">
        <f t="shared" si="7"/>
        <v>8.0600901</v>
      </c>
      <c r="Q33" s="8">
        <f t="shared" si="8"/>
        <v>2.6866967</v>
      </c>
      <c r="R33" s="10"/>
      <c r="S33" s="10"/>
      <c r="T33" s="10"/>
      <c r="U33" s="10"/>
      <c r="V33" s="45"/>
      <c r="W33" s="45"/>
      <c r="X33" s="45"/>
      <c r="Y33" s="45"/>
    </row>
    <row r="34" ht="34.5" customHeight="1">
      <c r="A34" s="25" t="s">
        <v>64</v>
      </c>
      <c r="B34" s="42" t="s">
        <v>26</v>
      </c>
      <c r="C34" s="42" t="s">
        <v>65</v>
      </c>
      <c r="D34" s="42" t="s">
        <v>67</v>
      </c>
      <c r="E34" s="42">
        <v>5048.0</v>
      </c>
      <c r="F34" s="43">
        <v>35.71</v>
      </c>
      <c r="G34" s="42">
        <v>15.0</v>
      </c>
      <c r="H34" s="43">
        <v>15.49</v>
      </c>
      <c r="I34" s="43">
        <v>37.36</v>
      </c>
      <c r="J34" s="44">
        <f t="shared" si="1"/>
        <v>3569.89512</v>
      </c>
      <c r="K34" s="44">
        <f t="shared" si="2"/>
        <v>3245.3592</v>
      </c>
      <c r="L34" s="8">
        <f t="shared" si="3"/>
        <v>32.87346343</v>
      </c>
      <c r="M34" s="8">
        <f t="shared" si="4"/>
        <v>9.86203903</v>
      </c>
      <c r="N34" s="8">
        <f t="shared" si="5"/>
        <v>1.972407806</v>
      </c>
      <c r="O34" s="8">
        <f t="shared" si="6"/>
        <v>6.4907184</v>
      </c>
      <c r="P34" s="8">
        <f t="shared" si="7"/>
        <v>9.7360776</v>
      </c>
      <c r="Q34" s="8">
        <f t="shared" si="8"/>
        <v>3.2453592</v>
      </c>
      <c r="R34" s="10"/>
      <c r="S34" s="10"/>
      <c r="T34" s="10"/>
      <c r="U34" s="10"/>
      <c r="V34" s="45"/>
      <c r="W34" s="45"/>
      <c r="X34" s="45"/>
      <c r="Y34" s="45"/>
    </row>
    <row r="35" ht="34.5" customHeight="1">
      <c r="A35" s="25" t="s">
        <v>64</v>
      </c>
      <c r="B35" s="42" t="s">
        <v>26</v>
      </c>
      <c r="C35" s="42" t="s">
        <v>65</v>
      </c>
      <c r="D35" s="42" t="s">
        <v>68</v>
      </c>
      <c r="E35" s="42">
        <v>3469.0</v>
      </c>
      <c r="F35" s="43">
        <v>27.81</v>
      </c>
      <c r="G35" s="42">
        <v>15.0</v>
      </c>
      <c r="H35" s="43">
        <v>23.22</v>
      </c>
      <c r="I35" s="43">
        <v>39.12</v>
      </c>
      <c r="J35" s="44">
        <f t="shared" si="1"/>
        <v>2754.69821</v>
      </c>
      <c r="K35" s="44">
        <f t="shared" si="2"/>
        <v>2504.2711</v>
      </c>
      <c r="L35" s="8">
        <f t="shared" si="3"/>
        <v>25.36670346</v>
      </c>
      <c r="M35" s="8">
        <f t="shared" si="4"/>
        <v>7.610011037</v>
      </c>
      <c r="N35" s="8">
        <f t="shared" si="5"/>
        <v>1.522002207</v>
      </c>
      <c r="O35" s="8">
        <f t="shared" si="6"/>
        <v>5.0085422</v>
      </c>
      <c r="P35" s="8">
        <f t="shared" si="7"/>
        <v>7.5128133</v>
      </c>
      <c r="Q35" s="8">
        <f t="shared" si="8"/>
        <v>2.5042711</v>
      </c>
      <c r="R35" s="10"/>
      <c r="S35" s="10"/>
      <c r="T35" s="10"/>
      <c r="U35" s="10"/>
      <c r="V35" s="45"/>
      <c r="W35" s="45"/>
      <c r="X35" s="45"/>
      <c r="Y35" s="45"/>
    </row>
    <row r="36" ht="34.5" customHeight="1">
      <c r="A36" s="25" t="s">
        <v>64</v>
      </c>
      <c r="B36" s="42" t="s">
        <v>26</v>
      </c>
      <c r="C36" s="42" t="s">
        <v>65</v>
      </c>
      <c r="D36" s="42" t="s">
        <v>69</v>
      </c>
      <c r="E36" s="42">
        <v>1287.0</v>
      </c>
      <c r="F36" s="43">
        <v>33.92</v>
      </c>
      <c r="G36" s="42">
        <v>10.0</v>
      </c>
      <c r="H36" s="43">
        <v>46.94</v>
      </c>
      <c r="I36" s="43">
        <v>75.06</v>
      </c>
      <c r="J36" s="44">
        <f t="shared" si="1"/>
        <v>935.49456</v>
      </c>
      <c r="K36" s="44">
        <f t="shared" si="2"/>
        <v>850.4496</v>
      </c>
      <c r="L36" s="8">
        <f t="shared" si="3"/>
        <v>8.614523726</v>
      </c>
      <c r="M36" s="8">
        <f t="shared" si="4"/>
        <v>2.584357118</v>
      </c>
      <c r="N36" s="8">
        <f t="shared" si="5"/>
        <v>0.5168714236</v>
      </c>
      <c r="O36" s="8">
        <f t="shared" si="6"/>
        <v>1.7008992</v>
      </c>
      <c r="P36" s="8">
        <f t="shared" si="7"/>
        <v>2.5513488</v>
      </c>
      <c r="Q36" s="8">
        <f t="shared" si="8"/>
        <v>0.8504496</v>
      </c>
      <c r="R36" s="10"/>
      <c r="S36" s="10"/>
      <c r="T36" s="10"/>
      <c r="U36" s="10"/>
      <c r="V36" s="45"/>
      <c r="W36" s="45"/>
      <c r="X36" s="45"/>
      <c r="Y36" s="45"/>
    </row>
    <row r="37" ht="34.5" customHeight="1">
      <c r="A37" s="25" t="s">
        <v>64</v>
      </c>
      <c r="B37" s="42" t="s">
        <v>26</v>
      </c>
      <c r="C37" s="42" t="s">
        <v>65</v>
      </c>
      <c r="D37" s="42" t="s">
        <v>70</v>
      </c>
      <c r="E37" s="42">
        <v>8196.0</v>
      </c>
      <c r="F37" s="43">
        <v>46.17</v>
      </c>
      <c r="G37" s="42">
        <v>36.0</v>
      </c>
      <c r="H37" s="43">
        <v>11.86</v>
      </c>
      <c r="I37" s="43">
        <v>44.94</v>
      </c>
      <c r="J37" s="44">
        <f t="shared" si="1"/>
        <v>4853.09748</v>
      </c>
      <c r="K37" s="44">
        <f t="shared" si="2"/>
        <v>4411.9068</v>
      </c>
      <c r="L37" s="8">
        <f t="shared" si="3"/>
        <v>44.68986264</v>
      </c>
      <c r="M37" s="8">
        <f t="shared" si="4"/>
        <v>13.40695879</v>
      </c>
      <c r="N37" s="8">
        <f t="shared" si="5"/>
        <v>2.681391758</v>
      </c>
      <c r="O37" s="8">
        <f t="shared" si="6"/>
        <v>8.8238136</v>
      </c>
      <c r="P37" s="8">
        <f t="shared" si="7"/>
        <v>13.2357204</v>
      </c>
      <c r="Q37" s="8">
        <f t="shared" si="8"/>
        <v>4.4119068</v>
      </c>
      <c r="R37" s="10"/>
      <c r="S37" s="10"/>
      <c r="T37" s="10"/>
      <c r="U37" s="10"/>
      <c r="V37" s="45"/>
      <c r="W37" s="45"/>
      <c r="X37" s="45"/>
      <c r="Y37" s="45"/>
    </row>
    <row r="38" ht="34.5" customHeight="1">
      <c r="A38" s="25" t="s">
        <v>64</v>
      </c>
      <c r="B38" s="42" t="s">
        <v>26</v>
      </c>
      <c r="C38" s="42" t="s">
        <v>65</v>
      </c>
      <c r="D38" s="42" t="s">
        <v>71</v>
      </c>
      <c r="E38" s="42">
        <v>216.0</v>
      </c>
      <c r="F38" s="43">
        <v>16.15</v>
      </c>
      <c r="G38" s="42">
        <v>4.0</v>
      </c>
      <c r="H38" s="43">
        <v>54.78</v>
      </c>
      <c r="I38" s="43">
        <v>54.78</v>
      </c>
      <c r="J38" s="44">
        <f t="shared" si="1"/>
        <v>199.2276</v>
      </c>
      <c r="K38" s="46">
        <f t="shared" si="2"/>
        <v>181.116</v>
      </c>
      <c r="L38" s="8">
        <f t="shared" si="3"/>
        <v>1.834592055</v>
      </c>
      <c r="M38" s="8">
        <f t="shared" si="4"/>
        <v>0.5503776164</v>
      </c>
      <c r="N38" s="8">
        <f t="shared" si="5"/>
        <v>0.1100755233</v>
      </c>
      <c r="O38" s="8">
        <f t="shared" si="6"/>
        <v>0.362232</v>
      </c>
      <c r="P38" s="8">
        <f t="shared" si="7"/>
        <v>0.543348</v>
      </c>
      <c r="Q38" s="8">
        <f t="shared" si="8"/>
        <v>0.181116</v>
      </c>
      <c r="R38" s="10"/>
      <c r="S38" s="10"/>
      <c r="T38" s="10"/>
      <c r="U38" s="10"/>
      <c r="V38" s="45"/>
      <c r="W38" s="45"/>
      <c r="X38" s="45"/>
      <c r="Y38" s="45"/>
    </row>
    <row r="39" ht="34.5" customHeight="1">
      <c r="A39" s="25" t="s">
        <v>64</v>
      </c>
      <c r="B39" s="47" t="s">
        <v>26</v>
      </c>
      <c r="C39" s="47" t="s">
        <v>65</v>
      </c>
      <c r="D39" s="47" t="s">
        <v>72</v>
      </c>
      <c r="E39" s="42">
        <v>2166.0</v>
      </c>
      <c r="F39" s="43">
        <v>41.2</v>
      </c>
      <c r="G39" s="42">
        <v>13.0</v>
      </c>
      <c r="H39" s="43">
        <v>0.0</v>
      </c>
      <c r="I39" s="43">
        <v>59.74</v>
      </c>
      <c r="J39" s="44">
        <f t="shared" si="1"/>
        <v>1400.9688</v>
      </c>
      <c r="K39" s="44">
        <f t="shared" si="2"/>
        <v>1273.608</v>
      </c>
      <c r="L39" s="8">
        <f t="shared" si="3"/>
        <v>12.90085425</v>
      </c>
      <c r="M39" s="8">
        <f t="shared" si="4"/>
        <v>3.870256274</v>
      </c>
      <c r="N39" s="8">
        <f t="shared" si="5"/>
        <v>0.7740512548</v>
      </c>
      <c r="O39" s="8">
        <f t="shared" si="6"/>
        <v>2.547216</v>
      </c>
      <c r="P39" s="8">
        <f t="shared" si="7"/>
        <v>3.820824</v>
      </c>
      <c r="Q39" s="8">
        <f t="shared" si="8"/>
        <v>1.273608</v>
      </c>
      <c r="R39" s="10"/>
      <c r="S39" s="10"/>
      <c r="T39" s="10"/>
      <c r="U39" s="10"/>
      <c r="V39" s="45"/>
      <c r="W39" s="45"/>
      <c r="X39" s="45"/>
      <c r="Y39" s="45"/>
    </row>
    <row r="40" ht="34.5" customHeight="1">
      <c r="A40" s="25" t="s">
        <v>73</v>
      </c>
      <c r="B40" s="42" t="s">
        <v>74</v>
      </c>
      <c r="C40" s="42" t="s">
        <v>74</v>
      </c>
      <c r="D40" s="42" t="s">
        <v>75</v>
      </c>
      <c r="E40" s="48">
        <v>991.0</v>
      </c>
      <c r="F40" s="49">
        <v>22.45</v>
      </c>
      <c r="G40" s="50">
        <v>5.0</v>
      </c>
      <c r="H40" s="49">
        <v>16.36</v>
      </c>
      <c r="I40" s="49">
        <v>61.19</v>
      </c>
      <c r="J40" s="51">
        <f t="shared" si="1"/>
        <v>845.37255</v>
      </c>
      <c r="K40" s="51">
        <f t="shared" si="2"/>
        <v>768.5205</v>
      </c>
      <c r="L40" s="8">
        <f t="shared" si="3"/>
        <v>7.784633071</v>
      </c>
      <c r="M40" s="8">
        <f t="shared" si="4"/>
        <v>2.335389921</v>
      </c>
      <c r="N40" s="8">
        <f t="shared" si="5"/>
        <v>0.4670779842</v>
      </c>
      <c r="O40" s="8">
        <f t="shared" si="6"/>
        <v>1.537041</v>
      </c>
      <c r="P40" s="8">
        <f t="shared" si="7"/>
        <v>2.3055615</v>
      </c>
      <c r="Q40" s="8">
        <f t="shared" si="8"/>
        <v>0.7685205</v>
      </c>
      <c r="R40" s="10"/>
      <c r="S40" s="10"/>
      <c r="T40" s="10"/>
      <c r="U40" s="10"/>
      <c r="V40" s="45"/>
      <c r="W40" s="45"/>
      <c r="X40" s="45"/>
      <c r="Y40" s="45"/>
    </row>
    <row r="41" ht="34.5" customHeight="1">
      <c r="A41" s="25" t="s">
        <v>73</v>
      </c>
      <c r="B41" s="42" t="s">
        <v>74</v>
      </c>
      <c r="C41" s="42" t="s">
        <v>74</v>
      </c>
      <c r="D41" s="42" t="s">
        <v>76</v>
      </c>
      <c r="E41" s="48">
        <v>1303.0</v>
      </c>
      <c r="F41" s="49">
        <v>41.24</v>
      </c>
      <c r="G41" s="50">
        <v>19.0</v>
      </c>
      <c r="H41" s="49">
        <v>26.4</v>
      </c>
      <c r="I41" s="49">
        <v>45.22</v>
      </c>
      <c r="J41" s="51">
        <f t="shared" si="1"/>
        <v>842.20708</v>
      </c>
      <c r="K41" s="51">
        <f t="shared" si="2"/>
        <v>765.6428</v>
      </c>
      <c r="L41" s="8">
        <f t="shared" si="3"/>
        <v>7.755483766</v>
      </c>
      <c r="M41" s="8">
        <f t="shared" si="4"/>
        <v>2.32664513</v>
      </c>
      <c r="N41" s="8">
        <f t="shared" si="5"/>
        <v>0.4653290259</v>
      </c>
      <c r="O41" s="8">
        <f t="shared" si="6"/>
        <v>1.5312856</v>
      </c>
      <c r="P41" s="8">
        <f t="shared" si="7"/>
        <v>2.2969284</v>
      </c>
      <c r="Q41" s="8">
        <f t="shared" si="8"/>
        <v>0.7656428</v>
      </c>
      <c r="R41" s="10"/>
      <c r="S41" s="10"/>
      <c r="T41" s="10"/>
      <c r="U41" s="10"/>
      <c r="V41" s="45"/>
      <c r="W41" s="45"/>
      <c r="X41" s="45"/>
      <c r="Y41" s="45"/>
    </row>
    <row r="42" ht="34.5" customHeight="1">
      <c r="A42" s="25" t="s">
        <v>73</v>
      </c>
      <c r="B42" s="42" t="s">
        <v>74</v>
      </c>
      <c r="C42" s="42" t="s">
        <v>74</v>
      </c>
      <c r="D42" s="42" t="s">
        <v>77</v>
      </c>
      <c r="E42" s="48">
        <v>3485.0</v>
      </c>
      <c r="F42" s="49">
        <v>39.49</v>
      </c>
      <c r="G42" s="50">
        <v>21.0</v>
      </c>
      <c r="H42" s="49">
        <v>46.29</v>
      </c>
      <c r="I42" s="49">
        <v>65.79</v>
      </c>
      <c r="J42" s="51">
        <f t="shared" si="1"/>
        <v>2319.65085</v>
      </c>
      <c r="K42" s="51">
        <f t="shared" si="2"/>
        <v>2108.7735</v>
      </c>
      <c r="L42" s="8">
        <f t="shared" si="3"/>
        <v>21.36055958</v>
      </c>
      <c r="M42" s="8">
        <f t="shared" si="4"/>
        <v>6.408167873</v>
      </c>
      <c r="N42" s="8">
        <f t="shared" si="5"/>
        <v>1.281633575</v>
      </c>
      <c r="O42" s="8">
        <f t="shared" si="6"/>
        <v>4.217547</v>
      </c>
      <c r="P42" s="8">
        <f t="shared" si="7"/>
        <v>6.3263205</v>
      </c>
      <c r="Q42" s="8">
        <f t="shared" si="8"/>
        <v>2.1087735</v>
      </c>
      <c r="R42" s="10"/>
      <c r="S42" s="10"/>
      <c r="T42" s="10"/>
      <c r="U42" s="10"/>
      <c r="V42" s="45"/>
      <c r="W42" s="45"/>
      <c r="X42" s="45"/>
      <c r="Y42" s="45"/>
    </row>
    <row r="43" ht="34.5" customHeight="1">
      <c r="A43" s="25" t="s">
        <v>73</v>
      </c>
      <c r="B43" s="42" t="s">
        <v>74</v>
      </c>
      <c r="C43" s="42" t="s">
        <v>74</v>
      </c>
      <c r="D43" s="42" t="s">
        <v>78</v>
      </c>
      <c r="E43" s="48">
        <v>1310.0</v>
      </c>
      <c r="F43" s="49">
        <v>14.18</v>
      </c>
      <c r="G43" s="50">
        <v>26.0</v>
      </c>
      <c r="H43" s="49">
        <v>77.93</v>
      </c>
      <c r="I43" s="49">
        <v>77.93</v>
      </c>
      <c r="J43" s="51">
        <f t="shared" si="1"/>
        <v>1236.6662</v>
      </c>
      <c r="K43" s="51">
        <f t="shared" si="2"/>
        <v>1124.242</v>
      </c>
      <c r="L43" s="8">
        <f t="shared" si="3"/>
        <v>11.38786988</v>
      </c>
      <c r="M43" s="8">
        <f t="shared" si="4"/>
        <v>3.416360963</v>
      </c>
      <c r="N43" s="8">
        <f t="shared" si="5"/>
        <v>0.6832721927</v>
      </c>
      <c r="O43" s="8">
        <f t="shared" si="6"/>
        <v>2.248484</v>
      </c>
      <c r="P43" s="8">
        <f t="shared" si="7"/>
        <v>3.372726</v>
      </c>
      <c r="Q43" s="8">
        <f t="shared" si="8"/>
        <v>1.124242</v>
      </c>
      <c r="R43" s="10"/>
      <c r="S43" s="10"/>
      <c r="T43" s="10"/>
      <c r="U43" s="10"/>
      <c r="V43" s="45"/>
      <c r="W43" s="45"/>
      <c r="X43" s="45"/>
      <c r="Y43" s="45"/>
    </row>
    <row r="44" ht="34.5" customHeight="1">
      <c r="A44" s="25" t="s">
        <v>73</v>
      </c>
      <c r="B44" s="42" t="s">
        <v>74</v>
      </c>
      <c r="C44" s="42" t="s">
        <v>74</v>
      </c>
      <c r="D44" s="42" t="s">
        <v>79</v>
      </c>
      <c r="E44" s="48">
        <v>667.0</v>
      </c>
      <c r="F44" s="49">
        <v>13.12</v>
      </c>
      <c r="G44" s="50">
        <v>9.0</v>
      </c>
      <c r="H44" s="49">
        <v>48.68</v>
      </c>
      <c r="I44" s="49">
        <v>48.68</v>
      </c>
      <c r="J44" s="51">
        <f t="shared" si="1"/>
        <v>637.43856</v>
      </c>
      <c r="K44" s="51">
        <f t="shared" si="2"/>
        <v>579.4896</v>
      </c>
      <c r="L44" s="8">
        <f t="shared" si="3"/>
        <v>5.869868018</v>
      </c>
      <c r="M44" s="8">
        <f t="shared" si="4"/>
        <v>1.760960405</v>
      </c>
      <c r="N44" s="8">
        <f t="shared" si="5"/>
        <v>0.3521920811</v>
      </c>
      <c r="O44" s="8">
        <f t="shared" si="6"/>
        <v>1.1589792</v>
      </c>
      <c r="P44" s="8">
        <f t="shared" si="7"/>
        <v>1.7384688</v>
      </c>
      <c r="Q44" s="8">
        <f t="shared" si="8"/>
        <v>0.5794896</v>
      </c>
      <c r="R44" s="10"/>
      <c r="S44" s="10"/>
      <c r="T44" s="10"/>
      <c r="U44" s="10"/>
      <c r="V44" s="45"/>
      <c r="W44" s="45"/>
      <c r="X44" s="45"/>
      <c r="Y44" s="45"/>
    </row>
    <row r="45" ht="34.5" customHeight="1">
      <c r="A45" s="25" t="s">
        <v>73</v>
      </c>
      <c r="B45" s="42" t="s">
        <v>74</v>
      </c>
      <c r="C45" s="42" t="s">
        <v>74</v>
      </c>
      <c r="D45" s="42" t="s">
        <v>80</v>
      </c>
      <c r="E45" s="48">
        <v>915.0</v>
      </c>
      <c r="F45" s="49">
        <v>15.53</v>
      </c>
      <c r="G45" s="50">
        <v>16.0</v>
      </c>
      <c r="H45" s="49">
        <v>70.73</v>
      </c>
      <c r="I45" s="49">
        <v>100.0</v>
      </c>
      <c r="J45" s="51">
        <f t="shared" si="1"/>
        <v>850.19055</v>
      </c>
      <c r="K45" s="51">
        <f t="shared" si="2"/>
        <v>772.9005</v>
      </c>
      <c r="L45" s="8">
        <f t="shared" si="3"/>
        <v>7.828999737</v>
      </c>
      <c r="M45" s="8">
        <f t="shared" si="4"/>
        <v>2.348699921</v>
      </c>
      <c r="N45" s="8">
        <f t="shared" si="5"/>
        <v>0.4697399842</v>
      </c>
      <c r="O45" s="8">
        <f t="shared" si="6"/>
        <v>1.545801</v>
      </c>
      <c r="P45" s="8">
        <f t="shared" si="7"/>
        <v>2.3187015</v>
      </c>
      <c r="Q45" s="8">
        <f t="shared" si="8"/>
        <v>0.7729005</v>
      </c>
      <c r="R45" s="10"/>
      <c r="S45" s="10">
        <v>2.0</v>
      </c>
      <c r="T45" s="10"/>
      <c r="U45" s="10"/>
      <c r="V45" s="11"/>
      <c r="W45" s="11"/>
      <c r="X45" s="11"/>
      <c r="Y45" s="11"/>
    </row>
    <row r="46" ht="34.5" customHeight="1">
      <c r="A46" s="25" t="s">
        <v>73</v>
      </c>
      <c r="B46" s="42" t="s">
        <v>74</v>
      </c>
      <c r="C46" s="42" t="s">
        <v>74</v>
      </c>
      <c r="D46" s="42" t="s">
        <v>81</v>
      </c>
      <c r="E46" s="48">
        <v>4098.0</v>
      </c>
      <c r="F46" s="49">
        <v>32.64</v>
      </c>
      <c r="G46" s="50">
        <v>30.0</v>
      </c>
      <c r="H46" s="49">
        <v>82.78</v>
      </c>
      <c r="I46" s="49">
        <v>86.13</v>
      </c>
      <c r="J46" s="51">
        <f t="shared" si="1"/>
        <v>3036.45408</v>
      </c>
      <c r="K46" s="51">
        <f t="shared" si="2"/>
        <v>2760.4128</v>
      </c>
      <c r="L46" s="8">
        <f t="shared" si="3"/>
        <v>27.96125903</v>
      </c>
      <c r="M46" s="8">
        <f t="shared" si="4"/>
        <v>8.38837771</v>
      </c>
      <c r="N46" s="8">
        <f t="shared" si="5"/>
        <v>1.677675542</v>
      </c>
      <c r="O46" s="8">
        <f t="shared" si="6"/>
        <v>5.5208256</v>
      </c>
      <c r="P46" s="8">
        <f t="shared" si="7"/>
        <v>8.2812384</v>
      </c>
      <c r="Q46" s="8">
        <f t="shared" si="8"/>
        <v>2.7604128</v>
      </c>
      <c r="R46" s="10">
        <v>1.0</v>
      </c>
      <c r="S46" s="10">
        <v>1.0</v>
      </c>
      <c r="T46" s="10"/>
      <c r="U46" s="10"/>
      <c r="V46" s="11"/>
      <c r="W46" s="11"/>
      <c r="X46" s="11"/>
      <c r="Y46" s="11">
        <v>1.0</v>
      </c>
    </row>
    <row r="47" ht="34.5" customHeight="1">
      <c r="A47" s="25" t="s">
        <v>73</v>
      </c>
      <c r="B47" s="42" t="s">
        <v>74</v>
      </c>
      <c r="C47" s="42" t="s">
        <v>74</v>
      </c>
      <c r="D47" s="42" t="s">
        <v>82</v>
      </c>
      <c r="E47" s="48">
        <v>3733.0</v>
      </c>
      <c r="F47" s="49">
        <v>65.73</v>
      </c>
      <c r="G47" s="50">
        <v>31.0</v>
      </c>
      <c r="H47" s="49">
        <v>27.07</v>
      </c>
      <c r="I47" s="49">
        <v>52.34</v>
      </c>
      <c r="J47" s="51">
        <f t="shared" si="1"/>
        <v>1407.22901</v>
      </c>
      <c r="K47" s="51">
        <f t="shared" si="2"/>
        <v>1279.2991</v>
      </c>
      <c r="L47" s="8">
        <f t="shared" si="3"/>
        <v>12.95850154</v>
      </c>
      <c r="M47" s="8">
        <f t="shared" si="4"/>
        <v>3.887550461</v>
      </c>
      <c r="N47" s="8">
        <f t="shared" si="5"/>
        <v>0.7775100923</v>
      </c>
      <c r="O47" s="8">
        <f t="shared" si="6"/>
        <v>2.5585982</v>
      </c>
      <c r="P47" s="8">
        <f t="shared" si="7"/>
        <v>3.8378973</v>
      </c>
      <c r="Q47" s="8">
        <f t="shared" si="8"/>
        <v>1.2792991</v>
      </c>
      <c r="R47" s="10">
        <v>1.0</v>
      </c>
      <c r="S47" s="10"/>
      <c r="T47" s="10">
        <v>1.0</v>
      </c>
      <c r="U47" s="10">
        <v>1.0</v>
      </c>
      <c r="V47" s="11"/>
      <c r="W47" s="11"/>
      <c r="X47" s="11"/>
      <c r="Y47" s="11">
        <v>2.0</v>
      </c>
    </row>
    <row r="48" ht="34.5" customHeight="1">
      <c r="A48" s="25" t="s">
        <v>73</v>
      </c>
      <c r="B48" s="42" t="s">
        <v>74</v>
      </c>
      <c r="C48" s="42" t="s">
        <v>74</v>
      </c>
      <c r="D48" s="42" t="s">
        <v>83</v>
      </c>
      <c r="E48" s="48">
        <v>3661.0</v>
      </c>
      <c r="F48" s="49">
        <v>38.38</v>
      </c>
      <c r="G48" s="50">
        <v>24.0</v>
      </c>
      <c r="H48" s="49">
        <v>27.35</v>
      </c>
      <c r="I48" s="49">
        <v>39.57</v>
      </c>
      <c r="J48" s="51">
        <f t="shared" si="1"/>
        <v>2481.49902</v>
      </c>
      <c r="K48" s="51">
        <f t="shared" si="2"/>
        <v>2255.9082</v>
      </c>
      <c r="L48" s="39">
        <f t="shared" si="3"/>
        <v>22.85094227</v>
      </c>
      <c r="M48" s="39">
        <f t="shared" si="4"/>
        <v>6.855282681</v>
      </c>
      <c r="N48" s="39">
        <f t="shared" si="5"/>
        <v>1.371056536</v>
      </c>
      <c r="O48" s="39">
        <f t="shared" si="6"/>
        <v>4.5118164</v>
      </c>
      <c r="P48" s="39">
        <f t="shared" si="7"/>
        <v>6.7677246</v>
      </c>
      <c r="Q48" s="39">
        <f t="shared" si="8"/>
        <v>2.2559082</v>
      </c>
      <c r="R48" s="40"/>
      <c r="S48" s="40"/>
      <c r="T48" s="40"/>
      <c r="U48" s="40"/>
      <c r="V48" s="41"/>
      <c r="W48" s="41"/>
      <c r="X48" s="41"/>
      <c r="Y48" s="41"/>
    </row>
    <row r="49" ht="34.5" customHeight="1">
      <c r="A49" s="25" t="s">
        <v>73</v>
      </c>
      <c r="B49" s="5" t="s">
        <v>84</v>
      </c>
      <c r="C49" s="5" t="s">
        <v>85</v>
      </c>
      <c r="D49" s="5" t="s">
        <v>86</v>
      </c>
      <c r="E49" s="52">
        <v>78.0</v>
      </c>
      <c r="F49" s="35">
        <v>2.45</v>
      </c>
      <c r="G49" s="34">
        <v>4.0</v>
      </c>
      <c r="H49" s="35">
        <v>100.0</v>
      </c>
      <c r="I49" s="35">
        <v>100.0</v>
      </c>
      <c r="J49" s="36">
        <f t="shared" si="1"/>
        <v>83.6979</v>
      </c>
      <c r="K49" s="36">
        <f t="shared" si="2"/>
        <v>76.089</v>
      </c>
      <c r="L49" s="8">
        <f t="shared" si="3"/>
        <v>0.7707340868</v>
      </c>
      <c r="M49" s="8">
        <f t="shared" si="4"/>
        <v>0.231220226</v>
      </c>
      <c r="N49" s="8">
        <f t="shared" si="5"/>
        <v>0.04624404521</v>
      </c>
      <c r="O49" s="8">
        <f t="shared" si="6"/>
        <v>0.152178</v>
      </c>
      <c r="P49" s="8">
        <f t="shared" si="7"/>
        <v>0.228267</v>
      </c>
      <c r="Q49" s="8">
        <f t="shared" si="8"/>
        <v>0.076089</v>
      </c>
      <c r="R49" s="40"/>
      <c r="S49" s="40"/>
      <c r="T49" s="40"/>
      <c r="U49" s="40"/>
      <c r="V49" s="40">
        <v>10.0</v>
      </c>
      <c r="W49" s="40"/>
      <c r="X49" s="40"/>
      <c r="Y49" s="40"/>
      <c r="Z49" s="17"/>
    </row>
    <row r="50" ht="34.5" customHeight="1">
      <c r="A50" s="25" t="s">
        <v>73</v>
      </c>
      <c r="B50" s="5" t="s">
        <v>84</v>
      </c>
      <c r="C50" s="5" t="s">
        <v>85</v>
      </c>
      <c r="D50" s="5" t="s">
        <v>87</v>
      </c>
      <c r="E50" s="52">
        <v>411.0</v>
      </c>
      <c r="F50" s="35">
        <v>17.23</v>
      </c>
      <c r="G50" s="34">
        <v>8.0</v>
      </c>
      <c r="H50" s="35">
        <v>96.68</v>
      </c>
      <c r="I50" s="35">
        <v>100.0</v>
      </c>
      <c r="J50" s="36">
        <f t="shared" si="1"/>
        <v>374.20317</v>
      </c>
      <c r="K50" s="36">
        <f t="shared" si="2"/>
        <v>340.1847</v>
      </c>
      <c r="L50" s="8">
        <f t="shared" si="3"/>
        <v>3.445858719</v>
      </c>
      <c r="M50" s="8">
        <f t="shared" si="4"/>
        <v>1.033757616</v>
      </c>
      <c r="N50" s="8">
        <f t="shared" si="5"/>
        <v>0.2067515232</v>
      </c>
      <c r="O50" s="8">
        <f t="shared" si="6"/>
        <v>0.6803694</v>
      </c>
      <c r="P50" s="8">
        <f t="shared" si="7"/>
        <v>1.0205541</v>
      </c>
      <c r="Q50" s="8">
        <f t="shared" si="8"/>
        <v>0.3401847</v>
      </c>
      <c r="R50" s="40"/>
      <c r="S50" s="40"/>
      <c r="T50" s="40"/>
      <c r="U50" s="40"/>
      <c r="V50" s="40"/>
      <c r="W50" s="40"/>
      <c r="X50" s="40"/>
      <c r="Y50" s="40"/>
      <c r="Z50" s="17"/>
    </row>
    <row r="51" ht="34.5" customHeight="1">
      <c r="A51" s="25" t="s">
        <v>73</v>
      </c>
      <c r="B51" s="5" t="s">
        <v>84</v>
      </c>
      <c r="C51" s="5" t="s">
        <v>85</v>
      </c>
      <c r="D51" s="5" t="s">
        <v>88</v>
      </c>
      <c r="E51" s="52">
        <v>158.0</v>
      </c>
      <c r="F51" s="35">
        <v>5.94</v>
      </c>
      <c r="G51" s="34">
        <v>5.0</v>
      </c>
      <c r="H51" s="35">
        <v>100.0</v>
      </c>
      <c r="I51" s="35">
        <v>100.0</v>
      </c>
      <c r="J51" s="36">
        <f t="shared" si="1"/>
        <v>163.47628</v>
      </c>
      <c r="K51" s="36">
        <f t="shared" si="2"/>
        <v>148.6148</v>
      </c>
      <c r="L51" s="8">
        <f t="shared" si="3"/>
        <v>1.505375181</v>
      </c>
      <c r="M51" s="8">
        <f t="shared" si="4"/>
        <v>0.4516125543</v>
      </c>
      <c r="N51" s="8">
        <f t="shared" si="5"/>
        <v>0.09032251087</v>
      </c>
      <c r="O51" s="8">
        <f t="shared" si="6"/>
        <v>0.2972296</v>
      </c>
      <c r="P51" s="8">
        <f t="shared" si="7"/>
        <v>0.4458444</v>
      </c>
      <c r="Q51" s="8">
        <f t="shared" si="8"/>
        <v>0.1486148</v>
      </c>
      <c r="R51" s="40"/>
      <c r="S51" s="40"/>
      <c r="T51" s="40"/>
      <c r="U51" s="40"/>
      <c r="V51" s="40"/>
      <c r="W51" s="40"/>
      <c r="X51" s="40"/>
      <c r="Y51" s="40"/>
      <c r="Z51" s="17"/>
    </row>
    <row r="52" ht="34.5" customHeight="1">
      <c r="A52" s="25" t="s">
        <v>73</v>
      </c>
      <c r="B52" s="5" t="s">
        <v>84</v>
      </c>
      <c r="C52" s="5" t="s">
        <v>85</v>
      </c>
      <c r="D52" s="5" t="s">
        <v>89</v>
      </c>
      <c r="E52" s="52">
        <v>165.0</v>
      </c>
      <c r="F52" s="35">
        <v>4.83</v>
      </c>
      <c r="G52" s="34">
        <v>9.0</v>
      </c>
      <c r="H52" s="35">
        <v>66.8</v>
      </c>
      <c r="I52" s="35">
        <v>86.16</v>
      </c>
      <c r="J52" s="36">
        <f t="shared" si="1"/>
        <v>172.73355</v>
      </c>
      <c r="K52" s="36">
        <f t="shared" si="2"/>
        <v>157.0305</v>
      </c>
      <c r="L52" s="8">
        <f t="shared" si="3"/>
        <v>1.59062097</v>
      </c>
      <c r="M52" s="8">
        <f t="shared" si="4"/>
        <v>0.4771862911</v>
      </c>
      <c r="N52" s="8">
        <f t="shared" si="5"/>
        <v>0.09543725822</v>
      </c>
      <c r="O52" s="8">
        <f t="shared" si="6"/>
        <v>0.314061</v>
      </c>
      <c r="P52" s="8">
        <f t="shared" si="7"/>
        <v>0.4710915</v>
      </c>
      <c r="Q52" s="8">
        <f t="shared" si="8"/>
        <v>0.1570305</v>
      </c>
      <c r="R52" s="40"/>
      <c r="S52" s="40"/>
      <c r="T52" s="40"/>
      <c r="U52" s="40"/>
      <c r="V52" s="40"/>
      <c r="W52" s="40"/>
      <c r="X52" s="40"/>
      <c r="Y52" s="40"/>
      <c r="Z52" s="17"/>
    </row>
    <row r="53" ht="34.5" customHeight="1">
      <c r="A53" s="25" t="s">
        <v>73</v>
      </c>
      <c r="B53" s="5" t="s">
        <v>84</v>
      </c>
      <c r="C53" s="5" t="s">
        <v>85</v>
      </c>
      <c r="D53" s="5" t="s">
        <v>90</v>
      </c>
      <c r="E53" s="52">
        <v>285.0</v>
      </c>
      <c r="F53" s="35">
        <v>4.56</v>
      </c>
      <c r="G53" s="34">
        <v>9.0</v>
      </c>
      <c r="H53" s="35">
        <v>78.26</v>
      </c>
      <c r="I53" s="35">
        <v>78.26</v>
      </c>
      <c r="J53" s="36">
        <f t="shared" si="1"/>
        <v>299.2044</v>
      </c>
      <c r="K53" s="36">
        <f t="shared" si="2"/>
        <v>272.004</v>
      </c>
      <c r="L53" s="8">
        <f t="shared" si="3"/>
        <v>2.755230776</v>
      </c>
      <c r="M53" s="8">
        <f t="shared" si="4"/>
        <v>0.8265692329</v>
      </c>
      <c r="N53" s="8">
        <f t="shared" si="5"/>
        <v>0.1653138466</v>
      </c>
      <c r="O53" s="8">
        <f t="shared" si="6"/>
        <v>0.544008</v>
      </c>
      <c r="P53" s="8">
        <f t="shared" si="7"/>
        <v>0.816012</v>
      </c>
      <c r="Q53" s="8">
        <f t="shared" si="8"/>
        <v>0.272004</v>
      </c>
      <c r="R53" s="40"/>
      <c r="S53" s="40"/>
      <c r="T53" s="40"/>
      <c r="U53" s="40"/>
      <c r="V53" s="40"/>
      <c r="W53" s="40"/>
      <c r="X53" s="40"/>
      <c r="Y53" s="40"/>
      <c r="Z53" s="17"/>
    </row>
    <row r="54" ht="34.5" customHeight="1">
      <c r="A54" s="25" t="s">
        <v>73</v>
      </c>
      <c r="B54" s="5" t="s">
        <v>84</v>
      </c>
      <c r="C54" s="5" t="s">
        <v>85</v>
      </c>
      <c r="D54" s="5" t="s">
        <v>91</v>
      </c>
      <c r="E54" s="52">
        <v>140.0</v>
      </c>
      <c r="F54" s="35">
        <v>3.74</v>
      </c>
      <c r="G54" s="34">
        <v>7.0</v>
      </c>
      <c r="H54" s="35">
        <v>100.0</v>
      </c>
      <c r="I54" s="35">
        <v>100.0</v>
      </c>
      <c r="J54" s="36">
        <f t="shared" si="1"/>
        <v>148.2404</v>
      </c>
      <c r="K54" s="36">
        <f t="shared" si="2"/>
        <v>134.764</v>
      </c>
      <c r="L54" s="8">
        <f t="shared" si="3"/>
        <v>1.365075221</v>
      </c>
      <c r="M54" s="8">
        <f t="shared" si="4"/>
        <v>0.4095225662</v>
      </c>
      <c r="N54" s="8">
        <f t="shared" si="5"/>
        <v>0.08190451324</v>
      </c>
      <c r="O54" s="8">
        <f t="shared" si="6"/>
        <v>0.269528</v>
      </c>
      <c r="P54" s="8">
        <f t="shared" si="7"/>
        <v>0.404292</v>
      </c>
      <c r="Q54" s="8">
        <f t="shared" si="8"/>
        <v>0.134764</v>
      </c>
      <c r="R54" s="40"/>
      <c r="S54" s="40"/>
      <c r="T54" s="40"/>
      <c r="U54" s="40"/>
      <c r="V54" s="40"/>
      <c r="W54" s="40"/>
      <c r="X54" s="40"/>
      <c r="Y54" s="40"/>
      <c r="Z54" s="17"/>
    </row>
    <row r="55" ht="34.5" customHeight="1">
      <c r="A55" s="25" t="s">
        <v>73</v>
      </c>
      <c r="B55" s="5" t="s">
        <v>84</v>
      </c>
      <c r="C55" s="5" t="s">
        <v>85</v>
      </c>
      <c r="D55" s="5" t="s">
        <v>92</v>
      </c>
      <c r="E55" s="52">
        <v>48.0</v>
      </c>
      <c r="F55" s="35">
        <v>1.56</v>
      </c>
      <c r="G55" s="34">
        <v>2.0</v>
      </c>
      <c r="H55" s="35">
        <v>100.0</v>
      </c>
      <c r="I55" s="35">
        <v>100.0</v>
      </c>
      <c r="J55" s="36">
        <f t="shared" si="1"/>
        <v>51.97632</v>
      </c>
      <c r="K55" s="36">
        <f t="shared" si="2"/>
        <v>47.2512</v>
      </c>
      <c r="L55" s="8">
        <f t="shared" si="3"/>
        <v>0.4786251689</v>
      </c>
      <c r="M55" s="8">
        <f t="shared" si="4"/>
        <v>0.1435875507</v>
      </c>
      <c r="N55" s="8">
        <f t="shared" si="5"/>
        <v>0.02871751014</v>
      </c>
      <c r="O55" s="8">
        <f t="shared" si="6"/>
        <v>0.0945024</v>
      </c>
      <c r="P55" s="8">
        <f t="shared" si="7"/>
        <v>0.1417536</v>
      </c>
      <c r="Q55" s="8">
        <f t="shared" si="8"/>
        <v>0.0472512</v>
      </c>
      <c r="R55" s="40"/>
      <c r="S55" s="40"/>
      <c r="T55" s="40"/>
      <c r="U55" s="40"/>
      <c r="V55" s="40"/>
      <c r="W55" s="40"/>
      <c r="X55" s="40"/>
      <c r="Y55" s="40"/>
      <c r="Z55" s="17"/>
    </row>
    <row r="56" ht="34.5" customHeight="1">
      <c r="A56" s="25" t="s">
        <v>73</v>
      </c>
      <c r="B56" s="5" t="s">
        <v>84</v>
      </c>
      <c r="C56" s="5" t="s">
        <v>85</v>
      </c>
      <c r="D56" s="5" t="s">
        <v>93</v>
      </c>
      <c r="E56" s="52">
        <v>151.0</v>
      </c>
      <c r="F56" s="35">
        <v>5.9</v>
      </c>
      <c r="G56" s="34">
        <v>5.0</v>
      </c>
      <c r="H56" s="35">
        <v>79.15</v>
      </c>
      <c r="I56" s="35">
        <v>100.0</v>
      </c>
      <c r="J56" s="36">
        <f t="shared" si="1"/>
        <v>156.3001</v>
      </c>
      <c r="K56" s="36">
        <f t="shared" si="2"/>
        <v>142.091</v>
      </c>
      <c r="L56" s="8">
        <f t="shared" si="3"/>
        <v>1.439293158</v>
      </c>
      <c r="M56" s="8">
        <f t="shared" si="4"/>
        <v>0.4317879475</v>
      </c>
      <c r="N56" s="8">
        <f t="shared" si="5"/>
        <v>0.0863575895</v>
      </c>
      <c r="O56" s="8">
        <f t="shared" si="6"/>
        <v>0.284182</v>
      </c>
      <c r="P56" s="8">
        <f t="shared" si="7"/>
        <v>0.426273</v>
      </c>
      <c r="Q56" s="8">
        <f t="shared" si="8"/>
        <v>0.142091</v>
      </c>
      <c r="R56" s="40"/>
      <c r="S56" s="40"/>
      <c r="T56" s="40"/>
      <c r="U56" s="40"/>
      <c r="V56" s="40"/>
      <c r="W56" s="40"/>
      <c r="X56" s="40"/>
      <c r="Y56" s="40"/>
      <c r="Z56" s="17"/>
    </row>
    <row r="57" ht="34.5" customHeight="1">
      <c r="A57" s="25" t="s">
        <v>73</v>
      </c>
      <c r="B57" s="5" t="s">
        <v>84</v>
      </c>
      <c r="C57" s="5" t="s">
        <v>85</v>
      </c>
      <c r="D57" s="5" t="s">
        <v>94</v>
      </c>
      <c r="E57" s="52">
        <v>193.0</v>
      </c>
      <c r="F57" s="35">
        <v>9.26</v>
      </c>
      <c r="G57" s="34">
        <v>7.0</v>
      </c>
      <c r="H57" s="35">
        <v>96.55</v>
      </c>
      <c r="I57" s="35">
        <v>100.0</v>
      </c>
      <c r="J57" s="36">
        <f t="shared" si="1"/>
        <v>192.64102</v>
      </c>
      <c r="K57" s="36">
        <f t="shared" si="2"/>
        <v>175.1282</v>
      </c>
      <c r="L57" s="8">
        <f t="shared" si="3"/>
        <v>1.773939377</v>
      </c>
      <c r="M57" s="8">
        <f t="shared" si="4"/>
        <v>0.5321818132</v>
      </c>
      <c r="N57" s="8">
        <f t="shared" si="5"/>
        <v>0.1064363626</v>
      </c>
      <c r="O57" s="8">
        <f t="shared" si="6"/>
        <v>0.3502564</v>
      </c>
      <c r="P57" s="8">
        <f t="shared" si="7"/>
        <v>0.5253846</v>
      </c>
      <c r="Q57" s="8">
        <f t="shared" si="8"/>
        <v>0.1751282</v>
      </c>
      <c r="R57" s="40"/>
      <c r="S57" s="40"/>
      <c r="T57" s="40"/>
      <c r="U57" s="40"/>
      <c r="V57" s="40"/>
      <c r="W57" s="40"/>
      <c r="X57" s="40"/>
      <c r="Y57" s="40"/>
      <c r="Z57" s="17"/>
    </row>
    <row r="58" ht="34.5" customHeight="1">
      <c r="A58" s="25" t="s">
        <v>73</v>
      </c>
      <c r="B58" s="5" t="s">
        <v>84</v>
      </c>
      <c r="C58" s="5" t="s">
        <v>85</v>
      </c>
      <c r="D58" s="5" t="s">
        <v>95</v>
      </c>
      <c r="E58" s="52">
        <v>208.0</v>
      </c>
      <c r="F58" s="35">
        <v>7.25</v>
      </c>
      <c r="G58" s="34">
        <v>6.0</v>
      </c>
      <c r="H58" s="35">
        <v>100.0</v>
      </c>
      <c r="I58" s="35">
        <v>100.0</v>
      </c>
      <c r="J58" s="36">
        <f t="shared" si="1"/>
        <v>212.212</v>
      </c>
      <c r="K58" s="36">
        <f t="shared" si="2"/>
        <v>192.92</v>
      </c>
      <c r="L58" s="8">
        <f t="shared" si="3"/>
        <v>1.954159209</v>
      </c>
      <c r="M58" s="8">
        <f t="shared" si="4"/>
        <v>0.5862477626</v>
      </c>
      <c r="N58" s="8">
        <f t="shared" si="5"/>
        <v>0.1172495525</v>
      </c>
      <c r="O58" s="8">
        <f t="shared" si="6"/>
        <v>0.38584</v>
      </c>
      <c r="P58" s="8">
        <f t="shared" si="7"/>
        <v>0.57876</v>
      </c>
      <c r="Q58" s="8">
        <f t="shared" si="8"/>
        <v>0.19292</v>
      </c>
      <c r="R58" s="40"/>
      <c r="S58" s="40"/>
      <c r="T58" s="40"/>
      <c r="U58" s="40"/>
      <c r="V58" s="40"/>
      <c r="W58" s="40"/>
      <c r="X58" s="40"/>
      <c r="Y58" s="40"/>
      <c r="Z58" s="17"/>
    </row>
    <row r="59" ht="34.5" customHeight="1">
      <c r="A59" s="25" t="s">
        <v>73</v>
      </c>
      <c r="B59" s="5" t="s">
        <v>84</v>
      </c>
      <c r="C59" s="5" t="s">
        <v>85</v>
      </c>
      <c r="D59" s="5" t="s">
        <v>96</v>
      </c>
      <c r="E59" s="52">
        <v>233.0</v>
      </c>
      <c r="F59" s="35">
        <v>5.15</v>
      </c>
      <c r="G59" s="34">
        <v>8.0</v>
      </c>
      <c r="H59" s="35">
        <v>100.0</v>
      </c>
      <c r="I59" s="35">
        <v>100.0</v>
      </c>
      <c r="J59" s="36">
        <f t="shared" si="1"/>
        <v>243.10055</v>
      </c>
      <c r="K59" s="36">
        <f t="shared" si="2"/>
        <v>221.0005</v>
      </c>
      <c r="L59" s="8">
        <f t="shared" si="3"/>
        <v>2.23859715</v>
      </c>
      <c r="M59" s="8">
        <f t="shared" si="4"/>
        <v>0.671579145</v>
      </c>
      <c r="N59" s="8">
        <f t="shared" si="5"/>
        <v>0.134315829</v>
      </c>
      <c r="O59" s="8">
        <f t="shared" si="6"/>
        <v>0.442001</v>
      </c>
      <c r="P59" s="8">
        <f t="shared" si="7"/>
        <v>0.6630015</v>
      </c>
      <c r="Q59" s="8">
        <f t="shared" si="8"/>
        <v>0.2210005</v>
      </c>
      <c r="R59" s="40"/>
      <c r="S59" s="40"/>
      <c r="T59" s="40"/>
      <c r="U59" s="40"/>
      <c r="V59" s="40"/>
      <c r="W59" s="40"/>
      <c r="X59" s="40"/>
      <c r="Y59" s="40"/>
      <c r="Z59" s="17"/>
    </row>
    <row r="60" ht="34.5" customHeight="1">
      <c r="A60" s="25" t="s">
        <v>73</v>
      </c>
      <c r="B60" s="5" t="s">
        <v>84</v>
      </c>
      <c r="C60" s="5" t="s">
        <v>85</v>
      </c>
      <c r="D60" s="5" t="s">
        <v>97</v>
      </c>
      <c r="E60" s="52">
        <v>265.0</v>
      </c>
      <c r="F60" s="35">
        <v>6.71</v>
      </c>
      <c r="G60" s="34">
        <v>8.0</v>
      </c>
      <c r="H60" s="35">
        <v>87.8</v>
      </c>
      <c r="I60" s="35">
        <v>100.0</v>
      </c>
      <c r="J60" s="36">
        <f t="shared" si="1"/>
        <v>271.94035</v>
      </c>
      <c r="K60" s="36">
        <f t="shared" si="2"/>
        <v>247.2185</v>
      </c>
      <c r="L60" s="8">
        <f t="shared" si="3"/>
        <v>2.504169129</v>
      </c>
      <c r="M60" s="8">
        <f t="shared" si="4"/>
        <v>0.7512507386</v>
      </c>
      <c r="N60" s="8">
        <f t="shared" si="5"/>
        <v>0.1502501477</v>
      </c>
      <c r="O60" s="8">
        <f t="shared" si="6"/>
        <v>0.494437</v>
      </c>
      <c r="P60" s="8">
        <f t="shared" si="7"/>
        <v>0.7416555</v>
      </c>
      <c r="Q60" s="8">
        <f t="shared" si="8"/>
        <v>0.2472185</v>
      </c>
      <c r="R60" s="40"/>
      <c r="S60" s="40"/>
      <c r="T60" s="40"/>
      <c r="U60" s="40"/>
      <c r="V60" s="40"/>
      <c r="W60" s="40"/>
      <c r="X60" s="40"/>
      <c r="Y60" s="40"/>
      <c r="Z60" s="17"/>
    </row>
    <row r="61" ht="34.5" customHeight="1">
      <c r="A61" s="25" t="s">
        <v>73</v>
      </c>
      <c r="B61" s="5" t="s">
        <v>84</v>
      </c>
      <c r="C61" s="5" t="s">
        <v>85</v>
      </c>
      <c r="D61" s="5" t="s">
        <v>98</v>
      </c>
      <c r="E61" s="52">
        <v>99.0</v>
      </c>
      <c r="F61" s="35">
        <v>3.77</v>
      </c>
      <c r="G61" s="34">
        <v>7.0</v>
      </c>
      <c r="H61" s="35">
        <v>100.0</v>
      </c>
      <c r="I61" s="35">
        <v>100.0</v>
      </c>
      <c r="J61" s="36">
        <f t="shared" si="1"/>
        <v>104.79447</v>
      </c>
      <c r="K61" s="36">
        <f t="shared" si="2"/>
        <v>95.2677</v>
      </c>
      <c r="L61" s="8">
        <f t="shared" si="3"/>
        <v>0.9650023493</v>
      </c>
      <c r="M61" s="8">
        <f t="shared" si="4"/>
        <v>0.2895007048</v>
      </c>
      <c r="N61" s="8">
        <f t="shared" si="5"/>
        <v>0.05790014096</v>
      </c>
      <c r="O61" s="8">
        <f t="shared" si="6"/>
        <v>0.1905354</v>
      </c>
      <c r="P61" s="8">
        <f t="shared" si="7"/>
        <v>0.2858031</v>
      </c>
      <c r="Q61" s="8">
        <f t="shared" si="8"/>
        <v>0.0952677</v>
      </c>
      <c r="R61" s="40"/>
      <c r="S61" s="40"/>
      <c r="T61" s="40"/>
      <c r="U61" s="40"/>
      <c r="V61" s="40"/>
      <c r="W61" s="40"/>
      <c r="X61" s="40"/>
      <c r="Y61" s="40"/>
      <c r="Z61" s="17"/>
    </row>
    <row r="62" ht="34.5" customHeight="1">
      <c r="A62" s="25" t="s">
        <v>73</v>
      </c>
      <c r="B62" s="5" t="s">
        <v>84</v>
      </c>
      <c r="C62" s="5" t="s">
        <v>85</v>
      </c>
      <c r="D62" s="5" t="s">
        <v>84</v>
      </c>
      <c r="E62" s="52">
        <v>732.0</v>
      </c>
      <c r="F62" s="35">
        <v>16.93</v>
      </c>
      <c r="G62" s="34">
        <v>18.0</v>
      </c>
      <c r="H62" s="35">
        <v>100.0</v>
      </c>
      <c r="I62" s="35">
        <v>100.0</v>
      </c>
      <c r="J62" s="36">
        <f t="shared" si="1"/>
        <v>668.87964</v>
      </c>
      <c r="K62" s="36">
        <f t="shared" si="2"/>
        <v>608.0724</v>
      </c>
      <c r="L62" s="8">
        <f t="shared" si="3"/>
        <v>6.159393945</v>
      </c>
      <c r="M62" s="8">
        <f t="shared" si="4"/>
        <v>1.847818184</v>
      </c>
      <c r="N62" s="8">
        <f t="shared" si="5"/>
        <v>0.3695636367</v>
      </c>
      <c r="O62" s="8">
        <f t="shared" si="6"/>
        <v>1.2161448</v>
      </c>
      <c r="P62" s="8">
        <f t="shared" si="7"/>
        <v>1.8242172</v>
      </c>
      <c r="Q62" s="8">
        <f t="shared" si="8"/>
        <v>0.6080724</v>
      </c>
      <c r="R62" s="40"/>
      <c r="S62" s="40"/>
      <c r="T62" s="40"/>
      <c r="U62" s="40"/>
      <c r="V62" s="40"/>
      <c r="W62" s="40"/>
      <c r="X62" s="40"/>
      <c r="Y62" s="40"/>
      <c r="Z62" s="17"/>
    </row>
    <row r="63" ht="34.5" customHeight="1">
      <c r="A63" s="25" t="s">
        <v>73</v>
      </c>
      <c r="B63" s="5" t="s">
        <v>84</v>
      </c>
      <c r="C63" s="5" t="s">
        <v>85</v>
      </c>
      <c r="D63" s="5" t="s">
        <v>99</v>
      </c>
      <c r="E63" s="52">
        <v>174.0</v>
      </c>
      <c r="F63" s="35">
        <v>5.5</v>
      </c>
      <c r="G63" s="34">
        <v>4.0</v>
      </c>
      <c r="H63" s="35">
        <v>100.0</v>
      </c>
      <c r="I63" s="35">
        <v>100.0</v>
      </c>
      <c r="J63" s="36">
        <f t="shared" si="1"/>
        <v>180.873</v>
      </c>
      <c r="K63" s="36">
        <f t="shared" si="2"/>
        <v>164.43</v>
      </c>
      <c r="L63" s="8">
        <f t="shared" si="3"/>
        <v>1.665573288</v>
      </c>
      <c r="M63" s="8">
        <f t="shared" si="4"/>
        <v>0.4996719863</v>
      </c>
      <c r="N63" s="8">
        <f t="shared" si="5"/>
        <v>0.09993439726</v>
      </c>
      <c r="O63" s="8">
        <f t="shared" si="6"/>
        <v>0.32886</v>
      </c>
      <c r="P63" s="8">
        <f t="shared" si="7"/>
        <v>0.49329</v>
      </c>
      <c r="Q63" s="8">
        <f t="shared" si="8"/>
        <v>0.16443</v>
      </c>
      <c r="R63" s="40"/>
      <c r="S63" s="40"/>
      <c r="T63" s="40"/>
      <c r="U63" s="40"/>
      <c r="V63" s="40"/>
      <c r="W63" s="40"/>
      <c r="X63" s="40"/>
      <c r="Y63" s="40"/>
      <c r="Z63" s="17"/>
    </row>
    <row r="64" ht="34.5" customHeight="1">
      <c r="A64" s="24" t="s">
        <v>100</v>
      </c>
      <c r="B64" s="52" t="s">
        <v>101</v>
      </c>
      <c r="C64" s="34" t="s">
        <v>102</v>
      </c>
      <c r="D64" s="34" t="s">
        <v>103</v>
      </c>
      <c r="E64" s="34">
        <v>66.0</v>
      </c>
      <c r="F64" s="35">
        <v>12.19</v>
      </c>
      <c r="G64" s="34">
        <v>2.0</v>
      </c>
      <c r="H64" s="35">
        <v>0.0</v>
      </c>
      <c r="I64" s="35">
        <v>0.0</v>
      </c>
      <c r="J64" s="36">
        <f t="shared" si="1"/>
        <v>63.75006</v>
      </c>
      <c r="K64" s="36">
        <f t="shared" si="2"/>
        <v>57.9546</v>
      </c>
      <c r="L64" s="8">
        <f t="shared" si="3"/>
        <v>0.5870439315</v>
      </c>
      <c r="M64" s="8">
        <f t="shared" si="4"/>
        <v>0.1761131795</v>
      </c>
      <c r="N64" s="8">
        <f t="shared" si="5"/>
        <v>0.03522263589</v>
      </c>
      <c r="O64" s="8">
        <f t="shared" si="6"/>
        <v>0.1159092</v>
      </c>
      <c r="P64" s="8">
        <f t="shared" si="7"/>
        <v>0.1738638</v>
      </c>
      <c r="Q64" s="8">
        <f t="shared" si="8"/>
        <v>0.0579546</v>
      </c>
      <c r="R64" s="53"/>
      <c r="S64" s="53"/>
      <c r="T64" s="53"/>
      <c r="U64" s="53"/>
      <c r="V64" s="53"/>
      <c r="W64" s="53"/>
      <c r="X64" s="53"/>
      <c r="Y64" s="53"/>
      <c r="Z64" s="17"/>
    </row>
    <row r="65" ht="34.5" customHeight="1">
      <c r="A65" s="24" t="s">
        <v>100</v>
      </c>
      <c r="B65" s="34" t="s">
        <v>101</v>
      </c>
      <c r="C65" s="34" t="s">
        <v>102</v>
      </c>
      <c r="D65" s="34" t="s">
        <v>104</v>
      </c>
      <c r="E65" s="34">
        <v>319.0</v>
      </c>
      <c r="F65" s="35">
        <v>13.29</v>
      </c>
      <c r="G65" s="34">
        <v>6.0</v>
      </c>
      <c r="H65" s="35">
        <v>27.35</v>
      </c>
      <c r="I65" s="35">
        <v>27.35</v>
      </c>
      <c r="J65" s="36">
        <f t="shared" si="1"/>
        <v>304.26539</v>
      </c>
      <c r="K65" s="36">
        <f t="shared" si="2"/>
        <v>276.6049</v>
      </c>
      <c r="L65" s="8">
        <f t="shared" si="3"/>
        <v>2.801835022</v>
      </c>
      <c r="M65" s="8">
        <f t="shared" si="4"/>
        <v>0.8405505066</v>
      </c>
      <c r="N65" s="8">
        <f t="shared" si="5"/>
        <v>0.1681101013</v>
      </c>
      <c r="O65" s="8">
        <f t="shared" si="6"/>
        <v>0.5532098</v>
      </c>
      <c r="P65" s="8">
        <f t="shared" si="7"/>
        <v>0.8298147</v>
      </c>
      <c r="Q65" s="8">
        <f t="shared" si="8"/>
        <v>0.2766049</v>
      </c>
      <c r="R65" s="53"/>
      <c r="S65" s="53"/>
      <c r="T65" s="53"/>
      <c r="U65" s="53"/>
      <c r="V65" s="53"/>
      <c r="W65" s="53"/>
      <c r="X65" s="53"/>
      <c r="Y65" s="53"/>
      <c r="Z65" s="17"/>
    </row>
    <row r="66" ht="34.5" customHeight="1">
      <c r="A66" s="24" t="s">
        <v>100</v>
      </c>
      <c r="B66" s="34" t="s">
        <v>101</v>
      </c>
      <c r="C66" s="34" t="s">
        <v>102</v>
      </c>
      <c r="D66" s="34" t="s">
        <v>105</v>
      </c>
      <c r="E66" s="34">
        <v>69.0</v>
      </c>
      <c r="F66" s="35">
        <v>5.08</v>
      </c>
      <c r="G66" s="34">
        <v>2.0</v>
      </c>
      <c r="H66" s="35">
        <v>100.0</v>
      </c>
      <c r="I66" s="35">
        <v>100.0</v>
      </c>
      <c r="J66" s="36">
        <f t="shared" si="1"/>
        <v>72.04428</v>
      </c>
      <c r="K66" s="36">
        <f t="shared" si="2"/>
        <v>65.4948</v>
      </c>
      <c r="L66" s="8">
        <f t="shared" si="3"/>
        <v>0.6634214521</v>
      </c>
      <c r="M66" s="8">
        <f t="shared" si="4"/>
        <v>0.1990264356</v>
      </c>
      <c r="N66" s="8">
        <f t="shared" si="5"/>
        <v>0.03980528712</v>
      </c>
      <c r="O66" s="8">
        <f t="shared" si="6"/>
        <v>0.1309896</v>
      </c>
      <c r="P66" s="8">
        <f t="shared" si="7"/>
        <v>0.1964844</v>
      </c>
      <c r="Q66" s="8">
        <f t="shared" si="8"/>
        <v>0.0654948</v>
      </c>
      <c r="R66" s="53"/>
      <c r="S66" s="53"/>
      <c r="T66" s="53"/>
      <c r="U66" s="53"/>
      <c r="V66" s="53"/>
      <c r="W66" s="53"/>
      <c r="X66" s="53"/>
      <c r="Y66" s="53"/>
      <c r="Z66" s="17"/>
    </row>
    <row r="67" ht="34.5" customHeight="1">
      <c r="A67" s="24" t="s">
        <v>100</v>
      </c>
      <c r="B67" s="34" t="s">
        <v>101</v>
      </c>
      <c r="C67" s="34" t="s">
        <v>102</v>
      </c>
      <c r="D67" s="34" t="s">
        <v>106</v>
      </c>
      <c r="E67" s="34">
        <v>588.0</v>
      </c>
      <c r="F67" s="35">
        <v>6.61</v>
      </c>
      <c r="G67" s="34">
        <v>10.0</v>
      </c>
      <c r="H67" s="35">
        <v>100.0</v>
      </c>
      <c r="I67" s="35">
        <v>100.0</v>
      </c>
      <c r="J67" s="36">
        <f t="shared" si="1"/>
        <v>604.04652</v>
      </c>
      <c r="K67" s="36">
        <f t="shared" si="2"/>
        <v>549.1332</v>
      </c>
      <c r="L67" s="8">
        <f t="shared" si="3"/>
        <v>5.56237663</v>
      </c>
      <c r="M67" s="8">
        <f t="shared" si="4"/>
        <v>1.668712989</v>
      </c>
      <c r="N67" s="8">
        <f t="shared" si="5"/>
        <v>0.3337425978</v>
      </c>
      <c r="O67" s="8">
        <f t="shared" si="6"/>
        <v>1.0982664</v>
      </c>
      <c r="P67" s="8">
        <f t="shared" si="7"/>
        <v>1.6473996</v>
      </c>
      <c r="Q67" s="8">
        <f t="shared" si="8"/>
        <v>0.5491332</v>
      </c>
      <c r="R67" s="53"/>
      <c r="S67" s="53"/>
      <c r="T67" s="53"/>
      <c r="U67" s="53"/>
      <c r="V67" s="53"/>
      <c r="W67" s="53"/>
      <c r="X67" s="53"/>
      <c r="Y67" s="53"/>
      <c r="Z67" s="17"/>
    </row>
    <row r="68" ht="34.5" customHeight="1">
      <c r="A68" s="24" t="s">
        <v>100</v>
      </c>
      <c r="B68" s="34" t="s">
        <v>101</v>
      </c>
      <c r="C68" s="34" t="s">
        <v>102</v>
      </c>
      <c r="D68" s="34" t="s">
        <v>107</v>
      </c>
      <c r="E68" s="34">
        <v>478.0</v>
      </c>
      <c r="F68" s="35">
        <v>38.32</v>
      </c>
      <c r="G68" s="34">
        <v>9.0</v>
      </c>
      <c r="H68" s="35">
        <v>0.0</v>
      </c>
      <c r="I68" s="35">
        <v>67.42</v>
      </c>
      <c r="J68" s="36">
        <f t="shared" si="1"/>
        <v>324.31344</v>
      </c>
      <c r="K68" s="36">
        <f t="shared" si="2"/>
        <v>294.8304</v>
      </c>
      <c r="L68" s="8">
        <f t="shared" si="3"/>
        <v>2.986447963</v>
      </c>
      <c r="M68" s="8">
        <f t="shared" si="4"/>
        <v>0.895934389</v>
      </c>
      <c r="N68" s="8">
        <f t="shared" si="5"/>
        <v>0.1791868778</v>
      </c>
      <c r="O68" s="8">
        <f t="shared" si="6"/>
        <v>0.5896608</v>
      </c>
      <c r="P68" s="8">
        <f t="shared" si="7"/>
        <v>0.8844912</v>
      </c>
      <c r="Q68" s="8">
        <f t="shared" si="8"/>
        <v>0.2948304</v>
      </c>
      <c r="R68" s="53"/>
      <c r="S68" s="53"/>
      <c r="T68" s="53"/>
      <c r="U68" s="53"/>
      <c r="V68" s="53"/>
      <c r="W68" s="53"/>
      <c r="X68" s="53"/>
      <c r="Y68" s="53"/>
      <c r="Z68" s="17"/>
    </row>
    <row r="69" ht="34.5" customHeight="1">
      <c r="A69" s="24" t="s">
        <v>100</v>
      </c>
      <c r="B69" s="34" t="s">
        <v>101</v>
      </c>
      <c r="C69" s="34" t="s">
        <v>102</v>
      </c>
      <c r="D69" s="34" t="s">
        <v>108</v>
      </c>
      <c r="E69" s="34">
        <v>251.0</v>
      </c>
      <c r="F69" s="35">
        <v>13.7</v>
      </c>
      <c r="G69" s="34">
        <v>4.0</v>
      </c>
      <c r="H69" s="35">
        <v>19.01</v>
      </c>
      <c r="I69" s="35">
        <v>71.25</v>
      </c>
      <c r="J69" s="36">
        <f t="shared" si="1"/>
        <v>238.2743</v>
      </c>
      <c r="K69" s="36">
        <f t="shared" si="2"/>
        <v>216.613</v>
      </c>
      <c r="L69" s="8">
        <f t="shared" si="3"/>
        <v>2.194154513</v>
      </c>
      <c r="M69" s="8">
        <f t="shared" si="4"/>
        <v>0.6582463539</v>
      </c>
      <c r="N69" s="8">
        <f t="shared" si="5"/>
        <v>0.1316492708</v>
      </c>
      <c r="O69" s="8">
        <f t="shared" si="6"/>
        <v>0.433226</v>
      </c>
      <c r="P69" s="8">
        <f t="shared" si="7"/>
        <v>0.649839</v>
      </c>
      <c r="Q69" s="8">
        <f t="shared" si="8"/>
        <v>0.216613</v>
      </c>
      <c r="R69" s="53"/>
      <c r="S69" s="53"/>
      <c r="T69" s="53"/>
      <c r="U69" s="53"/>
      <c r="V69" s="53"/>
      <c r="W69" s="53"/>
      <c r="X69" s="53"/>
      <c r="Y69" s="53"/>
      <c r="Z69" s="17"/>
    </row>
    <row r="70" ht="34.5" customHeight="1">
      <c r="A70" s="24" t="s">
        <v>100</v>
      </c>
      <c r="B70" s="34" t="s">
        <v>101</v>
      </c>
      <c r="C70" s="34" t="s">
        <v>102</v>
      </c>
      <c r="D70" s="34" t="s">
        <v>109</v>
      </c>
      <c r="E70" s="34">
        <v>144.0</v>
      </c>
      <c r="F70" s="35">
        <v>3.06</v>
      </c>
      <c r="G70" s="34">
        <v>5.0</v>
      </c>
      <c r="H70" s="35">
        <v>37.26</v>
      </c>
      <c r="I70" s="35">
        <v>63.17</v>
      </c>
      <c r="J70" s="36">
        <f t="shared" si="1"/>
        <v>153.55296</v>
      </c>
      <c r="K70" s="36">
        <f t="shared" si="2"/>
        <v>139.5936</v>
      </c>
      <c r="L70" s="8">
        <f t="shared" si="3"/>
        <v>1.413996055</v>
      </c>
      <c r="M70" s="8">
        <f t="shared" si="4"/>
        <v>0.4241988164</v>
      </c>
      <c r="N70" s="8">
        <f t="shared" si="5"/>
        <v>0.08483976329</v>
      </c>
      <c r="O70" s="8">
        <f t="shared" si="6"/>
        <v>0.2791872</v>
      </c>
      <c r="P70" s="8">
        <f t="shared" si="7"/>
        <v>0.4187808</v>
      </c>
      <c r="Q70" s="8">
        <f t="shared" si="8"/>
        <v>0.1395936</v>
      </c>
      <c r="R70" s="53"/>
      <c r="S70" s="53"/>
      <c r="T70" s="53"/>
      <c r="U70" s="53"/>
      <c r="V70" s="53"/>
      <c r="W70" s="53"/>
      <c r="X70" s="53"/>
      <c r="Y70" s="53"/>
      <c r="Z70" s="17"/>
    </row>
    <row r="71" ht="34.5" customHeight="1">
      <c r="A71" s="24" t="s">
        <v>100</v>
      </c>
      <c r="B71" s="34" t="s">
        <v>101</v>
      </c>
      <c r="C71" s="34" t="s">
        <v>102</v>
      </c>
      <c r="D71" s="34" t="s">
        <v>102</v>
      </c>
      <c r="E71" s="34">
        <v>1923.0</v>
      </c>
      <c r="F71" s="35">
        <v>19.99</v>
      </c>
      <c r="G71" s="34">
        <v>19.0</v>
      </c>
      <c r="H71" s="35">
        <v>31.57</v>
      </c>
      <c r="I71" s="35">
        <v>57.07</v>
      </c>
      <c r="J71" s="36">
        <f t="shared" si="1"/>
        <v>1692.45153</v>
      </c>
      <c r="K71" s="36">
        <f t="shared" si="2"/>
        <v>1538.5923</v>
      </c>
      <c r="L71" s="8">
        <f t="shared" si="3"/>
        <v>15.58497984</v>
      </c>
      <c r="M71" s="8">
        <f t="shared" si="4"/>
        <v>4.675493953</v>
      </c>
      <c r="N71" s="8">
        <f t="shared" si="5"/>
        <v>0.9350987905</v>
      </c>
      <c r="O71" s="8">
        <f t="shared" si="6"/>
        <v>3.0771846</v>
      </c>
      <c r="P71" s="8">
        <f t="shared" si="7"/>
        <v>4.6157769</v>
      </c>
      <c r="Q71" s="8">
        <f t="shared" si="8"/>
        <v>1.5385923</v>
      </c>
      <c r="R71" s="53"/>
      <c r="S71" s="53"/>
      <c r="T71" s="53"/>
      <c r="U71" s="53"/>
      <c r="V71" s="53"/>
      <c r="W71" s="53"/>
      <c r="X71" s="53"/>
      <c r="Y71" s="53"/>
      <c r="Z71" s="17"/>
    </row>
    <row r="72" ht="34.5" customHeight="1">
      <c r="A72" s="24" t="s">
        <v>100</v>
      </c>
      <c r="B72" s="34" t="s">
        <v>101</v>
      </c>
      <c r="C72" s="34" t="s">
        <v>102</v>
      </c>
      <c r="D72" s="34" t="s">
        <v>110</v>
      </c>
      <c r="E72" s="34">
        <v>51.0</v>
      </c>
      <c r="F72" s="35">
        <v>7.73</v>
      </c>
      <c r="G72" s="34">
        <v>1.0</v>
      </c>
      <c r="H72" s="35">
        <v>90.69</v>
      </c>
      <c r="I72" s="35">
        <v>90.69</v>
      </c>
      <c r="J72" s="36">
        <f t="shared" si="1"/>
        <v>51.76347</v>
      </c>
      <c r="K72" s="36">
        <f t="shared" si="2"/>
        <v>47.0577</v>
      </c>
      <c r="L72" s="8">
        <f t="shared" si="3"/>
        <v>0.4766651347</v>
      </c>
      <c r="M72" s="8">
        <f t="shared" si="4"/>
        <v>0.1429995404</v>
      </c>
      <c r="N72" s="8">
        <f t="shared" si="5"/>
        <v>0.02859990808</v>
      </c>
      <c r="O72" s="8">
        <f t="shared" si="6"/>
        <v>0.0941154</v>
      </c>
      <c r="P72" s="8">
        <f t="shared" si="7"/>
        <v>0.1411731</v>
      </c>
      <c r="Q72" s="8">
        <f t="shared" si="8"/>
        <v>0.0470577</v>
      </c>
      <c r="R72" s="53"/>
      <c r="S72" s="53"/>
      <c r="T72" s="53"/>
      <c r="U72" s="53"/>
      <c r="V72" s="53"/>
      <c r="W72" s="53"/>
      <c r="X72" s="53"/>
      <c r="Y72" s="53"/>
      <c r="Z72" s="17"/>
    </row>
    <row r="73" ht="34.5" customHeight="1">
      <c r="A73" s="24" t="s">
        <v>100</v>
      </c>
      <c r="B73" s="34" t="s">
        <v>101</v>
      </c>
      <c r="C73" s="34" t="s">
        <v>102</v>
      </c>
      <c r="D73" s="34" t="s">
        <v>111</v>
      </c>
      <c r="E73" s="34">
        <v>92.0</v>
      </c>
      <c r="F73" s="35">
        <v>4.41</v>
      </c>
      <c r="G73" s="34">
        <v>1.0</v>
      </c>
      <c r="H73" s="35">
        <v>89.93</v>
      </c>
      <c r="I73" s="35">
        <v>89.93</v>
      </c>
      <c r="J73" s="36">
        <f t="shared" si="1"/>
        <v>96.73708</v>
      </c>
      <c r="K73" s="36">
        <f t="shared" si="2"/>
        <v>87.9428</v>
      </c>
      <c r="L73" s="8">
        <f t="shared" si="3"/>
        <v>0.8908056834</v>
      </c>
      <c r="M73" s="8">
        <f t="shared" si="4"/>
        <v>0.267241705</v>
      </c>
      <c r="N73" s="8">
        <f t="shared" si="5"/>
        <v>0.053448341</v>
      </c>
      <c r="O73" s="8">
        <f t="shared" si="6"/>
        <v>0.1758856</v>
      </c>
      <c r="P73" s="8">
        <f t="shared" si="7"/>
        <v>0.2638284</v>
      </c>
      <c r="Q73" s="8">
        <f t="shared" si="8"/>
        <v>0.0879428</v>
      </c>
      <c r="R73" s="53"/>
      <c r="S73" s="53"/>
      <c r="T73" s="53"/>
      <c r="U73" s="53"/>
      <c r="V73" s="53"/>
      <c r="W73" s="53"/>
      <c r="X73" s="53"/>
      <c r="Y73" s="53"/>
      <c r="Z73" s="17"/>
    </row>
    <row r="74" ht="34.5" customHeight="1">
      <c r="A74" s="24" t="s">
        <v>100</v>
      </c>
      <c r="B74" s="34" t="s">
        <v>101</v>
      </c>
      <c r="C74" s="34" t="s">
        <v>102</v>
      </c>
      <c r="D74" s="34" t="s">
        <v>112</v>
      </c>
      <c r="E74" s="34">
        <v>360.0</v>
      </c>
      <c r="F74" s="35">
        <v>8.15</v>
      </c>
      <c r="G74" s="34">
        <v>7.0</v>
      </c>
      <c r="H74" s="35">
        <v>52.38</v>
      </c>
      <c r="I74" s="35">
        <v>79.71</v>
      </c>
      <c r="J74" s="36">
        <f t="shared" si="1"/>
        <v>363.726</v>
      </c>
      <c r="K74" s="36">
        <f t="shared" si="2"/>
        <v>330.66</v>
      </c>
      <c r="L74" s="8">
        <f t="shared" si="3"/>
        <v>3.349379452</v>
      </c>
      <c r="M74" s="8">
        <f t="shared" si="4"/>
        <v>1.004813836</v>
      </c>
      <c r="N74" s="8">
        <f t="shared" si="5"/>
        <v>0.2009627671</v>
      </c>
      <c r="O74" s="8">
        <f t="shared" si="6"/>
        <v>0.66132</v>
      </c>
      <c r="P74" s="8">
        <f t="shared" si="7"/>
        <v>0.99198</v>
      </c>
      <c r="Q74" s="8">
        <f t="shared" si="8"/>
        <v>0.33066</v>
      </c>
      <c r="R74" s="53"/>
      <c r="S74" s="53"/>
      <c r="T74" s="53"/>
      <c r="U74" s="53"/>
      <c r="V74" s="53"/>
      <c r="W74" s="53"/>
      <c r="X74" s="53"/>
      <c r="Y74" s="53"/>
      <c r="Z74" s="17"/>
    </row>
    <row r="75" ht="34.5" customHeight="1">
      <c r="A75" s="24" t="s">
        <v>100</v>
      </c>
      <c r="B75" s="34" t="s">
        <v>101</v>
      </c>
      <c r="C75" s="34" t="s">
        <v>102</v>
      </c>
      <c r="D75" s="34" t="s">
        <v>113</v>
      </c>
      <c r="E75" s="34">
        <v>124.0</v>
      </c>
      <c r="F75" s="35">
        <v>6.03</v>
      </c>
      <c r="G75" s="34">
        <v>3.0</v>
      </c>
      <c r="H75" s="35">
        <v>0.0</v>
      </c>
      <c r="I75" s="35">
        <v>100.0</v>
      </c>
      <c r="J75" s="36">
        <f t="shared" si="1"/>
        <v>128.17508</v>
      </c>
      <c r="K75" s="36">
        <f t="shared" si="2"/>
        <v>116.5228</v>
      </c>
      <c r="L75" s="8">
        <f t="shared" si="3"/>
        <v>1.180303248</v>
      </c>
      <c r="M75" s="8">
        <f t="shared" si="4"/>
        <v>0.3540909744</v>
      </c>
      <c r="N75" s="8">
        <f t="shared" si="5"/>
        <v>0.07081819489</v>
      </c>
      <c r="O75" s="8">
        <f t="shared" si="6"/>
        <v>0.2330456</v>
      </c>
      <c r="P75" s="8">
        <f t="shared" si="7"/>
        <v>0.3495684</v>
      </c>
      <c r="Q75" s="8">
        <f t="shared" si="8"/>
        <v>0.1165228</v>
      </c>
      <c r="R75" s="53"/>
      <c r="S75" s="53"/>
      <c r="T75" s="53"/>
      <c r="U75" s="53"/>
      <c r="V75" s="53"/>
      <c r="W75" s="53"/>
      <c r="X75" s="53"/>
      <c r="Y75" s="53"/>
      <c r="Z75" s="17"/>
    </row>
    <row r="76" ht="34.5" customHeight="1">
      <c r="A76" s="24" t="s">
        <v>100</v>
      </c>
      <c r="B76" s="34" t="s">
        <v>101</v>
      </c>
      <c r="C76" s="34" t="s">
        <v>102</v>
      </c>
      <c r="D76" s="34" t="s">
        <v>114</v>
      </c>
      <c r="E76" s="34">
        <v>1573.0</v>
      </c>
      <c r="F76" s="35">
        <v>27.13</v>
      </c>
      <c r="G76" s="34">
        <v>18.0</v>
      </c>
      <c r="H76" s="35">
        <v>45.33</v>
      </c>
      <c r="I76" s="35">
        <v>62.95</v>
      </c>
      <c r="J76" s="36">
        <f t="shared" si="1"/>
        <v>1260.86961</v>
      </c>
      <c r="K76" s="36">
        <f t="shared" si="2"/>
        <v>1146.2451</v>
      </c>
      <c r="L76" s="8">
        <f t="shared" si="3"/>
        <v>11.61074755</v>
      </c>
      <c r="M76" s="8">
        <f t="shared" si="4"/>
        <v>3.483224265</v>
      </c>
      <c r="N76" s="8">
        <f t="shared" si="5"/>
        <v>0.696644853</v>
      </c>
      <c r="O76" s="8">
        <f t="shared" si="6"/>
        <v>2.2924902</v>
      </c>
      <c r="P76" s="8">
        <f t="shared" si="7"/>
        <v>3.4387353</v>
      </c>
      <c r="Q76" s="8">
        <f t="shared" si="8"/>
        <v>1.1462451</v>
      </c>
      <c r="R76" s="53"/>
      <c r="S76" s="53"/>
      <c r="T76" s="53"/>
      <c r="U76" s="53"/>
      <c r="V76" s="53"/>
      <c r="W76" s="53"/>
      <c r="X76" s="53"/>
      <c r="Y76" s="53"/>
      <c r="Z76" s="17"/>
    </row>
    <row r="77" ht="34.5" customHeight="1">
      <c r="A77" s="24" t="s">
        <v>100</v>
      </c>
      <c r="B77" s="34" t="s">
        <v>101</v>
      </c>
      <c r="C77" s="34" t="s">
        <v>115</v>
      </c>
      <c r="D77" s="34" t="s">
        <v>116</v>
      </c>
      <c r="E77" s="34">
        <v>316.0</v>
      </c>
      <c r="F77" s="35">
        <v>7.2</v>
      </c>
      <c r="G77" s="34">
        <v>9.0</v>
      </c>
      <c r="H77" s="35">
        <v>84.93</v>
      </c>
      <c r="I77" s="35">
        <v>100.0</v>
      </c>
      <c r="J77" s="36">
        <f t="shared" si="1"/>
        <v>322.5728</v>
      </c>
      <c r="K77" s="36">
        <f t="shared" si="2"/>
        <v>293.248</v>
      </c>
      <c r="L77" s="8">
        <f t="shared" si="3"/>
        <v>2.970419239</v>
      </c>
      <c r="M77" s="8">
        <f t="shared" si="4"/>
        <v>0.8911257717</v>
      </c>
      <c r="N77" s="8">
        <f t="shared" si="5"/>
        <v>0.1782251543</v>
      </c>
      <c r="O77" s="8">
        <f t="shared" si="6"/>
        <v>0.586496</v>
      </c>
      <c r="P77" s="8">
        <f t="shared" si="7"/>
        <v>0.879744</v>
      </c>
      <c r="Q77" s="8">
        <f t="shared" si="8"/>
        <v>0.293248</v>
      </c>
      <c r="R77" s="53"/>
      <c r="S77" s="53"/>
      <c r="T77" s="53"/>
      <c r="U77" s="53"/>
      <c r="V77" s="53"/>
      <c r="W77" s="53"/>
      <c r="X77" s="53"/>
      <c r="Y77" s="53"/>
      <c r="Z77" s="17"/>
    </row>
    <row r="78" ht="34.5" customHeight="1">
      <c r="A78" s="24" t="s">
        <v>100</v>
      </c>
      <c r="B78" s="34" t="s">
        <v>101</v>
      </c>
      <c r="C78" s="34" t="s">
        <v>115</v>
      </c>
      <c r="D78" s="34" t="s">
        <v>117</v>
      </c>
      <c r="E78" s="34">
        <v>69.0</v>
      </c>
      <c r="F78" s="35">
        <v>0.37</v>
      </c>
      <c r="G78" s="34">
        <v>3.0</v>
      </c>
      <c r="H78" s="35">
        <v>100.0</v>
      </c>
      <c r="I78" s="35">
        <v>100.0</v>
      </c>
      <c r="J78" s="36">
        <f t="shared" si="1"/>
        <v>75.61917</v>
      </c>
      <c r="K78" s="36">
        <f t="shared" si="2"/>
        <v>68.7447</v>
      </c>
      <c r="L78" s="8">
        <f t="shared" si="3"/>
        <v>0.696340911</v>
      </c>
      <c r="M78" s="8">
        <f t="shared" si="4"/>
        <v>0.2089022733</v>
      </c>
      <c r="N78" s="8">
        <f t="shared" si="5"/>
        <v>0.04178045466</v>
      </c>
      <c r="O78" s="8">
        <f t="shared" si="6"/>
        <v>0.1374894</v>
      </c>
      <c r="P78" s="8">
        <f t="shared" si="7"/>
        <v>0.2062341</v>
      </c>
      <c r="Q78" s="8">
        <f t="shared" si="8"/>
        <v>0.0687447</v>
      </c>
      <c r="R78" s="53"/>
      <c r="S78" s="53"/>
      <c r="T78" s="53"/>
      <c r="U78" s="53"/>
      <c r="V78" s="53"/>
      <c r="W78" s="53"/>
      <c r="X78" s="53"/>
      <c r="Y78" s="53"/>
      <c r="Z78" s="17"/>
    </row>
    <row r="79" ht="34.5" customHeight="1">
      <c r="A79" s="24" t="s">
        <v>100</v>
      </c>
      <c r="B79" s="34" t="s">
        <v>101</v>
      </c>
      <c r="C79" s="34" t="s">
        <v>115</v>
      </c>
      <c r="D79" s="34" t="s">
        <v>118</v>
      </c>
      <c r="E79" s="34">
        <v>50.0</v>
      </c>
      <c r="F79" s="35">
        <v>4.65</v>
      </c>
      <c r="G79" s="34">
        <v>2.0</v>
      </c>
      <c r="H79" s="35">
        <v>87.25</v>
      </c>
      <c r="I79" s="35">
        <v>87.25</v>
      </c>
      <c r="J79" s="36">
        <f t="shared" si="1"/>
        <v>52.4425</v>
      </c>
      <c r="K79" s="36">
        <f t="shared" si="2"/>
        <v>47.675</v>
      </c>
      <c r="L79" s="8">
        <f t="shared" si="3"/>
        <v>0.4829179985</v>
      </c>
      <c r="M79" s="8">
        <f t="shared" si="4"/>
        <v>0.1448753995</v>
      </c>
      <c r="N79" s="8">
        <f t="shared" si="5"/>
        <v>0.02897507991</v>
      </c>
      <c r="O79" s="8">
        <f t="shared" si="6"/>
        <v>0.09535</v>
      </c>
      <c r="P79" s="8">
        <f t="shared" si="7"/>
        <v>0.143025</v>
      </c>
      <c r="Q79" s="8">
        <f t="shared" si="8"/>
        <v>0.047675</v>
      </c>
      <c r="R79" s="53"/>
      <c r="S79" s="53"/>
      <c r="T79" s="53"/>
      <c r="U79" s="53"/>
      <c r="V79" s="53"/>
      <c r="W79" s="53"/>
      <c r="X79" s="53"/>
      <c r="Y79" s="53"/>
      <c r="Z79" s="17"/>
    </row>
    <row r="80" ht="34.5" customHeight="1">
      <c r="A80" s="24" t="s">
        <v>100</v>
      </c>
      <c r="B80" s="34" t="s">
        <v>101</v>
      </c>
      <c r="C80" s="34" t="s">
        <v>115</v>
      </c>
      <c r="D80" s="34" t="s">
        <v>119</v>
      </c>
      <c r="E80" s="34">
        <v>297.0</v>
      </c>
      <c r="F80" s="35">
        <v>3.05</v>
      </c>
      <c r="G80" s="34">
        <v>6.0</v>
      </c>
      <c r="H80" s="35">
        <v>52.07</v>
      </c>
      <c r="I80" s="35">
        <v>77.72</v>
      </c>
      <c r="J80" s="36">
        <f t="shared" si="1"/>
        <v>316.73565</v>
      </c>
      <c r="K80" s="36">
        <f t="shared" si="2"/>
        <v>287.9415</v>
      </c>
      <c r="L80" s="8">
        <f t="shared" si="3"/>
        <v>2.916667705</v>
      </c>
      <c r="M80" s="8">
        <f t="shared" si="4"/>
        <v>0.8750003116</v>
      </c>
      <c r="N80" s="8">
        <f t="shared" si="5"/>
        <v>0.1750000623</v>
      </c>
      <c r="O80" s="8">
        <f t="shared" si="6"/>
        <v>0.575883</v>
      </c>
      <c r="P80" s="8">
        <f t="shared" si="7"/>
        <v>0.8638245</v>
      </c>
      <c r="Q80" s="8">
        <f t="shared" si="8"/>
        <v>0.2879415</v>
      </c>
      <c r="R80" s="53"/>
      <c r="S80" s="53"/>
      <c r="T80" s="53"/>
      <c r="U80" s="53"/>
      <c r="V80" s="53"/>
      <c r="W80" s="53"/>
      <c r="X80" s="53"/>
      <c r="Y80" s="53"/>
      <c r="Z80" s="17"/>
    </row>
    <row r="81" ht="34.5" customHeight="1">
      <c r="A81" s="24" t="s">
        <v>100</v>
      </c>
      <c r="B81" s="34" t="s">
        <v>101</v>
      </c>
      <c r="C81" s="34" t="s">
        <v>115</v>
      </c>
      <c r="D81" s="34" t="s">
        <v>120</v>
      </c>
      <c r="E81" s="34">
        <v>180.0</v>
      </c>
      <c r="F81" s="35">
        <v>1.57</v>
      </c>
      <c r="G81" s="34">
        <v>7.0</v>
      </c>
      <c r="H81" s="35">
        <v>100.0</v>
      </c>
      <c r="I81" s="35">
        <v>100.0</v>
      </c>
      <c r="J81" s="36">
        <f t="shared" si="1"/>
        <v>194.8914</v>
      </c>
      <c r="K81" s="36">
        <f t="shared" si="2"/>
        <v>177.174</v>
      </c>
      <c r="L81" s="8">
        <f t="shared" si="3"/>
        <v>1.794662055</v>
      </c>
      <c r="M81" s="8">
        <f t="shared" si="4"/>
        <v>0.5383986164</v>
      </c>
      <c r="N81" s="8">
        <f t="shared" si="5"/>
        <v>0.1076797233</v>
      </c>
      <c r="O81" s="8">
        <f t="shared" si="6"/>
        <v>0.354348</v>
      </c>
      <c r="P81" s="8">
        <f t="shared" si="7"/>
        <v>0.531522</v>
      </c>
      <c r="Q81" s="8">
        <f t="shared" si="8"/>
        <v>0.177174</v>
      </c>
      <c r="R81" s="53"/>
      <c r="S81" s="53"/>
      <c r="T81" s="53"/>
      <c r="U81" s="53"/>
      <c r="V81" s="53"/>
      <c r="W81" s="53"/>
      <c r="X81" s="53"/>
      <c r="Y81" s="53"/>
      <c r="Z81" s="17"/>
    </row>
    <row r="82" ht="34.5" customHeight="1">
      <c r="A82" s="24" t="s">
        <v>100</v>
      </c>
      <c r="B82" s="34" t="s">
        <v>101</v>
      </c>
      <c r="C82" s="34" t="s">
        <v>115</v>
      </c>
      <c r="D82" s="34" t="s">
        <v>121</v>
      </c>
      <c r="E82" s="34">
        <v>230.0</v>
      </c>
      <c r="F82" s="35">
        <v>6.59</v>
      </c>
      <c r="G82" s="34">
        <v>9.0</v>
      </c>
      <c r="H82" s="35">
        <v>98.26</v>
      </c>
      <c r="I82" s="35">
        <v>98.26</v>
      </c>
      <c r="J82" s="36">
        <f t="shared" si="1"/>
        <v>236.3273</v>
      </c>
      <c r="K82" s="36">
        <f t="shared" si="2"/>
        <v>214.843</v>
      </c>
      <c r="L82" s="8">
        <f t="shared" si="3"/>
        <v>2.176225518</v>
      </c>
      <c r="M82" s="8">
        <f t="shared" si="4"/>
        <v>0.6528676553</v>
      </c>
      <c r="N82" s="8">
        <f t="shared" si="5"/>
        <v>0.1305735311</v>
      </c>
      <c r="O82" s="8">
        <f t="shared" si="6"/>
        <v>0.429686</v>
      </c>
      <c r="P82" s="8">
        <f t="shared" si="7"/>
        <v>0.644529</v>
      </c>
      <c r="Q82" s="8">
        <f t="shared" si="8"/>
        <v>0.214843</v>
      </c>
      <c r="R82" s="53"/>
      <c r="S82" s="53"/>
      <c r="T82" s="53"/>
      <c r="U82" s="53"/>
      <c r="V82" s="53"/>
      <c r="W82" s="53"/>
      <c r="X82" s="53"/>
      <c r="Y82" s="53"/>
      <c r="Z82" s="17"/>
    </row>
    <row r="83" ht="34.5" customHeight="1">
      <c r="A83" s="24" t="s">
        <v>100</v>
      </c>
      <c r="B83" s="34" t="s">
        <v>101</v>
      </c>
      <c r="C83" s="34" t="s">
        <v>115</v>
      </c>
      <c r="D83" s="34" t="s">
        <v>122</v>
      </c>
      <c r="E83" s="34">
        <v>43.0</v>
      </c>
      <c r="F83" s="35">
        <v>3.2</v>
      </c>
      <c r="G83" s="34">
        <v>1.0</v>
      </c>
      <c r="H83" s="35">
        <v>100.0</v>
      </c>
      <c r="I83" s="35">
        <v>100.0</v>
      </c>
      <c r="J83" s="36">
        <f t="shared" si="1"/>
        <v>45.7864</v>
      </c>
      <c r="K83" s="36">
        <f t="shared" si="2"/>
        <v>41.624</v>
      </c>
      <c r="L83" s="8">
        <f t="shared" si="3"/>
        <v>0.4216251446</v>
      </c>
      <c r="M83" s="8">
        <f t="shared" si="4"/>
        <v>0.1264875434</v>
      </c>
      <c r="N83" s="8">
        <f t="shared" si="5"/>
        <v>0.02529750868</v>
      </c>
      <c r="O83" s="8">
        <f t="shared" si="6"/>
        <v>0.083248</v>
      </c>
      <c r="P83" s="8">
        <f t="shared" si="7"/>
        <v>0.124872</v>
      </c>
      <c r="Q83" s="8">
        <f t="shared" si="8"/>
        <v>0.041624</v>
      </c>
      <c r="R83" s="53"/>
      <c r="S83" s="53"/>
      <c r="T83" s="53"/>
      <c r="U83" s="53"/>
      <c r="V83" s="53"/>
      <c r="W83" s="53"/>
      <c r="X83" s="53"/>
      <c r="Y83" s="53"/>
      <c r="Z83" s="17"/>
    </row>
    <row r="84" ht="34.5" customHeight="1">
      <c r="A84" s="24" t="s">
        <v>100</v>
      </c>
      <c r="B84" s="34" t="s">
        <v>101</v>
      </c>
      <c r="C84" s="34" t="s">
        <v>115</v>
      </c>
      <c r="D84" s="34" t="s">
        <v>123</v>
      </c>
      <c r="E84" s="34">
        <v>1309.0</v>
      </c>
      <c r="F84" s="35">
        <v>17.91</v>
      </c>
      <c r="G84" s="34">
        <v>21.0</v>
      </c>
      <c r="H84" s="35">
        <v>43.88</v>
      </c>
      <c r="I84" s="35">
        <v>56.6</v>
      </c>
      <c r="J84" s="36">
        <f t="shared" si="1"/>
        <v>1182.01391</v>
      </c>
      <c r="K84" s="36">
        <f t="shared" si="2"/>
        <v>1074.5581</v>
      </c>
      <c r="L84" s="8">
        <f t="shared" si="3"/>
        <v>10.88460298</v>
      </c>
      <c r="M84" s="8">
        <f t="shared" si="4"/>
        <v>3.265380893</v>
      </c>
      <c r="N84" s="8">
        <f t="shared" si="5"/>
        <v>0.6530761786</v>
      </c>
      <c r="O84" s="8">
        <f t="shared" si="6"/>
        <v>2.1491162</v>
      </c>
      <c r="P84" s="8">
        <f t="shared" si="7"/>
        <v>3.2236743</v>
      </c>
      <c r="Q84" s="8">
        <f t="shared" si="8"/>
        <v>1.0745581</v>
      </c>
      <c r="R84" s="53"/>
      <c r="S84" s="53"/>
      <c r="T84" s="53"/>
      <c r="U84" s="53"/>
      <c r="V84" s="53"/>
      <c r="W84" s="53"/>
      <c r="X84" s="53"/>
      <c r="Y84" s="53"/>
      <c r="Z84" s="17"/>
    </row>
    <row r="85" ht="34.5" customHeight="1">
      <c r="A85" s="24" t="s">
        <v>100</v>
      </c>
      <c r="B85" s="34" t="s">
        <v>101</v>
      </c>
      <c r="C85" s="34" t="s">
        <v>115</v>
      </c>
      <c r="D85" s="34" t="s">
        <v>124</v>
      </c>
      <c r="E85" s="34">
        <v>62.0</v>
      </c>
      <c r="F85" s="35">
        <v>2.63</v>
      </c>
      <c r="G85" s="34">
        <v>2.0</v>
      </c>
      <c r="H85" s="35">
        <v>81.35</v>
      </c>
      <c r="I85" s="35">
        <v>81.35</v>
      </c>
      <c r="J85" s="36">
        <f t="shared" si="1"/>
        <v>66.40634</v>
      </c>
      <c r="K85" s="36">
        <f t="shared" si="2"/>
        <v>60.3694</v>
      </c>
      <c r="L85" s="8">
        <f t="shared" si="3"/>
        <v>0.6115043486</v>
      </c>
      <c r="M85" s="8">
        <f t="shared" si="4"/>
        <v>0.1834513046</v>
      </c>
      <c r="N85" s="8">
        <f t="shared" si="5"/>
        <v>0.03669026091</v>
      </c>
      <c r="O85" s="8">
        <f t="shared" si="6"/>
        <v>0.1207388</v>
      </c>
      <c r="P85" s="8">
        <f t="shared" si="7"/>
        <v>0.1811082</v>
      </c>
      <c r="Q85" s="8">
        <f t="shared" si="8"/>
        <v>0.0603694</v>
      </c>
      <c r="R85" s="53"/>
      <c r="S85" s="53"/>
      <c r="T85" s="53"/>
      <c r="U85" s="53"/>
      <c r="V85" s="53"/>
      <c r="W85" s="53"/>
      <c r="X85" s="53"/>
      <c r="Y85" s="53"/>
      <c r="Z85" s="17"/>
    </row>
    <row r="86" ht="34.5" customHeight="1">
      <c r="A86" s="24" t="s">
        <v>100</v>
      </c>
      <c r="B86" s="34" t="s">
        <v>101</v>
      </c>
      <c r="C86" s="34" t="s">
        <v>115</v>
      </c>
      <c r="D86" s="34" t="s">
        <v>125</v>
      </c>
      <c r="E86" s="34">
        <v>570.0</v>
      </c>
      <c r="F86" s="35">
        <v>8.61</v>
      </c>
      <c r="G86" s="34">
        <v>9.0</v>
      </c>
      <c r="H86" s="35">
        <v>27.33</v>
      </c>
      <c r="I86" s="35">
        <v>37.72</v>
      </c>
      <c r="J86" s="36">
        <f t="shared" si="1"/>
        <v>573.0153</v>
      </c>
      <c r="K86" s="36">
        <f t="shared" si="2"/>
        <v>520.923</v>
      </c>
      <c r="L86" s="8">
        <f t="shared" si="3"/>
        <v>5.276624909</v>
      </c>
      <c r="M86" s="8">
        <f t="shared" si="4"/>
        <v>1.582987473</v>
      </c>
      <c r="N86" s="8">
        <f t="shared" si="5"/>
        <v>0.3165974945</v>
      </c>
      <c r="O86" s="8">
        <f t="shared" si="6"/>
        <v>1.041846</v>
      </c>
      <c r="P86" s="8">
        <f t="shared" si="7"/>
        <v>1.562769</v>
      </c>
      <c r="Q86" s="8">
        <f t="shared" si="8"/>
        <v>0.520923</v>
      </c>
      <c r="R86" s="53"/>
      <c r="S86" s="53"/>
      <c r="T86" s="53"/>
      <c r="U86" s="53"/>
      <c r="V86" s="53"/>
      <c r="W86" s="53"/>
      <c r="X86" s="53"/>
      <c r="Y86" s="53"/>
      <c r="Z86" s="17"/>
    </row>
    <row r="87" ht="34.5" customHeight="1">
      <c r="A87" s="24" t="s">
        <v>100</v>
      </c>
      <c r="B87" s="34" t="s">
        <v>101</v>
      </c>
      <c r="C87" s="34" t="s">
        <v>115</v>
      </c>
      <c r="D87" s="34" t="s">
        <v>126</v>
      </c>
      <c r="E87" s="34">
        <v>119.0</v>
      </c>
      <c r="F87" s="35">
        <v>9.61</v>
      </c>
      <c r="G87" s="34">
        <v>4.0</v>
      </c>
      <c r="H87" s="35">
        <v>100.0</v>
      </c>
      <c r="I87" s="35">
        <v>100.0</v>
      </c>
      <c r="J87" s="36">
        <f t="shared" si="1"/>
        <v>118.32051</v>
      </c>
      <c r="K87" s="36">
        <f t="shared" si="2"/>
        <v>107.5641</v>
      </c>
      <c r="L87" s="8">
        <f t="shared" si="3"/>
        <v>1.089557208</v>
      </c>
      <c r="M87" s="8">
        <f t="shared" si="4"/>
        <v>0.3268671623</v>
      </c>
      <c r="N87" s="8">
        <f t="shared" si="5"/>
        <v>0.06537343247</v>
      </c>
      <c r="O87" s="8">
        <f t="shared" si="6"/>
        <v>0.2151282</v>
      </c>
      <c r="P87" s="8">
        <f t="shared" si="7"/>
        <v>0.3226923</v>
      </c>
      <c r="Q87" s="8">
        <f t="shared" si="8"/>
        <v>0.1075641</v>
      </c>
      <c r="R87" s="53"/>
      <c r="S87" s="53"/>
      <c r="T87" s="53"/>
      <c r="U87" s="53"/>
      <c r="V87" s="53"/>
      <c r="W87" s="53"/>
      <c r="X87" s="53"/>
      <c r="Y87" s="53"/>
      <c r="Z87" s="17"/>
    </row>
    <row r="88" ht="34.5" customHeight="1">
      <c r="A88" s="24" t="s">
        <v>100</v>
      </c>
      <c r="B88" s="34" t="s">
        <v>101</v>
      </c>
      <c r="C88" s="34" t="s">
        <v>115</v>
      </c>
      <c r="D88" s="34" t="s">
        <v>127</v>
      </c>
      <c r="E88" s="34">
        <v>34.0</v>
      </c>
      <c r="F88" s="35">
        <v>5.87</v>
      </c>
      <c r="G88" s="34">
        <v>2.0</v>
      </c>
      <c r="H88" s="35">
        <v>100.0</v>
      </c>
      <c r="I88" s="35">
        <v>100.0</v>
      </c>
      <c r="J88" s="36">
        <f t="shared" si="1"/>
        <v>35.20462</v>
      </c>
      <c r="K88" s="36">
        <f t="shared" si="2"/>
        <v>32.0042</v>
      </c>
      <c r="L88" s="8">
        <f t="shared" si="3"/>
        <v>0.3241825738</v>
      </c>
      <c r="M88" s="8">
        <f t="shared" si="4"/>
        <v>0.09725477215</v>
      </c>
      <c r="N88" s="8">
        <f t="shared" si="5"/>
        <v>0.01945095443</v>
      </c>
      <c r="O88" s="8">
        <f t="shared" si="6"/>
        <v>0.0640084</v>
      </c>
      <c r="P88" s="8">
        <f t="shared" si="7"/>
        <v>0.0960126</v>
      </c>
      <c r="Q88" s="8">
        <f t="shared" si="8"/>
        <v>0.0320042</v>
      </c>
      <c r="R88" s="53"/>
      <c r="S88" s="53"/>
      <c r="T88" s="53"/>
      <c r="U88" s="53"/>
      <c r="V88" s="53"/>
      <c r="W88" s="53"/>
      <c r="X88" s="53"/>
      <c r="Y88" s="53"/>
      <c r="Z88" s="17"/>
    </row>
    <row r="89" ht="34.5" customHeight="1">
      <c r="A89" s="24" t="s">
        <v>100</v>
      </c>
      <c r="B89" s="34" t="s">
        <v>101</v>
      </c>
      <c r="C89" s="34" t="s">
        <v>115</v>
      </c>
      <c r="D89" s="34" t="s">
        <v>128</v>
      </c>
      <c r="E89" s="34">
        <v>230.0</v>
      </c>
      <c r="F89" s="35">
        <v>2.95</v>
      </c>
      <c r="G89" s="34">
        <v>5.0</v>
      </c>
      <c r="H89" s="35">
        <v>83.92</v>
      </c>
      <c r="I89" s="35">
        <v>83.92</v>
      </c>
      <c r="J89" s="36">
        <f t="shared" si="1"/>
        <v>245.5365</v>
      </c>
      <c r="K89" s="36">
        <f t="shared" si="2"/>
        <v>223.215</v>
      </c>
      <c r="L89" s="8">
        <f t="shared" si="3"/>
        <v>2.261028653</v>
      </c>
      <c r="M89" s="8">
        <f t="shared" si="4"/>
        <v>0.6783085959</v>
      </c>
      <c r="N89" s="8">
        <f t="shared" si="5"/>
        <v>0.1356617192</v>
      </c>
      <c r="O89" s="8">
        <f t="shared" si="6"/>
        <v>0.44643</v>
      </c>
      <c r="P89" s="8">
        <f t="shared" si="7"/>
        <v>0.669645</v>
      </c>
      <c r="Q89" s="8">
        <f t="shared" si="8"/>
        <v>0.223215</v>
      </c>
      <c r="R89" s="53"/>
      <c r="S89" s="53"/>
      <c r="T89" s="53"/>
      <c r="U89" s="53"/>
      <c r="V89" s="53"/>
      <c r="W89" s="53"/>
      <c r="X89" s="53"/>
      <c r="Y89" s="53"/>
      <c r="Z89" s="17"/>
    </row>
    <row r="90" ht="34.5" customHeight="1">
      <c r="A90" s="24" t="s">
        <v>100</v>
      </c>
      <c r="B90" s="34" t="s">
        <v>101</v>
      </c>
      <c r="C90" s="34" t="s">
        <v>115</v>
      </c>
      <c r="D90" s="34" t="s">
        <v>129</v>
      </c>
      <c r="E90" s="34">
        <v>73.0</v>
      </c>
      <c r="F90" s="35">
        <v>2.36</v>
      </c>
      <c r="G90" s="34">
        <v>1.0</v>
      </c>
      <c r="H90" s="35">
        <v>100.0</v>
      </c>
      <c r="I90" s="35">
        <v>100.0</v>
      </c>
      <c r="J90" s="36">
        <f t="shared" si="1"/>
        <v>78.40492</v>
      </c>
      <c r="K90" s="36">
        <f t="shared" si="2"/>
        <v>71.2772</v>
      </c>
      <c r="L90" s="8">
        <f t="shared" si="3"/>
        <v>0.7219935556</v>
      </c>
      <c r="M90" s="8">
        <f t="shared" si="4"/>
        <v>0.2165980667</v>
      </c>
      <c r="N90" s="8">
        <f t="shared" si="5"/>
        <v>0.04331961333</v>
      </c>
      <c r="O90" s="8">
        <f t="shared" si="6"/>
        <v>0.1425544</v>
      </c>
      <c r="P90" s="8">
        <f t="shared" si="7"/>
        <v>0.2138316</v>
      </c>
      <c r="Q90" s="8">
        <f t="shared" si="8"/>
        <v>0.0712772</v>
      </c>
      <c r="R90" s="53"/>
      <c r="S90" s="53"/>
      <c r="T90" s="53"/>
      <c r="U90" s="53"/>
      <c r="V90" s="53"/>
      <c r="W90" s="53"/>
      <c r="X90" s="53"/>
      <c r="Y90" s="53"/>
      <c r="Z90" s="17"/>
    </row>
    <row r="91" ht="34.5" customHeight="1">
      <c r="A91" s="24" t="s">
        <v>100</v>
      </c>
      <c r="B91" s="34" t="s">
        <v>101</v>
      </c>
      <c r="C91" s="34" t="s">
        <v>115</v>
      </c>
      <c r="D91" s="34" t="s">
        <v>130</v>
      </c>
      <c r="E91" s="34">
        <v>80.0</v>
      </c>
      <c r="F91" s="35">
        <v>13.37</v>
      </c>
      <c r="G91" s="34">
        <v>3.0</v>
      </c>
      <c r="H91" s="35">
        <v>100.0</v>
      </c>
      <c r="I91" s="35">
        <v>100.0</v>
      </c>
      <c r="J91" s="36">
        <f t="shared" si="1"/>
        <v>76.2344</v>
      </c>
      <c r="K91" s="36">
        <f t="shared" si="2"/>
        <v>69.304</v>
      </c>
      <c r="L91" s="8">
        <f t="shared" si="3"/>
        <v>0.7020062709</v>
      </c>
      <c r="M91" s="8">
        <f t="shared" si="4"/>
        <v>0.2106018813</v>
      </c>
      <c r="N91" s="8">
        <f t="shared" si="5"/>
        <v>0.04212037626</v>
      </c>
      <c r="O91" s="8">
        <f t="shared" si="6"/>
        <v>0.138608</v>
      </c>
      <c r="P91" s="8">
        <f t="shared" si="7"/>
        <v>0.207912</v>
      </c>
      <c r="Q91" s="8">
        <f t="shared" si="8"/>
        <v>0.069304</v>
      </c>
      <c r="R91" s="53"/>
      <c r="S91" s="53"/>
      <c r="T91" s="53"/>
      <c r="U91" s="53"/>
      <c r="V91" s="53"/>
      <c r="W91" s="53"/>
      <c r="X91" s="53"/>
      <c r="Y91" s="53"/>
      <c r="Z91" s="17"/>
    </row>
    <row r="92" ht="34.5" customHeight="1">
      <c r="A92" s="24" t="s">
        <v>100</v>
      </c>
      <c r="B92" s="34" t="s">
        <v>101</v>
      </c>
      <c r="C92" s="34" t="s">
        <v>101</v>
      </c>
      <c r="D92" s="34" t="s">
        <v>131</v>
      </c>
      <c r="E92" s="34">
        <v>174.0</v>
      </c>
      <c r="F92" s="35">
        <v>45.74</v>
      </c>
      <c r="G92" s="34">
        <v>1.0</v>
      </c>
      <c r="H92" s="35">
        <v>0.0</v>
      </c>
      <c r="I92" s="35">
        <v>28.67</v>
      </c>
      <c r="J92" s="36">
        <f t="shared" si="1"/>
        <v>103.85364</v>
      </c>
      <c r="K92" s="36">
        <f t="shared" si="2"/>
        <v>94.4124</v>
      </c>
      <c r="L92" s="8">
        <f t="shared" si="3"/>
        <v>0.9563386941</v>
      </c>
      <c r="M92" s="8">
        <f t="shared" si="4"/>
        <v>0.2869016082</v>
      </c>
      <c r="N92" s="8">
        <f t="shared" si="5"/>
        <v>0.05738032164</v>
      </c>
      <c r="O92" s="8">
        <f t="shared" si="6"/>
        <v>0.1888248</v>
      </c>
      <c r="P92" s="8">
        <f t="shared" si="7"/>
        <v>0.2832372</v>
      </c>
      <c r="Q92" s="8">
        <f t="shared" si="8"/>
        <v>0.0944124</v>
      </c>
      <c r="R92" s="53"/>
      <c r="S92" s="53"/>
      <c r="T92" s="53"/>
      <c r="U92" s="53"/>
      <c r="V92" s="53"/>
      <c r="W92" s="53"/>
      <c r="X92" s="53"/>
      <c r="Y92" s="53"/>
      <c r="Z92" s="17"/>
    </row>
    <row r="93" ht="34.5" customHeight="1">
      <c r="A93" s="24" t="s">
        <v>100</v>
      </c>
      <c r="B93" s="34" t="s">
        <v>101</v>
      </c>
      <c r="C93" s="34" t="s">
        <v>101</v>
      </c>
      <c r="D93" s="34" t="s">
        <v>132</v>
      </c>
      <c r="E93" s="34">
        <v>331.0</v>
      </c>
      <c r="F93" s="35">
        <v>23.26</v>
      </c>
      <c r="G93" s="34">
        <v>3.0</v>
      </c>
      <c r="H93" s="35">
        <v>0.0</v>
      </c>
      <c r="I93" s="35">
        <v>22.13</v>
      </c>
      <c r="J93" s="36">
        <f t="shared" si="1"/>
        <v>279.41034</v>
      </c>
      <c r="K93" s="36">
        <f t="shared" si="2"/>
        <v>254.0094</v>
      </c>
      <c r="L93" s="8">
        <f t="shared" si="3"/>
        <v>2.572956708</v>
      </c>
      <c r="M93" s="8">
        <f t="shared" si="4"/>
        <v>0.7718870123</v>
      </c>
      <c r="N93" s="8">
        <f t="shared" si="5"/>
        <v>0.1543774025</v>
      </c>
      <c r="O93" s="8">
        <f t="shared" si="6"/>
        <v>0.5080188</v>
      </c>
      <c r="P93" s="8">
        <f t="shared" si="7"/>
        <v>0.7620282</v>
      </c>
      <c r="Q93" s="8">
        <f t="shared" si="8"/>
        <v>0.2540094</v>
      </c>
      <c r="R93" s="53"/>
      <c r="S93" s="53"/>
      <c r="T93" s="53"/>
      <c r="U93" s="53"/>
      <c r="V93" s="53"/>
      <c r="W93" s="53"/>
      <c r="X93" s="53"/>
      <c r="Y93" s="53"/>
      <c r="Z93" s="17"/>
    </row>
    <row r="94" ht="34.5" customHeight="1">
      <c r="A94" s="24" t="s">
        <v>100</v>
      </c>
      <c r="B94" s="34" t="s">
        <v>101</v>
      </c>
      <c r="C94" s="34" t="s">
        <v>101</v>
      </c>
      <c r="D94" s="34" t="s">
        <v>133</v>
      </c>
      <c r="E94" s="34">
        <v>378.0</v>
      </c>
      <c r="F94" s="35">
        <v>27.89</v>
      </c>
      <c r="G94" s="34">
        <v>8.0</v>
      </c>
      <c r="H94" s="35">
        <v>40.41</v>
      </c>
      <c r="I94" s="35">
        <v>40.41</v>
      </c>
      <c r="J94" s="36">
        <f t="shared" si="1"/>
        <v>299.83338</v>
      </c>
      <c r="K94" s="36">
        <f t="shared" si="2"/>
        <v>272.5758</v>
      </c>
      <c r="L94" s="8">
        <f t="shared" si="3"/>
        <v>2.761022753</v>
      </c>
      <c r="M94" s="8">
        <f t="shared" si="4"/>
        <v>0.828306826</v>
      </c>
      <c r="N94" s="8">
        <f t="shared" si="5"/>
        <v>0.1656613652</v>
      </c>
      <c r="O94" s="8">
        <f t="shared" si="6"/>
        <v>0.5451516</v>
      </c>
      <c r="P94" s="8">
        <f t="shared" si="7"/>
        <v>0.8177274</v>
      </c>
      <c r="Q94" s="8">
        <f t="shared" si="8"/>
        <v>0.2725758</v>
      </c>
      <c r="R94" s="53"/>
      <c r="S94" s="53"/>
      <c r="T94" s="53"/>
      <c r="U94" s="53"/>
      <c r="V94" s="53"/>
      <c r="W94" s="53"/>
      <c r="X94" s="53"/>
      <c r="Y94" s="53"/>
      <c r="Z94" s="17"/>
    </row>
    <row r="95" ht="34.5" customHeight="1">
      <c r="A95" s="24" t="s">
        <v>100</v>
      </c>
      <c r="B95" s="34" t="s">
        <v>101</v>
      </c>
      <c r="C95" s="34" t="s">
        <v>101</v>
      </c>
      <c r="D95" s="34" t="s">
        <v>134</v>
      </c>
      <c r="E95" s="34">
        <v>810.0</v>
      </c>
      <c r="F95" s="35">
        <v>30.76</v>
      </c>
      <c r="G95" s="34">
        <v>7.0</v>
      </c>
      <c r="H95" s="35">
        <v>5.66</v>
      </c>
      <c r="I95" s="35">
        <v>42.54</v>
      </c>
      <c r="J95" s="36">
        <f t="shared" si="1"/>
        <v>616.9284</v>
      </c>
      <c r="K95" s="36">
        <f t="shared" si="2"/>
        <v>560.844</v>
      </c>
      <c r="L95" s="8">
        <f t="shared" si="3"/>
        <v>5.680999726</v>
      </c>
      <c r="M95" s="8">
        <f t="shared" si="4"/>
        <v>1.704299918</v>
      </c>
      <c r="N95" s="8">
        <f t="shared" si="5"/>
        <v>0.3408599836</v>
      </c>
      <c r="O95" s="8">
        <f t="shared" si="6"/>
        <v>1.121688</v>
      </c>
      <c r="P95" s="8">
        <f t="shared" si="7"/>
        <v>1.682532</v>
      </c>
      <c r="Q95" s="8">
        <f t="shared" si="8"/>
        <v>0.560844</v>
      </c>
      <c r="R95" s="53"/>
      <c r="S95" s="53"/>
      <c r="T95" s="53"/>
      <c r="U95" s="53"/>
      <c r="V95" s="53"/>
      <c r="W95" s="53"/>
      <c r="X95" s="53"/>
      <c r="Y95" s="53"/>
      <c r="Z95" s="17"/>
    </row>
    <row r="96" ht="34.5" customHeight="1">
      <c r="A96" s="24" t="s">
        <v>100</v>
      </c>
      <c r="B96" s="34" t="s">
        <v>101</v>
      </c>
      <c r="C96" s="34" t="s">
        <v>101</v>
      </c>
      <c r="D96" s="34" t="s">
        <v>135</v>
      </c>
      <c r="E96" s="34">
        <v>276.0</v>
      </c>
      <c r="F96" s="35">
        <v>10.75</v>
      </c>
      <c r="G96" s="34">
        <v>4.0</v>
      </c>
      <c r="H96" s="35">
        <v>0.0</v>
      </c>
      <c r="I96" s="35">
        <v>19.27</v>
      </c>
      <c r="J96" s="36">
        <f t="shared" si="1"/>
        <v>270.963</v>
      </c>
      <c r="K96" s="36">
        <f t="shared" si="2"/>
        <v>246.33</v>
      </c>
      <c r="L96" s="8">
        <f t="shared" si="3"/>
        <v>2.495169178</v>
      </c>
      <c r="M96" s="8">
        <f t="shared" si="4"/>
        <v>0.7485507534</v>
      </c>
      <c r="N96" s="8">
        <f t="shared" si="5"/>
        <v>0.1497101507</v>
      </c>
      <c r="O96" s="8">
        <f t="shared" si="6"/>
        <v>0.49266</v>
      </c>
      <c r="P96" s="8">
        <f t="shared" si="7"/>
        <v>0.73899</v>
      </c>
      <c r="Q96" s="8">
        <f t="shared" si="8"/>
        <v>0.24633</v>
      </c>
      <c r="R96" s="53"/>
      <c r="S96" s="53"/>
      <c r="T96" s="53"/>
      <c r="U96" s="53"/>
      <c r="V96" s="53"/>
      <c r="W96" s="53"/>
      <c r="X96" s="53"/>
      <c r="Y96" s="53"/>
      <c r="Z96" s="17"/>
    </row>
    <row r="97" ht="34.5" customHeight="1">
      <c r="A97" s="24" t="s">
        <v>100</v>
      </c>
      <c r="B97" s="34" t="s">
        <v>101</v>
      </c>
      <c r="C97" s="34" t="s">
        <v>101</v>
      </c>
      <c r="D97" s="34" t="s">
        <v>136</v>
      </c>
      <c r="E97" s="34">
        <v>940.0</v>
      </c>
      <c r="F97" s="35">
        <v>16.1</v>
      </c>
      <c r="G97" s="34">
        <v>16.0</v>
      </c>
      <c r="H97" s="35">
        <v>26.24</v>
      </c>
      <c r="I97" s="35">
        <v>51.19</v>
      </c>
      <c r="J97" s="36">
        <f t="shared" si="1"/>
        <v>867.526</v>
      </c>
      <c r="K97" s="36">
        <f t="shared" si="2"/>
        <v>788.66</v>
      </c>
      <c r="L97" s="8">
        <f t="shared" si="3"/>
        <v>7.988633638</v>
      </c>
      <c r="M97" s="8">
        <f t="shared" si="4"/>
        <v>2.396590091</v>
      </c>
      <c r="N97" s="8">
        <f t="shared" si="5"/>
        <v>0.4793180183</v>
      </c>
      <c r="O97" s="8">
        <f t="shared" si="6"/>
        <v>1.57732</v>
      </c>
      <c r="P97" s="8">
        <f t="shared" si="7"/>
        <v>2.36598</v>
      </c>
      <c r="Q97" s="8">
        <f t="shared" si="8"/>
        <v>0.78866</v>
      </c>
      <c r="R97" s="53"/>
      <c r="S97" s="53"/>
      <c r="T97" s="53"/>
      <c r="U97" s="53"/>
      <c r="V97" s="53"/>
      <c r="W97" s="53"/>
      <c r="X97" s="53"/>
      <c r="Y97" s="53"/>
      <c r="Z97" s="17"/>
    </row>
    <row r="98" ht="34.5" customHeight="1">
      <c r="A98" s="24" t="s">
        <v>100</v>
      </c>
      <c r="B98" s="34" t="s">
        <v>101</v>
      </c>
      <c r="C98" s="34" t="s">
        <v>101</v>
      </c>
      <c r="D98" s="34" t="s">
        <v>137</v>
      </c>
      <c r="E98" s="34">
        <v>324.0</v>
      </c>
      <c r="F98" s="35">
        <v>15.31</v>
      </c>
      <c r="G98" s="34">
        <v>5.0</v>
      </c>
      <c r="H98" s="35">
        <v>27.87</v>
      </c>
      <c r="I98" s="35">
        <v>50.09</v>
      </c>
      <c r="J98" s="36">
        <f t="shared" si="1"/>
        <v>301.83516</v>
      </c>
      <c r="K98" s="36">
        <f t="shared" si="2"/>
        <v>274.3956</v>
      </c>
      <c r="L98" s="8">
        <f t="shared" si="3"/>
        <v>2.779456192</v>
      </c>
      <c r="M98" s="8">
        <f t="shared" si="4"/>
        <v>0.8338368575</v>
      </c>
      <c r="N98" s="8">
        <f t="shared" si="5"/>
        <v>0.1667673715</v>
      </c>
      <c r="O98" s="8">
        <f t="shared" si="6"/>
        <v>0.5487912</v>
      </c>
      <c r="P98" s="8">
        <f t="shared" si="7"/>
        <v>0.8231868</v>
      </c>
      <c r="Q98" s="8">
        <f t="shared" si="8"/>
        <v>0.2743956</v>
      </c>
      <c r="R98" s="53"/>
      <c r="S98" s="53"/>
      <c r="T98" s="53"/>
      <c r="U98" s="53"/>
      <c r="V98" s="53"/>
      <c r="W98" s="53"/>
      <c r="X98" s="53"/>
      <c r="Y98" s="53"/>
      <c r="Z98" s="17"/>
    </row>
    <row r="99" ht="34.5" customHeight="1">
      <c r="A99" s="24" t="s">
        <v>100</v>
      </c>
      <c r="B99" s="34" t="s">
        <v>101</v>
      </c>
      <c r="C99" s="34" t="s">
        <v>101</v>
      </c>
      <c r="D99" s="34" t="s">
        <v>138</v>
      </c>
      <c r="E99" s="34">
        <v>2013.0</v>
      </c>
      <c r="F99" s="35">
        <v>40.49</v>
      </c>
      <c r="G99" s="34">
        <v>17.0</v>
      </c>
      <c r="H99" s="35">
        <v>0.0</v>
      </c>
      <c r="I99" s="35">
        <v>39.96</v>
      </c>
      <c r="J99" s="36">
        <f t="shared" si="1"/>
        <v>1317.72993</v>
      </c>
      <c r="K99" s="36">
        <f t="shared" si="2"/>
        <v>1197.9363</v>
      </c>
      <c r="L99" s="8">
        <f t="shared" si="3"/>
        <v>12.13434715</v>
      </c>
      <c r="M99" s="8">
        <f t="shared" si="4"/>
        <v>3.640304145</v>
      </c>
      <c r="N99" s="8">
        <f t="shared" si="5"/>
        <v>0.7280608289</v>
      </c>
      <c r="O99" s="8">
        <f t="shared" si="6"/>
        <v>2.3958726</v>
      </c>
      <c r="P99" s="8">
        <f t="shared" si="7"/>
        <v>3.5938089</v>
      </c>
      <c r="Q99" s="8">
        <f t="shared" si="8"/>
        <v>1.1979363</v>
      </c>
      <c r="R99" s="53"/>
      <c r="S99" s="53"/>
      <c r="T99" s="53"/>
      <c r="U99" s="53"/>
      <c r="V99" s="53"/>
      <c r="W99" s="53"/>
      <c r="X99" s="53"/>
      <c r="Y99" s="53"/>
      <c r="Z99" s="17"/>
    </row>
    <row r="100" ht="34.5" customHeight="1">
      <c r="A100" s="24" t="s">
        <v>100</v>
      </c>
      <c r="B100" s="34" t="s">
        <v>101</v>
      </c>
      <c r="C100" s="34" t="s">
        <v>101</v>
      </c>
      <c r="D100" s="34" t="s">
        <v>139</v>
      </c>
      <c r="E100" s="34">
        <v>35.0</v>
      </c>
      <c r="F100" s="35">
        <v>32.36</v>
      </c>
      <c r="G100" s="34">
        <v>1.0</v>
      </c>
      <c r="H100" s="35">
        <v>0.0</v>
      </c>
      <c r="I100" s="35">
        <v>89.1</v>
      </c>
      <c r="J100" s="36">
        <f t="shared" si="1"/>
        <v>26.0414</v>
      </c>
      <c r="K100" s="36">
        <f t="shared" si="2"/>
        <v>23.674</v>
      </c>
      <c r="L100" s="8">
        <f t="shared" si="3"/>
        <v>0.2398028463</v>
      </c>
      <c r="M100" s="8">
        <f t="shared" si="4"/>
        <v>0.07194085388</v>
      </c>
      <c r="N100" s="8">
        <f t="shared" si="5"/>
        <v>0.01438817078</v>
      </c>
      <c r="O100" s="8">
        <f t="shared" si="6"/>
        <v>0.047348</v>
      </c>
      <c r="P100" s="8">
        <f t="shared" si="7"/>
        <v>0.071022</v>
      </c>
      <c r="Q100" s="8">
        <f t="shared" si="8"/>
        <v>0.023674</v>
      </c>
      <c r="R100" s="53"/>
      <c r="S100" s="53"/>
      <c r="T100" s="53"/>
      <c r="U100" s="53"/>
      <c r="V100" s="53"/>
      <c r="W100" s="53"/>
      <c r="X100" s="53"/>
      <c r="Y100" s="53"/>
      <c r="Z100" s="17"/>
    </row>
    <row r="101" ht="34.5" customHeight="1">
      <c r="A101" s="24" t="s">
        <v>100</v>
      </c>
      <c r="B101" s="34" t="s">
        <v>101</v>
      </c>
      <c r="C101" s="34" t="s">
        <v>101</v>
      </c>
      <c r="D101" s="34" t="s">
        <v>140</v>
      </c>
      <c r="E101" s="34">
        <v>628.0</v>
      </c>
      <c r="F101" s="35">
        <v>40.68</v>
      </c>
      <c r="G101" s="34">
        <v>12.0</v>
      </c>
      <c r="H101" s="35">
        <v>21.95</v>
      </c>
      <c r="I101" s="35">
        <v>46.19</v>
      </c>
      <c r="J101" s="36">
        <f t="shared" si="1"/>
        <v>409.78256</v>
      </c>
      <c r="K101" s="36">
        <f t="shared" si="2"/>
        <v>372.5296</v>
      </c>
      <c r="L101" s="8">
        <f t="shared" si="3"/>
        <v>3.773492371</v>
      </c>
      <c r="M101" s="8">
        <f t="shared" si="4"/>
        <v>1.132047711</v>
      </c>
      <c r="N101" s="8">
        <f t="shared" si="5"/>
        <v>0.2264095423</v>
      </c>
      <c r="O101" s="8">
        <f t="shared" si="6"/>
        <v>0.7450592</v>
      </c>
      <c r="P101" s="8">
        <f t="shared" si="7"/>
        <v>1.1175888</v>
      </c>
      <c r="Q101" s="8">
        <f t="shared" si="8"/>
        <v>0.3725296</v>
      </c>
      <c r="R101" s="53"/>
      <c r="S101" s="53"/>
      <c r="T101" s="53"/>
      <c r="U101" s="53"/>
      <c r="V101" s="53"/>
      <c r="W101" s="53"/>
      <c r="X101" s="53"/>
      <c r="Y101" s="53"/>
      <c r="Z101" s="17"/>
    </row>
    <row r="102" ht="34.5" customHeight="1">
      <c r="A102" s="24" t="s">
        <v>100</v>
      </c>
      <c r="B102" s="34" t="s">
        <v>101</v>
      </c>
      <c r="C102" s="34" t="s">
        <v>101</v>
      </c>
      <c r="D102" s="34" t="s">
        <v>141</v>
      </c>
      <c r="E102" s="34">
        <v>633.0</v>
      </c>
      <c r="F102" s="35">
        <v>13.44</v>
      </c>
      <c r="G102" s="34">
        <v>6.0</v>
      </c>
      <c r="H102" s="35">
        <v>18.7</v>
      </c>
      <c r="I102" s="35">
        <v>30.9</v>
      </c>
      <c r="J102" s="36">
        <f t="shared" si="1"/>
        <v>602.71728</v>
      </c>
      <c r="K102" s="36">
        <f t="shared" si="2"/>
        <v>547.9248</v>
      </c>
      <c r="L102" s="8">
        <f t="shared" si="3"/>
        <v>5.550136292</v>
      </c>
      <c r="M102" s="8">
        <f t="shared" si="4"/>
        <v>1.665040888</v>
      </c>
      <c r="N102" s="8">
        <f t="shared" si="5"/>
        <v>0.3330081775</v>
      </c>
      <c r="O102" s="8">
        <f t="shared" si="6"/>
        <v>1.0958496</v>
      </c>
      <c r="P102" s="8">
        <f t="shared" si="7"/>
        <v>1.6437744</v>
      </c>
      <c r="Q102" s="8">
        <f t="shared" si="8"/>
        <v>0.5479248</v>
      </c>
      <c r="R102" s="53"/>
      <c r="S102" s="53"/>
      <c r="T102" s="53"/>
      <c r="U102" s="53"/>
      <c r="V102" s="53"/>
      <c r="W102" s="53"/>
      <c r="X102" s="53"/>
      <c r="Y102" s="53"/>
      <c r="Z102" s="17"/>
    </row>
    <row r="103" ht="34.5" customHeight="1">
      <c r="A103" s="24" t="s">
        <v>100</v>
      </c>
      <c r="B103" s="34" t="s">
        <v>101</v>
      </c>
      <c r="C103" s="34" t="s">
        <v>101</v>
      </c>
      <c r="D103" s="34" t="s">
        <v>142</v>
      </c>
      <c r="E103" s="34">
        <v>402.0</v>
      </c>
      <c r="F103" s="35">
        <v>12.28</v>
      </c>
      <c r="G103" s="34">
        <v>6.0</v>
      </c>
      <c r="H103" s="35">
        <v>47.28</v>
      </c>
      <c r="I103" s="35">
        <v>71.95</v>
      </c>
      <c r="J103" s="36">
        <f t="shared" si="1"/>
        <v>387.89784</v>
      </c>
      <c r="K103" s="36">
        <f t="shared" si="2"/>
        <v>352.6344</v>
      </c>
      <c r="L103" s="8">
        <f t="shared" si="3"/>
        <v>3.571966411</v>
      </c>
      <c r="M103" s="8">
        <f t="shared" si="4"/>
        <v>1.071589923</v>
      </c>
      <c r="N103" s="8">
        <f t="shared" si="5"/>
        <v>0.2143179847</v>
      </c>
      <c r="O103" s="8">
        <f t="shared" si="6"/>
        <v>0.7052688</v>
      </c>
      <c r="P103" s="8">
        <f t="shared" si="7"/>
        <v>1.0579032</v>
      </c>
      <c r="Q103" s="8">
        <f t="shared" si="8"/>
        <v>0.3526344</v>
      </c>
      <c r="R103" s="53"/>
      <c r="S103" s="53"/>
      <c r="T103" s="53"/>
      <c r="U103" s="53"/>
      <c r="V103" s="53"/>
      <c r="W103" s="53"/>
      <c r="X103" s="53"/>
      <c r="Y103" s="53"/>
      <c r="Z103" s="17"/>
    </row>
    <row r="104" ht="34.5" customHeight="1">
      <c r="A104" s="24" t="s">
        <v>100</v>
      </c>
      <c r="B104" s="34" t="s">
        <v>101</v>
      </c>
      <c r="C104" s="34" t="s">
        <v>101</v>
      </c>
      <c r="D104" s="34" t="s">
        <v>143</v>
      </c>
      <c r="E104" s="34">
        <v>563.0</v>
      </c>
      <c r="F104" s="35">
        <v>26.03</v>
      </c>
      <c r="G104" s="34">
        <v>8.0</v>
      </c>
      <c r="H104" s="35">
        <v>64.97</v>
      </c>
      <c r="I104" s="35">
        <v>81.92</v>
      </c>
      <c r="J104" s="36">
        <f t="shared" si="1"/>
        <v>458.09621</v>
      </c>
      <c r="K104" s="36">
        <f t="shared" si="2"/>
        <v>416.4511</v>
      </c>
      <c r="L104" s="8">
        <f t="shared" si="3"/>
        <v>4.218389757</v>
      </c>
      <c r="M104" s="8">
        <f t="shared" si="4"/>
        <v>1.265516927</v>
      </c>
      <c r="N104" s="8">
        <f t="shared" si="5"/>
        <v>0.2531033854</v>
      </c>
      <c r="O104" s="8">
        <f t="shared" si="6"/>
        <v>0.8329022</v>
      </c>
      <c r="P104" s="8">
        <f t="shared" si="7"/>
        <v>1.2493533</v>
      </c>
      <c r="Q104" s="8">
        <f t="shared" si="8"/>
        <v>0.4164511</v>
      </c>
      <c r="R104" s="53"/>
      <c r="S104" s="53"/>
      <c r="T104" s="53"/>
      <c r="U104" s="53"/>
      <c r="V104" s="53"/>
      <c r="W104" s="53"/>
      <c r="X104" s="53"/>
      <c r="Y104" s="53"/>
      <c r="Z104" s="17"/>
    </row>
    <row r="105" ht="34.5" customHeight="1">
      <c r="A105" s="24" t="s">
        <v>100</v>
      </c>
      <c r="B105" s="34" t="s">
        <v>101</v>
      </c>
      <c r="C105" s="34" t="s">
        <v>101</v>
      </c>
      <c r="D105" s="34" t="s">
        <v>144</v>
      </c>
      <c r="E105" s="34">
        <v>1632.0</v>
      </c>
      <c r="F105" s="35">
        <v>38.73</v>
      </c>
      <c r="G105" s="34">
        <v>10.0</v>
      </c>
      <c r="H105" s="35">
        <v>5.81</v>
      </c>
      <c r="I105" s="35">
        <v>15.93</v>
      </c>
      <c r="J105" s="36">
        <f t="shared" si="1"/>
        <v>1099.91904</v>
      </c>
      <c r="K105" s="36">
        <f t="shared" si="2"/>
        <v>999.9264</v>
      </c>
      <c r="L105" s="8">
        <f t="shared" si="3"/>
        <v>10.12863043</v>
      </c>
      <c r="M105" s="8">
        <f t="shared" si="4"/>
        <v>3.038589129</v>
      </c>
      <c r="N105" s="8">
        <f t="shared" si="5"/>
        <v>0.6077178258</v>
      </c>
      <c r="O105" s="8">
        <f t="shared" si="6"/>
        <v>1.9998528</v>
      </c>
      <c r="P105" s="8">
        <f t="shared" si="7"/>
        <v>2.9997792</v>
      </c>
      <c r="Q105" s="8">
        <f t="shared" si="8"/>
        <v>0.9999264</v>
      </c>
      <c r="R105" s="53"/>
      <c r="S105" s="53"/>
      <c r="T105" s="53"/>
      <c r="U105" s="53"/>
      <c r="V105" s="53"/>
      <c r="W105" s="53"/>
      <c r="X105" s="53"/>
      <c r="Y105" s="53"/>
      <c r="Z105" s="17"/>
    </row>
    <row r="106" ht="34.5" customHeight="1">
      <c r="A106" s="24" t="s">
        <v>100</v>
      </c>
      <c r="B106" s="34" t="s">
        <v>101</v>
      </c>
      <c r="C106" s="34" t="s">
        <v>101</v>
      </c>
      <c r="D106" s="34" t="s">
        <v>145</v>
      </c>
      <c r="E106" s="34">
        <v>520.0</v>
      </c>
      <c r="F106" s="35">
        <v>23.17</v>
      </c>
      <c r="G106" s="34">
        <v>10.0</v>
      </c>
      <c r="H106" s="35">
        <v>75.95</v>
      </c>
      <c r="I106" s="35">
        <v>75.95</v>
      </c>
      <c r="J106" s="36">
        <f t="shared" si="1"/>
        <v>439.4676</v>
      </c>
      <c r="K106" s="36">
        <f t="shared" si="2"/>
        <v>399.516</v>
      </c>
      <c r="L106" s="8">
        <f t="shared" si="3"/>
        <v>4.046847763</v>
      </c>
      <c r="M106" s="8">
        <f t="shared" si="4"/>
        <v>1.214054329</v>
      </c>
      <c r="N106" s="8">
        <f t="shared" si="5"/>
        <v>0.2428108658</v>
      </c>
      <c r="O106" s="8">
        <f t="shared" si="6"/>
        <v>0.799032</v>
      </c>
      <c r="P106" s="8">
        <f t="shared" si="7"/>
        <v>1.198548</v>
      </c>
      <c r="Q106" s="8">
        <f t="shared" si="8"/>
        <v>0.399516</v>
      </c>
      <c r="R106" s="53"/>
      <c r="S106" s="53"/>
      <c r="T106" s="53"/>
      <c r="U106" s="53"/>
      <c r="V106" s="53"/>
      <c r="W106" s="53"/>
      <c r="X106" s="53"/>
      <c r="Y106" s="53"/>
      <c r="Z106" s="17"/>
    </row>
    <row r="107" ht="34.5" customHeight="1">
      <c r="A107" s="24" t="s">
        <v>100</v>
      </c>
      <c r="B107" s="34" t="s">
        <v>101</v>
      </c>
      <c r="C107" s="34" t="s">
        <v>101</v>
      </c>
      <c r="D107" s="34" t="s">
        <v>146</v>
      </c>
      <c r="E107" s="34">
        <v>869.0</v>
      </c>
      <c r="F107" s="35">
        <v>32.61</v>
      </c>
      <c r="G107" s="34">
        <v>11.0</v>
      </c>
      <c r="H107" s="35">
        <v>26.53</v>
      </c>
      <c r="I107" s="35">
        <v>49.21</v>
      </c>
      <c r="J107" s="36">
        <f t="shared" si="1"/>
        <v>644.18101</v>
      </c>
      <c r="K107" s="36">
        <f t="shared" si="2"/>
        <v>585.6191</v>
      </c>
      <c r="L107" s="8">
        <f t="shared" si="3"/>
        <v>5.931956028</v>
      </c>
      <c r="M107" s="8">
        <f t="shared" si="4"/>
        <v>1.779586808</v>
      </c>
      <c r="N107" s="8">
        <f t="shared" si="5"/>
        <v>0.3559173617</v>
      </c>
      <c r="O107" s="8">
        <f t="shared" si="6"/>
        <v>1.1712382</v>
      </c>
      <c r="P107" s="8">
        <f t="shared" si="7"/>
        <v>1.7568573</v>
      </c>
      <c r="Q107" s="8">
        <f t="shared" si="8"/>
        <v>0.5856191</v>
      </c>
      <c r="R107" s="53"/>
      <c r="S107" s="53"/>
      <c r="T107" s="53"/>
      <c r="U107" s="53"/>
      <c r="V107" s="53"/>
      <c r="W107" s="53"/>
      <c r="X107" s="53"/>
      <c r="Y107" s="53"/>
      <c r="Z107" s="17"/>
    </row>
    <row r="108" ht="34.5" customHeight="1">
      <c r="A108" s="24" t="s">
        <v>100</v>
      </c>
      <c r="B108" s="34" t="s">
        <v>101</v>
      </c>
      <c r="C108" s="34" t="s">
        <v>101</v>
      </c>
      <c r="D108" s="34" t="s">
        <v>101</v>
      </c>
      <c r="E108" s="34">
        <v>8749.0</v>
      </c>
      <c r="F108" s="35">
        <v>47.23</v>
      </c>
      <c r="G108" s="34">
        <v>15.0</v>
      </c>
      <c r="H108" s="35">
        <v>18.28</v>
      </c>
      <c r="I108" s="35">
        <v>49.49</v>
      </c>
      <c r="J108" s="36">
        <f t="shared" si="1"/>
        <v>5078.53203</v>
      </c>
      <c r="K108" s="36">
        <f t="shared" si="2"/>
        <v>4616.8473</v>
      </c>
      <c r="L108" s="8">
        <f t="shared" si="3"/>
        <v>46.76578201</v>
      </c>
      <c r="M108" s="8">
        <f t="shared" si="4"/>
        <v>14.0297346</v>
      </c>
      <c r="N108" s="8">
        <f t="shared" si="5"/>
        <v>2.805946921</v>
      </c>
      <c r="O108" s="8">
        <f t="shared" si="6"/>
        <v>9.2336946</v>
      </c>
      <c r="P108" s="8">
        <f t="shared" si="7"/>
        <v>13.8505419</v>
      </c>
      <c r="Q108" s="8">
        <f t="shared" si="8"/>
        <v>4.6168473</v>
      </c>
      <c r="R108" s="53"/>
      <c r="S108" s="53"/>
      <c r="T108" s="53"/>
      <c r="U108" s="53"/>
      <c r="V108" s="53"/>
      <c r="W108" s="53"/>
      <c r="X108" s="53"/>
      <c r="Y108" s="53"/>
      <c r="Z108" s="17"/>
    </row>
    <row r="109" ht="34.5" customHeight="1">
      <c r="A109" s="24" t="s">
        <v>100</v>
      </c>
      <c r="B109" s="34" t="s">
        <v>101</v>
      </c>
      <c r="C109" s="34" t="s">
        <v>101</v>
      </c>
      <c r="D109" s="34" t="s">
        <v>147</v>
      </c>
      <c r="E109" s="34">
        <v>90.0</v>
      </c>
      <c r="F109" s="35">
        <v>6.31</v>
      </c>
      <c r="G109" s="34">
        <v>2.0</v>
      </c>
      <c r="H109" s="35">
        <v>88.38</v>
      </c>
      <c r="I109" s="35">
        <v>100.0</v>
      </c>
      <c r="J109" s="36">
        <f t="shared" si="1"/>
        <v>92.7531</v>
      </c>
      <c r="K109" s="36">
        <f t="shared" si="2"/>
        <v>84.321</v>
      </c>
      <c r="L109" s="8">
        <f t="shared" si="3"/>
        <v>0.8541191096</v>
      </c>
      <c r="M109" s="8">
        <f t="shared" si="4"/>
        <v>0.2562357329</v>
      </c>
      <c r="N109" s="8">
        <f t="shared" si="5"/>
        <v>0.05124714658</v>
      </c>
      <c r="O109" s="8">
        <f t="shared" si="6"/>
        <v>0.168642</v>
      </c>
      <c r="P109" s="8">
        <f t="shared" si="7"/>
        <v>0.252963</v>
      </c>
      <c r="Q109" s="8">
        <f t="shared" si="8"/>
        <v>0.084321</v>
      </c>
      <c r="R109" s="53"/>
      <c r="S109" s="53"/>
      <c r="T109" s="53"/>
      <c r="U109" s="53"/>
      <c r="V109" s="53"/>
      <c r="W109" s="53"/>
      <c r="X109" s="53"/>
      <c r="Y109" s="53"/>
      <c r="Z109" s="17"/>
    </row>
    <row r="110" ht="34.5" customHeight="1">
      <c r="A110" s="24" t="s">
        <v>100</v>
      </c>
      <c r="B110" s="34" t="s">
        <v>101</v>
      </c>
      <c r="C110" s="34" t="s">
        <v>101</v>
      </c>
      <c r="D110" s="34" t="s">
        <v>148</v>
      </c>
      <c r="E110" s="34">
        <v>427.0</v>
      </c>
      <c r="F110" s="35">
        <v>39.6</v>
      </c>
      <c r="G110" s="34">
        <v>7.0</v>
      </c>
      <c r="H110" s="35">
        <v>24.6</v>
      </c>
      <c r="I110" s="35">
        <v>34.79</v>
      </c>
      <c r="J110" s="36">
        <f t="shared" si="1"/>
        <v>283.6988</v>
      </c>
      <c r="K110" s="36">
        <f t="shared" si="2"/>
        <v>257.908</v>
      </c>
      <c r="L110" s="8">
        <f t="shared" si="3"/>
        <v>2.612447093</v>
      </c>
      <c r="M110" s="8">
        <f t="shared" si="4"/>
        <v>0.7837341279</v>
      </c>
      <c r="N110" s="8">
        <f t="shared" si="5"/>
        <v>0.1567468256</v>
      </c>
      <c r="O110" s="8">
        <f t="shared" si="6"/>
        <v>0.515816</v>
      </c>
      <c r="P110" s="8">
        <f t="shared" si="7"/>
        <v>0.773724</v>
      </c>
      <c r="Q110" s="8">
        <f t="shared" si="8"/>
        <v>0.257908</v>
      </c>
      <c r="R110" s="53"/>
      <c r="S110" s="53"/>
      <c r="T110" s="53"/>
      <c r="U110" s="53"/>
      <c r="V110" s="53"/>
      <c r="W110" s="53"/>
      <c r="X110" s="53"/>
      <c r="Y110" s="53"/>
      <c r="Z110" s="17"/>
    </row>
    <row r="111" ht="34.5" customHeight="1">
      <c r="A111" s="54" t="s">
        <v>100</v>
      </c>
      <c r="B111" s="38" t="s">
        <v>101</v>
      </c>
      <c r="C111" s="38" t="s">
        <v>101</v>
      </c>
      <c r="D111" s="38" t="s">
        <v>149</v>
      </c>
      <c r="E111" s="38">
        <v>1501.0</v>
      </c>
      <c r="F111" s="55">
        <v>38.88</v>
      </c>
      <c r="G111" s="38">
        <v>13.0</v>
      </c>
      <c r="H111" s="55">
        <v>14.08</v>
      </c>
      <c r="I111" s="55">
        <v>60.62</v>
      </c>
      <c r="J111" s="56">
        <f t="shared" si="1"/>
        <v>1009.15232</v>
      </c>
      <c r="K111" s="56">
        <f t="shared" si="2"/>
        <v>917.4112</v>
      </c>
      <c r="L111" s="8">
        <f t="shared" si="3"/>
        <v>9.292802947</v>
      </c>
      <c r="M111" s="8">
        <f t="shared" si="4"/>
        <v>2.787840884</v>
      </c>
      <c r="N111" s="8">
        <f t="shared" si="5"/>
        <v>0.5575681768</v>
      </c>
      <c r="O111" s="8">
        <f t="shared" si="6"/>
        <v>1.8348224</v>
      </c>
      <c r="P111" s="8">
        <f t="shared" si="7"/>
        <v>2.7522336</v>
      </c>
      <c r="Q111" s="8">
        <f t="shared" si="8"/>
        <v>0.9174112</v>
      </c>
      <c r="R111" s="53"/>
      <c r="S111" s="53"/>
      <c r="T111" s="53"/>
      <c r="U111" s="53"/>
      <c r="V111" s="53"/>
      <c r="W111" s="53"/>
      <c r="X111" s="53"/>
      <c r="Y111" s="53"/>
      <c r="Z111" s="17"/>
    </row>
    <row r="112" ht="34.5" customHeight="1">
      <c r="A112" s="54" t="s">
        <v>150</v>
      </c>
      <c r="B112" s="34" t="s">
        <v>151</v>
      </c>
      <c r="C112" s="34" t="s">
        <v>151</v>
      </c>
      <c r="D112" s="34" t="s">
        <v>152</v>
      </c>
      <c r="E112" s="34">
        <v>469.0</v>
      </c>
      <c r="F112" s="35">
        <v>23.25</v>
      </c>
      <c r="G112" s="34">
        <v>7.0</v>
      </c>
      <c r="H112" s="35">
        <v>46.35</v>
      </c>
      <c r="I112" s="35">
        <v>96.74</v>
      </c>
      <c r="J112" s="36">
        <f t="shared" si="1"/>
        <v>395.95325</v>
      </c>
      <c r="K112" s="36">
        <f t="shared" si="2"/>
        <v>359.9575</v>
      </c>
      <c r="L112" s="8">
        <f t="shared" si="3"/>
        <v>3.646144844</v>
      </c>
      <c r="M112" s="8">
        <f t="shared" si="4"/>
        <v>1.093843453</v>
      </c>
      <c r="N112" s="8">
        <f t="shared" si="5"/>
        <v>0.2187686906</v>
      </c>
      <c r="O112" s="8">
        <f t="shared" si="6"/>
        <v>0.719915</v>
      </c>
      <c r="P112" s="8">
        <f t="shared" si="7"/>
        <v>1.0798725</v>
      </c>
      <c r="Q112" s="8">
        <f t="shared" si="8"/>
        <v>0.3599575</v>
      </c>
      <c r="R112" s="53"/>
      <c r="S112" s="53"/>
      <c r="T112" s="53"/>
      <c r="U112" s="53"/>
      <c r="V112" s="53"/>
      <c r="W112" s="53"/>
      <c r="X112" s="53"/>
      <c r="Y112" s="53"/>
      <c r="Z112" s="17"/>
    </row>
    <row r="113" ht="34.5" customHeight="1">
      <c r="A113" s="54" t="s">
        <v>150</v>
      </c>
      <c r="B113" s="34" t="s">
        <v>151</v>
      </c>
      <c r="C113" s="34" t="s">
        <v>151</v>
      </c>
      <c r="D113" s="34" t="s">
        <v>153</v>
      </c>
      <c r="E113" s="34">
        <v>76.0</v>
      </c>
      <c r="F113" s="35">
        <v>12.92</v>
      </c>
      <c r="G113" s="34">
        <v>3.0</v>
      </c>
      <c r="H113" s="35">
        <v>100.0</v>
      </c>
      <c r="I113" s="35">
        <v>100.0</v>
      </c>
      <c r="J113" s="36">
        <f t="shared" si="1"/>
        <v>72.79888</v>
      </c>
      <c r="K113" s="36">
        <f t="shared" si="2"/>
        <v>66.1808</v>
      </c>
      <c r="L113" s="8">
        <f t="shared" si="3"/>
        <v>0.670370204</v>
      </c>
      <c r="M113" s="8">
        <f t="shared" si="4"/>
        <v>0.2011110612</v>
      </c>
      <c r="N113" s="8">
        <f t="shared" si="5"/>
        <v>0.04022221224</v>
      </c>
      <c r="O113" s="8">
        <f t="shared" si="6"/>
        <v>0.1323616</v>
      </c>
      <c r="P113" s="8">
        <f t="shared" si="7"/>
        <v>0.1985424</v>
      </c>
      <c r="Q113" s="8">
        <f t="shared" si="8"/>
        <v>0.0661808</v>
      </c>
      <c r="R113" s="53"/>
      <c r="S113" s="53"/>
      <c r="T113" s="53"/>
      <c r="U113" s="53"/>
      <c r="V113" s="53"/>
      <c r="W113" s="53"/>
      <c r="X113" s="53"/>
      <c r="Y113" s="53"/>
      <c r="Z113" s="17"/>
    </row>
    <row r="114" ht="34.5" customHeight="1">
      <c r="A114" s="54" t="s">
        <v>150</v>
      </c>
      <c r="B114" s="34" t="s">
        <v>151</v>
      </c>
      <c r="C114" s="34" t="s">
        <v>151</v>
      </c>
      <c r="D114" s="34" t="s">
        <v>154</v>
      </c>
      <c r="E114" s="34">
        <v>70.0</v>
      </c>
      <c r="F114" s="35">
        <v>11.75</v>
      </c>
      <c r="G114" s="34">
        <v>3.0</v>
      </c>
      <c r="H114" s="35">
        <v>63.85</v>
      </c>
      <c r="I114" s="35">
        <v>100.0</v>
      </c>
      <c r="J114" s="36">
        <f t="shared" si="1"/>
        <v>67.9525</v>
      </c>
      <c r="K114" s="36">
        <f t="shared" si="2"/>
        <v>61.775</v>
      </c>
      <c r="L114" s="8">
        <f t="shared" si="3"/>
        <v>0.6257421994</v>
      </c>
      <c r="M114" s="8">
        <f t="shared" si="4"/>
        <v>0.1877226598</v>
      </c>
      <c r="N114" s="8">
        <f t="shared" si="5"/>
        <v>0.03754453196</v>
      </c>
      <c r="O114" s="8">
        <f t="shared" si="6"/>
        <v>0.12355</v>
      </c>
      <c r="P114" s="8">
        <f t="shared" si="7"/>
        <v>0.185325</v>
      </c>
      <c r="Q114" s="8">
        <f t="shared" si="8"/>
        <v>0.061775</v>
      </c>
      <c r="R114" s="53"/>
      <c r="S114" s="53"/>
      <c r="T114" s="53"/>
      <c r="U114" s="53"/>
      <c r="V114" s="53"/>
      <c r="W114" s="53"/>
      <c r="X114" s="53"/>
      <c r="Y114" s="53"/>
      <c r="Z114" s="17"/>
    </row>
    <row r="115" ht="34.5" customHeight="1">
      <c r="A115" s="54" t="s">
        <v>150</v>
      </c>
      <c r="B115" s="34" t="s">
        <v>151</v>
      </c>
      <c r="C115" s="34" t="s">
        <v>151</v>
      </c>
      <c r="D115" s="34" t="s">
        <v>155</v>
      </c>
      <c r="E115" s="34">
        <v>17.0</v>
      </c>
      <c r="F115" s="35">
        <v>3.89</v>
      </c>
      <c r="G115" s="34">
        <v>2.0</v>
      </c>
      <c r="H115" s="35">
        <v>100.0</v>
      </c>
      <c r="I115" s="35">
        <v>100.0</v>
      </c>
      <c r="J115" s="36">
        <f t="shared" si="1"/>
        <v>17.97257</v>
      </c>
      <c r="K115" s="36">
        <f t="shared" si="2"/>
        <v>16.3387</v>
      </c>
      <c r="L115" s="8">
        <f t="shared" si="3"/>
        <v>0.1655008349</v>
      </c>
      <c r="M115" s="8">
        <f t="shared" si="4"/>
        <v>0.04965025046</v>
      </c>
      <c r="N115" s="8">
        <f t="shared" si="5"/>
        <v>0.009930050091</v>
      </c>
      <c r="O115" s="8">
        <f t="shared" si="6"/>
        <v>0.0326774</v>
      </c>
      <c r="P115" s="8">
        <f t="shared" si="7"/>
        <v>0.0490161</v>
      </c>
      <c r="Q115" s="8">
        <f t="shared" si="8"/>
        <v>0.0163387</v>
      </c>
      <c r="R115" s="53"/>
      <c r="S115" s="53"/>
      <c r="T115" s="53"/>
      <c r="U115" s="53"/>
      <c r="V115" s="53"/>
      <c r="W115" s="53"/>
      <c r="X115" s="53"/>
      <c r="Y115" s="53"/>
      <c r="Z115" s="17"/>
    </row>
    <row r="116" ht="34.5" customHeight="1">
      <c r="A116" s="54" t="s">
        <v>150</v>
      </c>
      <c r="B116" s="34" t="s">
        <v>151</v>
      </c>
      <c r="C116" s="34" t="s">
        <v>151</v>
      </c>
      <c r="D116" s="34" t="s">
        <v>151</v>
      </c>
      <c r="E116" s="34">
        <v>4218.0</v>
      </c>
      <c r="F116" s="35">
        <v>41.81</v>
      </c>
      <c r="G116" s="34">
        <v>25.0</v>
      </c>
      <c r="H116" s="35">
        <v>11.9</v>
      </c>
      <c r="I116" s="35">
        <v>44.87</v>
      </c>
      <c r="J116" s="36">
        <f t="shared" si="1"/>
        <v>2699.89962</v>
      </c>
      <c r="K116" s="36">
        <f t="shared" si="2"/>
        <v>2454.4542</v>
      </c>
      <c r="L116" s="8">
        <f t="shared" si="3"/>
        <v>24.86208935</v>
      </c>
      <c r="M116" s="8">
        <f t="shared" si="4"/>
        <v>7.458626804</v>
      </c>
      <c r="N116" s="8">
        <f t="shared" si="5"/>
        <v>1.491725361</v>
      </c>
      <c r="O116" s="8">
        <f t="shared" si="6"/>
        <v>4.9089084</v>
      </c>
      <c r="P116" s="8">
        <f t="shared" si="7"/>
        <v>7.3633626</v>
      </c>
      <c r="Q116" s="8">
        <f t="shared" si="8"/>
        <v>2.4544542</v>
      </c>
      <c r="R116" s="53"/>
      <c r="S116" s="53"/>
      <c r="T116" s="53"/>
      <c r="U116" s="53"/>
      <c r="V116" s="53"/>
      <c r="W116" s="53"/>
      <c r="X116" s="53"/>
      <c r="Y116" s="53"/>
      <c r="Z116" s="17"/>
    </row>
    <row r="117" ht="34.5" customHeight="1">
      <c r="A117" s="54" t="s">
        <v>150</v>
      </c>
      <c r="B117" s="34" t="s">
        <v>151</v>
      </c>
      <c r="C117" s="34" t="s">
        <v>151</v>
      </c>
      <c r="D117" s="34" t="s">
        <v>156</v>
      </c>
      <c r="E117" s="34">
        <v>34.0</v>
      </c>
      <c r="F117" s="35">
        <v>12.4</v>
      </c>
      <c r="G117" s="34">
        <v>1.0</v>
      </c>
      <c r="H117" s="35">
        <v>100.0</v>
      </c>
      <c r="I117" s="35">
        <v>100.0</v>
      </c>
      <c r="J117" s="36">
        <f t="shared" si="1"/>
        <v>32.7624</v>
      </c>
      <c r="K117" s="36">
        <f t="shared" si="2"/>
        <v>29.784</v>
      </c>
      <c r="L117" s="8">
        <f t="shared" si="3"/>
        <v>0.3016933333</v>
      </c>
      <c r="M117" s="8">
        <f t="shared" si="4"/>
        <v>0.090508</v>
      </c>
      <c r="N117" s="8">
        <f t="shared" si="5"/>
        <v>0.0181016</v>
      </c>
      <c r="O117" s="8">
        <f t="shared" si="6"/>
        <v>0.059568</v>
      </c>
      <c r="P117" s="8">
        <f t="shared" si="7"/>
        <v>0.089352</v>
      </c>
      <c r="Q117" s="8">
        <f t="shared" si="8"/>
        <v>0.029784</v>
      </c>
      <c r="R117" s="53"/>
      <c r="S117" s="53"/>
      <c r="T117" s="53"/>
      <c r="U117" s="53"/>
      <c r="V117" s="53"/>
      <c r="W117" s="53"/>
      <c r="X117" s="53"/>
      <c r="Y117" s="53"/>
      <c r="Z117" s="17"/>
    </row>
    <row r="118" ht="34.5" customHeight="1">
      <c r="A118" s="54" t="s">
        <v>150</v>
      </c>
      <c r="B118" s="34" t="s">
        <v>151</v>
      </c>
      <c r="C118" s="34" t="s">
        <v>151</v>
      </c>
      <c r="D118" s="34" t="s">
        <v>157</v>
      </c>
      <c r="E118" s="34">
        <v>47.0</v>
      </c>
      <c r="F118" s="35">
        <v>9.62</v>
      </c>
      <c r="G118" s="34">
        <v>2.0</v>
      </c>
      <c r="H118" s="35">
        <v>80.91</v>
      </c>
      <c r="I118" s="35">
        <v>100.0</v>
      </c>
      <c r="J118" s="36">
        <f t="shared" si="1"/>
        <v>46.72646</v>
      </c>
      <c r="K118" s="36">
        <f t="shared" si="2"/>
        <v>42.4786</v>
      </c>
      <c r="L118" s="8">
        <f t="shared" si="3"/>
        <v>0.4302817093</v>
      </c>
      <c r="M118" s="8">
        <f t="shared" si="4"/>
        <v>0.1290845128</v>
      </c>
      <c r="N118" s="8">
        <f t="shared" si="5"/>
        <v>0.02581690256</v>
      </c>
      <c r="O118" s="8">
        <f t="shared" si="6"/>
        <v>0.0849572</v>
      </c>
      <c r="P118" s="8">
        <f t="shared" si="7"/>
        <v>0.1274358</v>
      </c>
      <c r="Q118" s="8">
        <f t="shared" si="8"/>
        <v>0.0424786</v>
      </c>
      <c r="R118" s="53"/>
      <c r="S118" s="53"/>
      <c r="T118" s="53"/>
      <c r="U118" s="53"/>
      <c r="V118" s="53"/>
      <c r="W118" s="53"/>
      <c r="X118" s="53"/>
      <c r="Y118" s="53"/>
      <c r="Z118" s="17"/>
    </row>
    <row r="119" ht="34.5" customHeight="1">
      <c r="A119" s="54" t="s">
        <v>150</v>
      </c>
      <c r="B119" s="34" t="s">
        <v>151</v>
      </c>
      <c r="C119" s="34" t="s">
        <v>151</v>
      </c>
      <c r="D119" s="34" t="s">
        <v>158</v>
      </c>
      <c r="E119" s="34">
        <v>147.0</v>
      </c>
      <c r="F119" s="35">
        <v>16.16</v>
      </c>
      <c r="G119" s="34">
        <v>4.0</v>
      </c>
      <c r="H119" s="35">
        <v>83.17</v>
      </c>
      <c r="I119" s="35">
        <v>100.0</v>
      </c>
      <c r="J119" s="36">
        <f t="shared" si="1"/>
        <v>135.56928</v>
      </c>
      <c r="K119" s="36">
        <f t="shared" si="2"/>
        <v>123.2448</v>
      </c>
      <c r="L119" s="8">
        <f t="shared" si="3"/>
        <v>1.248392913</v>
      </c>
      <c r="M119" s="8">
        <f t="shared" si="4"/>
        <v>0.374517874</v>
      </c>
      <c r="N119" s="8">
        <f t="shared" si="5"/>
        <v>0.07490357479</v>
      </c>
      <c r="O119" s="8">
        <f t="shared" si="6"/>
        <v>0.2464896</v>
      </c>
      <c r="P119" s="8">
        <f t="shared" si="7"/>
        <v>0.3697344</v>
      </c>
      <c r="Q119" s="8">
        <f t="shared" si="8"/>
        <v>0.1232448</v>
      </c>
      <c r="R119" s="53"/>
      <c r="S119" s="53"/>
      <c r="T119" s="53"/>
      <c r="U119" s="53"/>
      <c r="V119" s="53"/>
      <c r="W119" s="53"/>
      <c r="X119" s="53"/>
      <c r="Y119" s="53"/>
      <c r="Z119" s="17"/>
    </row>
    <row r="120" ht="34.5" customHeight="1">
      <c r="A120" s="54" t="s">
        <v>150</v>
      </c>
      <c r="B120" s="34" t="s">
        <v>151</v>
      </c>
      <c r="C120" s="34" t="s">
        <v>151</v>
      </c>
      <c r="D120" s="34" t="s">
        <v>159</v>
      </c>
      <c r="E120" s="34">
        <v>124.0</v>
      </c>
      <c r="F120" s="35">
        <v>21.27</v>
      </c>
      <c r="G120" s="34">
        <v>4.0</v>
      </c>
      <c r="H120" s="35">
        <v>100.0</v>
      </c>
      <c r="I120" s="35">
        <v>100.0</v>
      </c>
      <c r="J120" s="36">
        <f t="shared" si="1"/>
        <v>107.38772</v>
      </c>
      <c r="K120" s="36">
        <f t="shared" si="2"/>
        <v>97.6252</v>
      </c>
      <c r="L120" s="8">
        <f t="shared" si="3"/>
        <v>0.9888823531</v>
      </c>
      <c r="M120" s="8">
        <f t="shared" si="4"/>
        <v>0.2966647059</v>
      </c>
      <c r="N120" s="8">
        <f t="shared" si="5"/>
        <v>0.05933294119</v>
      </c>
      <c r="O120" s="8">
        <f t="shared" si="6"/>
        <v>0.1952504</v>
      </c>
      <c r="P120" s="8">
        <f t="shared" si="7"/>
        <v>0.2928756</v>
      </c>
      <c r="Q120" s="8">
        <f t="shared" si="8"/>
        <v>0.0976252</v>
      </c>
      <c r="R120" s="53"/>
      <c r="S120" s="53"/>
      <c r="T120" s="53"/>
      <c r="U120" s="53"/>
      <c r="V120" s="53"/>
      <c r="W120" s="53"/>
      <c r="X120" s="53"/>
      <c r="Y120" s="53"/>
      <c r="Z120" s="17"/>
    </row>
    <row r="121" ht="34.5" customHeight="1">
      <c r="A121" s="54" t="s">
        <v>150</v>
      </c>
      <c r="B121" s="34" t="s">
        <v>151</v>
      </c>
      <c r="C121" s="34" t="s">
        <v>151</v>
      </c>
      <c r="D121" s="34" t="s">
        <v>160</v>
      </c>
      <c r="E121" s="34">
        <v>789.0</v>
      </c>
      <c r="F121" s="35">
        <v>35.81</v>
      </c>
      <c r="G121" s="34">
        <v>12.0</v>
      </c>
      <c r="H121" s="35">
        <v>60.5</v>
      </c>
      <c r="I121" s="35">
        <v>68.17</v>
      </c>
      <c r="J121" s="36">
        <f t="shared" si="1"/>
        <v>557.10501</v>
      </c>
      <c r="K121" s="36">
        <f t="shared" si="2"/>
        <v>506.4591</v>
      </c>
      <c r="L121" s="8">
        <f t="shared" si="3"/>
        <v>5.130114628</v>
      </c>
      <c r="M121" s="8">
        <f t="shared" si="4"/>
        <v>1.539034388</v>
      </c>
      <c r="N121" s="8">
        <f t="shared" si="5"/>
        <v>0.3078068777</v>
      </c>
      <c r="O121" s="8">
        <f t="shared" si="6"/>
        <v>1.0129182</v>
      </c>
      <c r="P121" s="8">
        <f t="shared" si="7"/>
        <v>1.5193773</v>
      </c>
      <c r="Q121" s="8">
        <f t="shared" si="8"/>
        <v>0.5064591</v>
      </c>
      <c r="R121" s="53"/>
      <c r="S121" s="53"/>
      <c r="T121" s="53"/>
      <c r="U121" s="53"/>
      <c r="V121" s="53"/>
      <c r="W121" s="53"/>
      <c r="X121" s="53"/>
      <c r="Y121" s="53"/>
      <c r="Z121" s="17"/>
    </row>
    <row r="122" ht="34.5" customHeight="1">
      <c r="A122" s="54" t="s">
        <v>150</v>
      </c>
      <c r="B122" s="34" t="s">
        <v>151</v>
      </c>
      <c r="C122" s="34" t="s">
        <v>151</v>
      </c>
      <c r="D122" s="34" t="s">
        <v>161</v>
      </c>
      <c r="E122" s="34">
        <v>31.0</v>
      </c>
      <c r="F122" s="35">
        <v>7.16</v>
      </c>
      <c r="G122" s="34">
        <v>1.0</v>
      </c>
      <c r="H122" s="35">
        <v>0.0</v>
      </c>
      <c r="I122" s="35">
        <v>100.0</v>
      </c>
      <c r="J122" s="36">
        <f t="shared" si="1"/>
        <v>31.65844</v>
      </c>
      <c r="K122" s="36">
        <f t="shared" si="2"/>
        <v>28.7804</v>
      </c>
      <c r="L122" s="8">
        <f t="shared" si="3"/>
        <v>0.2915274916</v>
      </c>
      <c r="M122" s="8">
        <f t="shared" si="4"/>
        <v>0.08745824749</v>
      </c>
      <c r="N122" s="8">
        <f t="shared" si="5"/>
        <v>0.0174916495</v>
      </c>
      <c r="O122" s="8">
        <f t="shared" si="6"/>
        <v>0.0575608</v>
      </c>
      <c r="P122" s="8">
        <f t="shared" si="7"/>
        <v>0.0863412</v>
      </c>
      <c r="Q122" s="8">
        <f t="shared" si="8"/>
        <v>0.0287804</v>
      </c>
      <c r="R122" s="53"/>
      <c r="S122" s="53"/>
      <c r="T122" s="53"/>
      <c r="U122" s="53"/>
      <c r="V122" s="53"/>
      <c r="W122" s="53"/>
      <c r="X122" s="53"/>
      <c r="Y122" s="53"/>
      <c r="Z122" s="17"/>
    </row>
    <row r="123" ht="34.5" customHeight="1">
      <c r="A123" s="54" t="s">
        <v>150</v>
      </c>
      <c r="B123" s="34" t="s">
        <v>151</v>
      </c>
      <c r="C123" s="34" t="s">
        <v>151</v>
      </c>
      <c r="D123" s="34" t="s">
        <v>162</v>
      </c>
      <c r="E123" s="34">
        <v>185.0</v>
      </c>
      <c r="F123" s="35">
        <v>26.45</v>
      </c>
      <c r="G123" s="34">
        <v>4.0</v>
      </c>
      <c r="H123" s="35">
        <v>80.41</v>
      </c>
      <c r="I123" s="35">
        <v>80.41</v>
      </c>
      <c r="J123" s="36">
        <f t="shared" si="1"/>
        <v>149.67425</v>
      </c>
      <c r="K123" s="36">
        <f t="shared" si="2"/>
        <v>136.0675</v>
      </c>
      <c r="L123" s="8">
        <f t="shared" si="3"/>
        <v>1.378278862</v>
      </c>
      <c r="M123" s="8">
        <f t="shared" si="4"/>
        <v>0.4134836587</v>
      </c>
      <c r="N123" s="8">
        <f t="shared" si="5"/>
        <v>0.08269673174</v>
      </c>
      <c r="O123" s="8">
        <f t="shared" si="6"/>
        <v>0.272135</v>
      </c>
      <c r="P123" s="8">
        <f t="shared" si="7"/>
        <v>0.4082025</v>
      </c>
      <c r="Q123" s="8">
        <f t="shared" si="8"/>
        <v>0.1360675</v>
      </c>
      <c r="R123" s="53"/>
      <c r="S123" s="53"/>
      <c r="T123" s="53"/>
      <c r="U123" s="53"/>
      <c r="V123" s="53"/>
      <c r="W123" s="53"/>
      <c r="X123" s="53"/>
      <c r="Y123" s="53"/>
      <c r="Z123" s="17"/>
    </row>
    <row r="124" ht="34.5" customHeight="1">
      <c r="A124" s="54" t="s">
        <v>150</v>
      </c>
      <c r="B124" s="34" t="s">
        <v>151</v>
      </c>
      <c r="C124" s="34" t="s">
        <v>151</v>
      </c>
      <c r="D124" s="34" t="s">
        <v>163</v>
      </c>
      <c r="E124" s="34">
        <v>27.0</v>
      </c>
      <c r="F124" s="35">
        <v>7.51</v>
      </c>
      <c r="G124" s="34">
        <v>1.0</v>
      </c>
      <c r="H124" s="35">
        <v>100.0</v>
      </c>
      <c r="I124" s="35">
        <v>100.0</v>
      </c>
      <c r="J124" s="36">
        <f t="shared" si="1"/>
        <v>27.46953</v>
      </c>
      <c r="K124" s="36">
        <f t="shared" si="2"/>
        <v>24.9723</v>
      </c>
      <c r="L124" s="8">
        <f t="shared" si="3"/>
        <v>0.2529538151</v>
      </c>
      <c r="M124" s="8">
        <f t="shared" si="4"/>
        <v>0.07588614452</v>
      </c>
      <c r="N124" s="8">
        <f t="shared" si="5"/>
        <v>0.0151772289</v>
      </c>
      <c r="O124" s="8">
        <f t="shared" si="6"/>
        <v>0.0499446</v>
      </c>
      <c r="P124" s="8">
        <f t="shared" si="7"/>
        <v>0.0749169</v>
      </c>
      <c r="Q124" s="8">
        <f t="shared" si="8"/>
        <v>0.0249723</v>
      </c>
      <c r="R124" s="53"/>
      <c r="S124" s="53"/>
      <c r="T124" s="53"/>
      <c r="U124" s="53"/>
      <c r="V124" s="53"/>
      <c r="W124" s="53"/>
      <c r="X124" s="53"/>
      <c r="Y124" s="53"/>
      <c r="Z124" s="17"/>
    </row>
    <row r="125" ht="34.5" customHeight="1">
      <c r="A125" s="54" t="s">
        <v>150</v>
      </c>
      <c r="B125" s="34" t="s">
        <v>151</v>
      </c>
      <c r="C125" s="34" t="s">
        <v>151</v>
      </c>
      <c r="D125" s="34" t="s">
        <v>164</v>
      </c>
      <c r="E125" s="34">
        <v>539.0</v>
      </c>
      <c r="F125" s="35">
        <v>31.83</v>
      </c>
      <c r="G125" s="34">
        <v>12.0</v>
      </c>
      <c r="H125" s="35">
        <v>66.51</v>
      </c>
      <c r="I125" s="35">
        <v>94.78</v>
      </c>
      <c r="J125" s="36">
        <f t="shared" si="1"/>
        <v>404.17993</v>
      </c>
      <c r="K125" s="36">
        <f t="shared" si="2"/>
        <v>367.4363</v>
      </c>
      <c r="L125" s="8">
        <f t="shared" si="3"/>
        <v>3.721900421</v>
      </c>
      <c r="M125" s="8">
        <f t="shared" si="4"/>
        <v>1.116570126</v>
      </c>
      <c r="N125" s="8">
        <f t="shared" si="5"/>
        <v>0.2233140253</v>
      </c>
      <c r="O125" s="8">
        <f t="shared" si="6"/>
        <v>0.7348726</v>
      </c>
      <c r="P125" s="8">
        <f t="shared" si="7"/>
        <v>1.1023089</v>
      </c>
      <c r="Q125" s="8">
        <f t="shared" si="8"/>
        <v>0.3674363</v>
      </c>
      <c r="R125" s="53"/>
      <c r="S125" s="53"/>
      <c r="T125" s="53"/>
      <c r="U125" s="53"/>
      <c r="V125" s="53"/>
      <c r="W125" s="53"/>
      <c r="X125" s="53"/>
      <c r="Y125" s="53"/>
      <c r="Z125" s="17"/>
    </row>
    <row r="126" ht="34.5" customHeight="1">
      <c r="A126" s="54" t="s">
        <v>150</v>
      </c>
      <c r="B126" s="34" t="s">
        <v>151</v>
      </c>
      <c r="C126" s="34" t="s">
        <v>151</v>
      </c>
      <c r="D126" s="34" t="s">
        <v>165</v>
      </c>
      <c r="E126" s="34">
        <v>181.0</v>
      </c>
      <c r="F126" s="35">
        <v>19.73</v>
      </c>
      <c r="G126" s="34">
        <v>7.0</v>
      </c>
      <c r="H126" s="35">
        <v>27.07</v>
      </c>
      <c r="I126" s="35">
        <v>27.07</v>
      </c>
      <c r="J126" s="36">
        <f t="shared" si="1"/>
        <v>159.81757</v>
      </c>
      <c r="K126" s="36">
        <f t="shared" si="2"/>
        <v>145.2887</v>
      </c>
      <c r="L126" s="8">
        <f t="shared" si="3"/>
        <v>1.471683864</v>
      </c>
      <c r="M126" s="8">
        <f t="shared" si="4"/>
        <v>0.4415051591</v>
      </c>
      <c r="N126" s="8">
        <f t="shared" si="5"/>
        <v>0.08830103183</v>
      </c>
      <c r="O126" s="8">
        <f t="shared" si="6"/>
        <v>0.2905774</v>
      </c>
      <c r="P126" s="8">
        <f t="shared" si="7"/>
        <v>0.4358661</v>
      </c>
      <c r="Q126" s="8">
        <f t="shared" si="8"/>
        <v>0.1452887</v>
      </c>
      <c r="R126" s="53"/>
      <c r="S126" s="53"/>
      <c r="T126" s="53"/>
      <c r="U126" s="53"/>
      <c r="V126" s="53"/>
      <c r="W126" s="53"/>
      <c r="X126" s="53"/>
      <c r="Y126" s="53"/>
      <c r="Z126" s="17"/>
    </row>
    <row r="127" ht="34.5" customHeight="1">
      <c r="A127" s="54" t="s">
        <v>150</v>
      </c>
      <c r="B127" s="34" t="s">
        <v>151</v>
      </c>
      <c r="C127" s="34" t="s">
        <v>151</v>
      </c>
      <c r="D127" s="34" t="s">
        <v>166</v>
      </c>
      <c r="E127" s="34">
        <v>155.0</v>
      </c>
      <c r="F127" s="35">
        <v>26.27</v>
      </c>
      <c r="G127" s="34">
        <v>4.0</v>
      </c>
      <c r="H127" s="35">
        <v>75.9</v>
      </c>
      <c r="I127" s="35">
        <v>97.9</v>
      </c>
      <c r="J127" s="36">
        <f t="shared" si="1"/>
        <v>125.70965</v>
      </c>
      <c r="K127" s="36">
        <f t="shared" si="2"/>
        <v>114.2815</v>
      </c>
      <c r="L127" s="8">
        <f t="shared" si="3"/>
        <v>1.157600278</v>
      </c>
      <c r="M127" s="8">
        <f t="shared" si="4"/>
        <v>0.3472800833</v>
      </c>
      <c r="N127" s="8">
        <f t="shared" si="5"/>
        <v>0.06945601667</v>
      </c>
      <c r="O127" s="8">
        <f t="shared" si="6"/>
        <v>0.228563</v>
      </c>
      <c r="P127" s="8">
        <f t="shared" si="7"/>
        <v>0.3428445</v>
      </c>
      <c r="Q127" s="8">
        <f t="shared" si="8"/>
        <v>0.1142815</v>
      </c>
      <c r="R127" s="53"/>
      <c r="S127" s="53"/>
      <c r="T127" s="53"/>
      <c r="U127" s="53"/>
      <c r="V127" s="53"/>
      <c r="W127" s="53"/>
      <c r="X127" s="53"/>
      <c r="Y127" s="53"/>
      <c r="Z127" s="17"/>
    </row>
    <row r="128" ht="34.5" customHeight="1">
      <c r="A128" s="54" t="s">
        <v>150</v>
      </c>
      <c r="B128" s="34" t="s">
        <v>151</v>
      </c>
      <c r="C128" s="34" t="s">
        <v>151</v>
      </c>
      <c r="D128" s="34" t="s">
        <v>167</v>
      </c>
      <c r="E128" s="34">
        <v>38.0</v>
      </c>
      <c r="F128" s="35">
        <v>12.47</v>
      </c>
      <c r="G128" s="34">
        <v>2.0</v>
      </c>
      <c r="H128" s="35">
        <v>100.0</v>
      </c>
      <c r="I128" s="35">
        <v>100.0</v>
      </c>
      <c r="J128" s="36">
        <f t="shared" si="1"/>
        <v>36.58754</v>
      </c>
      <c r="K128" s="36">
        <f t="shared" si="2"/>
        <v>33.2614</v>
      </c>
      <c r="L128" s="8">
        <f t="shared" si="3"/>
        <v>0.3369172253</v>
      </c>
      <c r="M128" s="8">
        <f t="shared" si="4"/>
        <v>0.1010751676</v>
      </c>
      <c r="N128" s="8">
        <f t="shared" si="5"/>
        <v>0.02021503352</v>
      </c>
      <c r="O128" s="8">
        <f t="shared" si="6"/>
        <v>0.0665228</v>
      </c>
      <c r="P128" s="8">
        <f t="shared" si="7"/>
        <v>0.0997842</v>
      </c>
      <c r="Q128" s="8">
        <f t="shared" si="8"/>
        <v>0.0332614</v>
      </c>
      <c r="R128" s="53"/>
      <c r="S128" s="53"/>
      <c r="T128" s="53"/>
      <c r="U128" s="53"/>
      <c r="V128" s="53"/>
      <c r="W128" s="53"/>
      <c r="X128" s="53"/>
      <c r="Y128" s="53"/>
      <c r="Z128" s="17"/>
    </row>
    <row r="129" ht="34.5" customHeight="1">
      <c r="A129" s="54" t="s">
        <v>150</v>
      </c>
      <c r="B129" s="34" t="s">
        <v>151</v>
      </c>
      <c r="C129" s="34" t="s">
        <v>151</v>
      </c>
      <c r="D129" s="34" t="s">
        <v>168</v>
      </c>
      <c r="E129" s="34">
        <v>77.0</v>
      </c>
      <c r="F129" s="35">
        <v>13.22</v>
      </c>
      <c r="G129" s="34">
        <v>2.0</v>
      </c>
      <c r="H129" s="35">
        <v>35.86</v>
      </c>
      <c r="I129" s="35">
        <v>67.04</v>
      </c>
      <c r="J129" s="36">
        <f t="shared" si="1"/>
        <v>73.50266</v>
      </c>
      <c r="K129" s="36">
        <f t="shared" si="2"/>
        <v>66.8206</v>
      </c>
      <c r="L129" s="8">
        <f t="shared" si="3"/>
        <v>0.6768509787</v>
      </c>
      <c r="M129" s="8">
        <f t="shared" si="4"/>
        <v>0.2030552936</v>
      </c>
      <c r="N129" s="8">
        <f t="shared" si="5"/>
        <v>0.04061105872</v>
      </c>
      <c r="O129" s="8">
        <f t="shared" si="6"/>
        <v>0.1336412</v>
      </c>
      <c r="P129" s="8">
        <f t="shared" si="7"/>
        <v>0.2004618</v>
      </c>
      <c r="Q129" s="8">
        <f t="shared" si="8"/>
        <v>0.0668206</v>
      </c>
      <c r="R129" s="53"/>
      <c r="S129" s="53"/>
      <c r="T129" s="53"/>
      <c r="U129" s="53"/>
      <c r="V129" s="53"/>
      <c r="W129" s="53"/>
      <c r="X129" s="53"/>
      <c r="Y129" s="53"/>
      <c r="Z129" s="17"/>
    </row>
    <row r="130" ht="34.5" customHeight="1">
      <c r="A130" s="54" t="s">
        <v>150</v>
      </c>
      <c r="B130" s="34" t="s">
        <v>151</v>
      </c>
      <c r="C130" s="34" t="s">
        <v>169</v>
      </c>
      <c r="D130" s="34" t="s">
        <v>170</v>
      </c>
      <c r="E130" s="34">
        <v>373.0</v>
      </c>
      <c r="F130" s="35">
        <v>15.65</v>
      </c>
      <c r="G130" s="34">
        <v>4.0</v>
      </c>
      <c r="H130" s="35">
        <v>19.57</v>
      </c>
      <c r="I130" s="35">
        <v>31.05</v>
      </c>
      <c r="J130" s="36">
        <f t="shared" si="1"/>
        <v>346.08805</v>
      </c>
      <c r="K130" s="36">
        <f t="shared" si="2"/>
        <v>314.6255</v>
      </c>
      <c r="L130" s="8">
        <f t="shared" si="3"/>
        <v>3.186959973</v>
      </c>
      <c r="M130" s="8">
        <f t="shared" si="4"/>
        <v>0.956087992</v>
      </c>
      <c r="N130" s="8">
        <f t="shared" si="5"/>
        <v>0.1912175984</v>
      </c>
      <c r="O130" s="8">
        <f t="shared" si="6"/>
        <v>0.629251</v>
      </c>
      <c r="P130" s="8">
        <f t="shared" si="7"/>
        <v>0.9438765</v>
      </c>
      <c r="Q130" s="8">
        <f t="shared" si="8"/>
        <v>0.3146255</v>
      </c>
      <c r="R130" s="53"/>
      <c r="S130" s="53"/>
      <c r="T130" s="53"/>
      <c r="U130" s="53"/>
      <c r="V130" s="53"/>
      <c r="W130" s="53"/>
      <c r="X130" s="53"/>
      <c r="Y130" s="53"/>
      <c r="Z130" s="17"/>
    </row>
    <row r="131" ht="34.5" customHeight="1">
      <c r="A131" s="54" t="s">
        <v>150</v>
      </c>
      <c r="B131" s="34" t="s">
        <v>151</v>
      </c>
      <c r="C131" s="34" t="s">
        <v>169</v>
      </c>
      <c r="D131" s="34" t="s">
        <v>171</v>
      </c>
      <c r="E131" s="34">
        <v>275.0</v>
      </c>
      <c r="F131" s="35">
        <v>25.33</v>
      </c>
      <c r="G131" s="34">
        <v>3.0</v>
      </c>
      <c r="H131" s="35">
        <v>19.1</v>
      </c>
      <c r="I131" s="35">
        <v>49.49</v>
      </c>
      <c r="J131" s="36">
        <f t="shared" si="1"/>
        <v>225.87675</v>
      </c>
      <c r="K131" s="36">
        <f t="shared" si="2"/>
        <v>205.3425</v>
      </c>
      <c r="L131" s="8">
        <f t="shared" si="3"/>
        <v>2.079991381</v>
      </c>
      <c r="M131" s="8">
        <f t="shared" si="4"/>
        <v>0.6239974144</v>
      </c>
      <c r="N131" s="8">
        <f t="shared" si="5"/>
        <v>0.1247994829</v>
      </c>
      <c r="O131" s="8">
        <f t="shared" si="6"/>
        <v>0.410685</v>
      </c>
      <c r="P131" s="8">
        <f t="shared" si="7"/>
        <v>0.6160275</v>
      </c>
      <c r="Q131" s="8">
        <f t="shared" si="8"/>
        <v>0.2053425</v>
      </c>
      <c r="R131" s="53"/>
      <c r="S131" s="53"/>
      <c r="T131" s="53"/>
      <c r="U131" s="53"/>
      <c r="V131" s="53"/>
      <c r="W131" s="53"/>
      <c r="X131" s="53"/>
      <c r="Y131" s="53"/>
      <c r="Z131" s="17"/>
    </row>
    <row r="132" ht="34.5" customHeight="1">
      <c r="A132" s="54" t="s">
        <v>150</v>
      </c>
      <c r="B132" s="34" t="s">
        <v>151</v>
      </c>
      <c r="C132" s="34" t="s">
        <v>169</v>
      </c>
      <c r="D132" s="34" t="s">
        <v>172</v>
      </c>
      <c r="E132" s="34">
        <v>122.0</v>
      </c>
      <c r="F132" s="35">
        <v>16.68</v>
      </c>
      <c r="G132" s="34">
        <v>3.0</v>
      </c>
      <c r="H132" s="35">
        <v>0.0</v>
      </c>
      <c r="I132" s="35">
        <v>24.33</v>
      </c>
      <c r="J132" s="36">
        <f t="shared" si="1"/>
        <v>111.81544</v>
      </c>
      <c r="K132" s="36">
        <f t="shared" si="2"/>
        <v>101.6504</v>
      </c>
      <c r="L132" s="8">
        <f t="shared" si="3"/>
        <v>1.029655117</v>
      </c>
      <c r="M132" s="8">
        <f t="shared" si="4"/>
        <v>0.3088965352</v>
      </c>
      <c r="N132" s="8">
        <f t="shared" si="5"/>
        <v>0.06177930703</v>
      </c>
      <c r="O132" s="8">
        <f t="shared" si="6"/>
        <v>0.2033008</v>
      </c>
      <c r="P132" s="8">
        <f t="shared" si="7"/>
        <v>0.3049512</v>
      </c>
      <c r="Q132" s="8">
        <f t="shared" si="8"/>
        <v>0.1016504</v>
      </c>
      <c r="R132" s="53"/>
      <c r="S132" s="53"/>
      <c r="T132" s="53"/>
      <c r="U132" s="53"/>
      <c r="V132" s="53"/>
      <c r="W132" s="53"/>
      <c r="X132" s="53"/>
      <c r="Y132" s="53"/>
      <c r="Z132" s="17"/>
    </row>
    <row r="133" ht="34.5" customHeight="1">
      <c r="A133" s="54" t="s">
        <v>150</v>
      </c>
      <c r="B133" s="34" t="s">
        <v>151</v>
      </c>
      <c r="C133" s="34" t="s">
        <v>169</v>
      </c>
      <c r="D133" s="34" t="s">
        <v>173</v>
      </c>
      <c r="E133" s="34">
        <v>58.0</v>
      </c>
      <c r="F133" s="35">
        <v>11.04</v>
      </c>
      <c r="G133" s="34">
        <v>2.0</v>
      </c>
      <c r="H133" s="35">
        <v>100.0</v>
      </c>
      <c r="I133" s="35">
        <v>100.0</v>
      </c>
      <c r="J133" s="36">
        <f t="shared" si="1"/>
        <v>56.75648</v>
      </c>
      <c r="K133" s="36">
        <f t="shared" si="2"/>
        <v>51.5968</v>
      </c>
      <c r="L133" s="8">
        <f t="shared" si="3"/>
        <v>0.5226433851</v>
      </c>
      <c r="M133" s="8">
        <f t="shared" si="4"/>
        <v>0.1567930155</v>
      </c>
      <c r="N133" s="8">
        <f t="shared" si="5"/>
        <v>0.03135860311</v>
      </c>
      <c r="O133" s="8">
        <f t="shared" si="6"/>
        <v>0.1031936</v>
      </c>
      <c r="P133" s="8">
        <f t="shared" si="7"/>
        <v>0.1547904</v>
      </c>
      <c r="Q133" s="8">
        <f t="shared" si="8"/>
        <v>0.0515968</v>
      </c>
      <c r="R133" s="53"/>
      <c r="S133" s="53"/>
      <c r="T133" s="53"/>
      <c r="U133" s="53"/>
      <c r="V133" s="53"/>
      <c r="W133" s="53"/>
      <c r="X133" s="53"/>
      <c r="Y133" s="53"/>
      <c r="Z133" s="17"/>
    </row>
    <row r="134" ht="34.5" customHeight="1">
      <c r="A134" s="54" t="s">
        <v>150</v>
      </c>
      <c r="B134" s="34" t="s">
        <v>151</v>
      </c>
      <c r="C134" s="34" t="s">
        <v>169</v>
      </c>
      <c r="D134" s="34" t="s">
        <v>174</v>
      </c>
      <c r="E134" s="34">
        <v>273.0</v>
      </c>
      <c r="F134" s="35">
        <v>16.83</v>
      </c>
      <c r="G134" s="34">
        <v>4.0</v>
      </c>
      <c r="H134" s="35">
        <v>28.28</v>
      </c>
      <c r="I134" s="35">
        <v>49.79</v>
      </c>
      <c r="J134" s="36">
        <f t="shared" si="1"/>
        <v>249.75951</v>
      </c>
      <c r="K134" s="36">
        <f t="shared" si="2"/>
        <v>227.0541</v>
      </c>
      <c r="L134" s="8">
        <f t="shared" si="3"/>
        <v>2.29991634</v>
      </c>
      <c r="M134" s="8">
        <f t="shared" si="4"/>
        <v>0.6899749021</v>
      </c>
      <c r="N134" s="8">
        <f t="shared" si="5"/>
        <v>0.1379949804</v>
      </c>
      <c r="O134" s="8">
        <f t="shared" si="6"/>
        <v>0.4541082</v>
      </c>
      <c r="P134" s="8">
        <f t="shared" si="7"/>
        <v>0.6811623</v>
      </c>
      <c r="Q134" s="8">
        <f t="shared" si="8"/>
        <v>0.2270541</v>
      </c>
      <c r="R134" s="53"/>
      <c r="S134" s="53"/>
      <c r="T134" s="53"/>
      <c r="U134" s="53"/>
      <c r="V134" s="53"/>
      <c r="W134" s="53"/>
      <c r="X134" s="53"/>
      <c r="Y134" s="53"/>
      <c r="Z134" s="17"/>
    </row>
    <row r="135" ht="34.5" customHeight="1">
      <c r="A135" s="54" t="s">
        <v>150</v>
      </c>
      <c r="B135" s="34" t="s">
        <v>151</v>
      </c>
      <c r="C135" s="34" t="s">
        <v>169</v>
      </c>
      <c r="D135" s="34" t="s">
        <v>175</v>
      </c>
      <c r="E135" s="34">
        <v>285.0</v>
      </c>
      <c r="F135" s="35">
        <v>15.88</v>
      </c>
      <c r="G135" s="34">
        <v>4.0</v>
      </c>
      <c r="H135" s="35">
        <v>25.26</v>
      </c>
      <c r="I135" s="35">
        <v>47.23</v>
      </c>
      <c r="J135" s="36">
        <f t="shared" si="1"/>
        <v>263.7162</v>
      </c>
      <c r="K135" s="36">
        <f t="shared" si="2"/>
        <v>239.742</v>
      </c>
      <c r="L135" s="8">
        <f t="shared" si="3"/>
        <v>2.428436849</v>
      </c>
      <c r="M135" s="8">
        <f t="shared" si="4"/>
        <v>0.7285310548</v>
      </c>
      <c r="N135" s="8">
        <f t="shared" si="5"/>
        <v>0.145706211</v>
      </c>
      <c r="O135" s="8">
        <f t="shared" si="6"/>
        <v>0.479484</v>
      </c>
      <c r="P135" s="8">
        <f t="shared" si="7"/>
        <v>0.719226</v>
      </c>
      <c r="Q135" s="8">
        <f t="shared" si="8"/>
        <v>0.239742</v>
      </c>
      <c r="R135" s="53"/>
      <c r="S135" s="53"/>
      <c r="T135" s="53"/>
      <c r="U135" s="53"/>
      <c r="V135" s="53"/>
      <c r="W135" s="53"/>
      <c r="X135" s="53"/>
      <c r="Y135" s="53"/>
      <c r="Z135" s="17"/>
    </row>
    <row r="136" ht="34.5" customHeight="1">
      <c r="A136" s="54" t="s">
        <v>150</v>
      </c>
      <c r="B136" s="34" t="s">
        <v>151</v>
      </c>
      <c r="C136" s="34" t="s">
        <v>169</v>
      </c>
      <c r="D136" s="34" t="s">
        <v>176</v>
      </c>
      <c r="E136" s="34">
        <v>227.0</v>
      </c>
      <c r="F136" s="35">
        <v>22.67</v>
      </c>
      <c r="G136" s="34">
        <v>4.0</v>
      </c>
      <c r="H136" s="35">
        <v>27.96</v>
      </c>
      <c r="I136" s="35">
        <v>82.68</v>
      </c>
      <c r="J136" s="36">
        <f t="shared" si="1"/>
        <v>193.09301</v>
      </c>
      <c r="K136" s="36">
        <f t="shared" si="2"/>
        <v>175.5391</v>
      </c>
      <c r="L136" s="8">
        <f t="shared" si="3"/>
        <v>1.778101538</v>
      </c>
      <c r="M136" s="8">
        <f t="shared" si="4"/>
        <v>0.5334304614</v>
      </c>
      <c r="N136" s="8">
        <f t="shared" si="5"/>
        <v>0.1066860923</v>
      </c>
      <c r="O136" s="8">
        <f t="shared" si="6"/>
        <v>0.3510782</v>
      </c>
      <c r="P136" s="8">
        <f t="shared" si="7"/>
        <v>0.5266173</v>
      </c>
      <c r="Q136" s="8">
        <f t="shared" si="8"/>
        <v>0.1755391</v>
      </c>
      <c r="R136" s="53"/>
      <c r="S136" s="53"/>
      <c r="T136" s="53"/>
      <c r="U136" s="53"/>
      <c r="V136" s="53"/>
      <c r="W136" s="53"/>
      <c r="X136" s="53"/>
      <c r="Y136" s="53"/>
      <c r="Z136" s="17"/>
    </row>
    <row r="137" ht="34.5" customHeight="1">
      <c r="A137" s="54" t="s">
        <v>150</v>
      </c>
      <c r="B137" s="34" t="s">
        <v>151</v>
      </c>
      <c r="C137" s="34" t="s">
        <v>169</v>
      </c>
      <c r="D137" s="34" t="s">
        <v>177</v>
      </c>
      <c r="E137" s="34">
        <v>46.0</v>
      </c>
      <c r="F137" s="35">
        <v>6.55</v>
      </c>
      <c r="G137" s="34">
        <v>1.0</v>
      </c>
      <c r="H137" s="35">
        <v>89.96</v>
      </c>
      <c r="I137" s="35">
        <v>89.96</v>
      </c>
      <c r="J137" s="36">
        <f t="shared" si="1"/>
        <v>47.2857</v>
      </c>
      <c r="K137" s="36">
        <f t="shared" si="2"/>
        <v>42.987</v>
      </c>
      <c r="L137" s="8">
        <f t="shared" si="3"/>
        <v>0.435431484</v>
      </c>
      <c r="M137" s="8">
        <f t="shared" si="4"/>
        <v>0.1306294452</v>
      </c>
      <c r="N137" s="8">
        <f t="shared" si="5"/>
        <v>0.02612588904</v>
      </c>
      <c r="O137" s="8">
        <f t="shared" si="6"/>
        <v>0.085974</v>
      </c>
      <c r="P137" s="8">
        <f t="shared" si="7"/>
        <v>0.128961</v>
      </c>
      <c r="Q137" s="8">
        <f t="shared" si="8"/>
        <v>0.042987</v>
      </c>
      <c r="R137" s="53"/>
      <c r="S137" s="53"/>
      <c r="T137" s="53"/>
      <c r="U137" s="53"/>
      <c r="V137" s="53"/>
      <c r="W137" s="53"/>
      <c r="X137" s="53"/>
      <c r="Y137" s="53"/>
      <c r="Z137" s="17"/>
    </row>
    <row r="138" ht="34.5" customHeight="1">
      <c r="A138" s="54" t="s">
        <v>150</v>
      </c>
      <c r="B138" s="34" t="s">
        <v>151</v>
      </c>
      <c r="C138" s="34" t="s">
        <v>169</v>
      </c>
      <c r="D138" s="34" t="s">
        <v>178</v>
      </c>
      <c r="E138" s="34">
        <v>187.0</v>
      </c>
      <c r="F138" s="35">
        <v>7.41</v>
      </c>
      <c r="G138" s="34">
        <v>3.0</v>
      </c>
      <c r="H138" s="35">
        <v>24.66</v>
      </c>
      <c r="I138" s="35">
        <v>46.1</v>
      </c>
      <c r="J138" s="36">
        <f t="shared" si="1"/>
        <v>190.45763</v>
      </c>
      <c r="K138" s="36">
        <f t="shared" si="2"/>
        <v>173.1433</v>
      </c>
      <c r="L138" s="8">
        <f t="shared" si="3"/>
        <v>1.753833579</v>
      </c>
      <c r="M138" s="8">
        <f t="shared" si="4"/>
        <v>0.5261500737</v>
      </c>
      <c r="N138" s="8">
        <f t="shared" si="5"/>
        <v>0.1052300147</v>
      </c>
      <c r="O138" s="8">
        <f t="shared" si="6"/>
        <v>0.3462866</v>
      </c>
      <c r="P138" s="8">
        <f t="shared" si="7"/>
        <v>0.5194299</v>
      </c>
      <c r="Q138" s="8">
        <f t="shared" si="8"/>
        <v>0.1731433</v>
      </c>
      <c r="R138" s="53"/>
      <c r="S138" s="53"/>
      <c r="T138" s="53"/>
      <c r="U138" s="53"/>
      <c r="V138" s="53"/>
      <c r="W138" s="53"/>
      <c r="X138" s="53"/>
      <c r="Y138" s="53"/>
      <c r="Z138" s="17"/>
    </row>
    <row r="139" ht="34.5" customHeight="1">
      <c r="A139" s="54" t="s">
        <v>150</v>
      </c>
      <c r="B139" s="34" t="s">
        <v>151</v>
      </c>
      <c r="C139" s="34" t="s">
        <v>169</v>
      </c>
      <c r="D139" s="34" t="s">
        <v>169</v>
      </c>
      <c r="E139" s="34">
        <v>1504.0</v>
      </c>
      <c r="F139" s="35">
        <v>19.99</v>
      </c>
      <c r="G139" s="34">
        <v>18.0</v>
      </c>
      <c r="H139" s="35">
        <v>22.96</v>
      </c>
      <c r="I139" s="35">
        <v>45.64</v>
      </c>
      <c r="J139" s="36">
        <f t="shared" si="1"/>
        <v>1323.68544</v>
      </c>
      <c r="K139" s="36">
        <f t="shared" si="2"/>
        <v>1203.3504</v>
      </c>
      <c r="L139" s="8">
        <f t="shared" si="3"/>
        <v>12.1891886</v>
      </c>
      <c r="M139" s="8">
        <f t="shared" si="4"/>
        <v>3.656756581</v>
      </c>
      <c r="N139" s="8">
        <f t="shared" si="5"/>
        <v>0.7313513162</v>
      </c>
      <c r="O139" s="8">
        <f t="shared" si="6"/>
        <v>2.4067008</v>
      </c>
      <c r="P139" s="8">
        <f t="shared" si="7"/>
        <v>3.6100512</v>
      </c>
      <c r="Q139" s="8">
        <f t="shared" si="8"/>
        <v>1.2033504</v>
      </c>
      <c r="R139" s="53"/>
      <c r="S139" s="53"/>
      <c r="T139" s="53"/>
      <c r="U139" s="53"/>
      <c r="V139" s="53"/>
      <c r="W139" s="53"/>
      <c r="X139" s="53"/>
      <c r="Y139" s="53"/>
      <c r="Z139" s="17"/>
    </row>
    <row r="140" ht="34.5" customHeight="1">
      <c r="A140" s="54" t="s">
        <v>150</v>
      </c>
      <c r="B140" s="34" t="s">
        <v>151</v>
      </c>
      <c r="C140" s="34" t="s">
        <v>169</v>
      </c>
      <c r="D140" s="34" t="s">
        <v>179</v>
      </c>
      <c r="E140" s="34">
        <v>118.0</v>
      </c>
      <c r="F140" s="35">
        <v>10.98</v>
      </c>
      <c r="G140" s="34">
        <v>3.0</v>
      </c>
      <c r="H140" s="35">
        <v>80.18</v>
      </c>
      <c r="I140" s="35">
        <v>80.18</v>
      </c>
      <c r="J140" s="36">
        <f t="shared" si="1"/>
        <v>115.54796</v>
      </c>
      <c r="K140" s="36">
        <f t="shared" si="2"/>
        <v>105.0436</v>
      </c>
      <c r="L140" s="8">
        <f t="shared" si="3"/>
        <v>1.064026116</v>
      </c>
      <c r="M140" s="8">
        <f t="shared" si="4"/>
        <v>0.3192078347</v>
      </c>
      <c r="N140" s="8">
        <f t="shared" si="5"/>
        <v>0.06384156694</v>
      </c>
      <c r="O140" s="8">
        <f t="shared" si="6"/>
        <v>0.2100872</v>
      </c>
      <c r="P140" s="8">
        <f t="shared" si="7"/>
        <v>0.3151308</v>
      </c>
      <c r="Q140" s="8">
        <f t="shared" si="8"/>
        <v>0.1050436</v>
      </c>
      <c r="R140" s="53"/>
      <c r="S140" s="53"/>
      <c r="T140" s="53"/>
      <c r="U140" s="53"/>
      <c r="V140" s="53"/>
      <c r="W140" s="53"/>
      <c r="X140" s="53"/>
      <c r="Y140" s="53"/>
      <c r="Z140" s="17"/>
    </row>
    <row r="141" ht="34.5" customHeight="1">
      <c r="A141" s="54" t="s">
        <v>150</v>
      </c>
      <c r="B141" s="34" t="s">
        <v>151</v>
      </c>
      <c r="C141" s="34" t="s">
        <v>169</v>
      </c>
      <c r="D141" s="34" t="s">
        <v>180</v>
      </c>
      <c r="E141" s="34">
        <v>82.0</v>
      </c>
      <c r="F141" s="35">
        <v>11.04</v>
      </c>
      <c r="G141" s="34">
        <v>2.0</v>
      </c>
      <c r="H141" s="35">
        <v>68.93</v>
      </c>
      <c r="I141" s="35">
        <v>100.0</v>
      </c>
      <c r="J141" s="36">
        <f t="shared" si="1"/>
        <v>80.24192</v>
      </c>
      <c r="K141" s="36">
        <f t="shared" si="2"/>
        <v>72.9472</v>
      </c>
      <c r="L141" s="8">
        <f t="shared" si="3"/>
        <v>0.7389096134</v>
      </c>
      <c r="M141" s="8">
        <f t="shared" si="4"/>
        <v>0.221672884</v>
      </c>
      <c r="N141" s="8">
        <f t="shared" si="5"/>
        <v>0.0443345768</v>
      </c>
      <c r="O141" s="8">
        <f t="shared" si="6"/>
        <v>0.1458944</v>
      </c>
      <c r="P141" s="8">
        <f t="shared" si="7"/>
        <v>0.2188416</v>
      </c>
      <c r="Q141" s="8">
        <f t="shared" si="8"/>
        <v>0.0729472</v>
      </c>
      <c r="R141" s="53"/>
      <c r="S141" s="53"/>
      <c r="T141" s="53"/>
      <c r="U141" s="53"/>
      <c r="V141" s="53"/>
      <c r="W141" s="53"/>
      <c r="X141" s="53"/>
      <c r="Y141" s="53"/>
      <c r="Z141" s="17"/>
    </row>
    <row r="142" ht="34.5" customHeight="1">
      <c r="A142" s="54" t="s">
        <v>150</v>
      </c>
      <c r="B142" s="34" t="s">
        <v>151</v>
      </c>
      <c r="C142" s="34" t="s">
        <v>181</v>
      </c>
      <c r="D142" s="34" t="s">
        <v>182</v>
      </c>
      <c r="E142" s="34">
        <v>180.0</v>
      </c>
      <c r="F142" s="35">
        <v>21.07</v>
      </c>
      <c r="G142" s="34">
        <v>7.0</v>
      </c>
      <c r="H142" s="35">
        <v>58.25</v>
      </c>
      <c r="I142" s="35">
        <v>100.0</v>
      </c>
      <c r="J142" s="36">
        <f t="shared" si="1"/>
        <v>156.2814</v>
      </c>
      <c r="K142" s="36">
        <f t="shared" si="2"/>
        <v>142.074</v>
      </c>
      <c r="L142" s="8">
        <f t="shared" si="3"/>
        <v>1.439120959</v>
      </c>
      <c r="M142" s="8">
        <f t="shared" si="4"/>
        <v>0.4317362877</v>
      </c>
      <c r="N142" s="8">
        <f t="shared" si="5"/>
        <v>0.08634725753</v>
      </c>
      <c r="O142" s="8">
        <f t="shared" si="6"/>
        <v>0.284148</v>
      </c>
      <c r="P142" s="8">
        <f t="shared" si="7"/>
        <v>0.426222</v>
      </c>
      <c r="Q142" s="8">
        <f t="shared" si="8"/>
        <v>0.142074</v>
      </c>
      <c r="R142" s="53"/>
      <c r="S142" s="53"/>
      <c r="T142" s="53"/>
      <c r="U142" s="53"/>
      <c r="V142" s="53"/>
      <c r="W142" s="53"/>
      <c r="X142" s="53"/>
      <c r="Y142" s="53"/>
      <c r="Z142" s="17"/>
    </row>
    <row r="143" ht="34.5" customHeight="1">
      <c r="A143" s="54" t="s">
        <v>150</v>
      </c>
      <c r="B143" s="34" t="s">
        <v>151</v>
      </c>
      <c r="C143" s="34" t="s">
        <v>181</v>
      </c>
      <c r="D143" s="34" t="s">
        <v>183</v>
      </c>
      <c r="E143" s="34">
        <v>74.0</v>
      </c>
      <c r="F143" s="35">
        <v>17.62</v>
      </c>
      <c r="G143" s="34">
        <v>4.0</v>
      </c>
      <c r="H143" s="35">
        <v>30.24</v>
      </c>
      <c r="I143" s="35">
        <v>100.0</v>
      </c>
      <c r="J143" s="36">
        <f t="shared" si="1"/>
        <v>67.05732</v>
      </c>
      <c r="K143" s="36">
        <f t="shared" si="2"/>
        <v>60.9612</v>
      </c>
      <c r="L143" s="8">
        <f t="shared" si="3"/>
        <v>0.6174989132</v>
      </c>
      <c r="M143" s="8">
        <f t="shared" si="4"/>
        <v>0.185249674</v>
      </c>
      <c r="N143" s="8">
        <f t="shared" si="5"/>
        <v>0.03704993479</v>
      </c>
      <c r="O143" s="8">
        <f t="shared" si="6"/>
        <v>0.1219224</v>
      </c>
      <c r="P143" s="8">
        <f t="shared" si="7"/>
        <v>0.1828836</v>
      </c>
      <c r="Q143" s="8">
        <f t="shared" si="8"/>
        <v>0.0609612</v>
      </c>
      <c r="R143" s="53"/>
      <c r="S143" s="53"/>
      <c r="T143" s="53"/>
      <c r="U143" s="53"/>
      <c r="V143" s="53"/>
      <c r="W143" s="53"/>
      <c r="X143" s="53"/>
      <c r="Y143" s="53"/>
      <c r="Z143" s="17"/>
    </row>
    <row r="144" ht="34.5" customHeight="1">
      <c r="A144" s="54" t="s">
        <v>150</v>
      </c>
      <c r="B144" s="34" t="s">
        <v>151</v>
      </c>
      <c r="C144" s="34" t="s">
        <v>181</v>
      </c>
      <c r="D144" s="34" t="s">
        <v>184</v>
      </c>
      <c r="E144" s="34">
        <v>153.0</v>
      </c>
      <c r="F144" s="35">
        <v>28.05</v>
      </c>
      <c r="G144" s="34">
        <v>3.0</v>
      </c>
      <c r="H144" s="35">
        <v>56.71</v>
      </c>
      <c r="I144" s="35">
        <v>81.36</v>
      </c>
      <c r="J144" s="36">
        <f t="shared" si="1"/>
        <v>121.09185</v>
      </c>
      <c r="K144" s="36">
        <f t="shared" si="2"/>
        <v>110.0835</v>
      </c>
      <c r="L144" s="8">
        <f t="shared" si="3"/>
        <v>1.115077158</v>
      </c>
      <c r="M144" s="8">
        <f t="shared" si="4"/>
        <v>0.3345231473</v>
      </c>
      <c r="N144" s="8">
        <f t="shared" si="5"/>
        <v>0.06690462945</v>
      </c>
      <c r="O144" s="8">
        <f t="shared" si="6"/>
        <v>0.220167</v>
      </c>
      <c r="P144" s="8">
        <f t="shared" si="7"/>
        <v>0.3302505</v>
      </c>
      <c r="Q144" s="8">
        <f t="shared" si="8"/>
        <v>0.1100835</v>
      </c>
      <c r="R144" s="53"/>
      <c r="S144" s="53"/>
      <c r="T144" s="53"/>
      <c r="U144" s="53"/>
      <c r="V144" s="53"/>
      <c r="W144" s="53"/>
      <c r="X144" s="53"/>
      <c r="Y144" s="53"/>
      <c r="Z144" s="17"/>
    </row>
    <row r="145" ht="34.5" customHeight="1">
      <c r="A145" s="54" t="s">
        <v>150</v>
      </c>
      <c r="B145" s="34" t="s">
        <v>151</v>
      </c>
      <c r="C145" s="34" t="s">
        <v>181</v>
      </c>
      <c r="D145" s="34" t="s">
        <v>181</v>
      </c>
      <c r="E145" s="34">
        <v>838.0</v>
      </c>
      <c r="F145" s="35">
        <v>42.91</v>
      </c>
      <c r="G145" s="34">
        <v>13.0</v>
      </c>
      <c r="H145" s="35">
        <v>26.53</v>
      </c>
      <c r="I145" s="35">
        <v>71.91</v>
      </c>
      <c r="J145" s="36">
        <f t="shared" si="1"/>
        <v>526.25562</v>
      </c>
      <c r="K145" s="36">
        <f t="shared" si="2"/>
        <v>478.4142</v>
      </c>
      <c r="L145" s="8">
        <f t="shared" si="3"/>
        <v>4.846037292</v>
      </c>
      <c r="M145" s="8">
        <f t="shared" si="4"/>
        <v>1.453811188</v>
      </c>
      <c r="N145" s="8">
        <f t="shared" si="5"/>
        <v>0.2907622375</v>
      </c>
      <c r="O145" s="8">
        <f t="shared" si="6"/>
        <v>0.9568284</v>
      </c>
      <c r="P145" s="8">
        <f t="shared" si="7"/>
        <v>1.4352426</v>
      </c>
      <c r="Q145" s="8">
        <f t="shared" si="8"/>
        <v>0.4784142</v>
      </c>
      <c r="R145" s="53"/>
      <c r="S145" s="53"/>
      <c r="T145" s="53"/>
      <c r="U145" s="53"/>
      <c r="V145" s="53"/>
      <c r="W145" s="53"/>
      <c r="X145" s="53"/>
      <c r="Y145" s="53"/>
      <c r="Z145" s="17"/>
    </row>
    <row r="146" ht="34.5" customHeight="1">
      <c r="A146" s="54" t="s">
        <v>150</v>
      </c>
      <c r="B146" s="34" t="s">
        <v>151</v>
      </c>
      <c r="C146" s="34" t="s">
        <v>181</v>
      </c>
      <c r="D146" s="34" t="s">
        <v>185</v>
      </c>
      <c r="E146" s="34">
        <v>39.0</v>
      </c>
      <c r="F146" s="35">
        <v>19.23</v>
      </c>
      <c r="G146" s="34">
        <v>1.0</v>
      </c>
      <c r="H146" s="35">
        <v>100.0</v>
      </c>
      <c r="I146" s="35">
        <v>100.0</v>
      </c>
      <c r="J146" s="36">
        <f t="shared" si="1"/>
        <v>34.65033</v>
      </c>
      <c r="K146" s="36">
        <f t="shared" si="2"/>
        <v>31.5003</v>
      </c>
      <c r="L146" s="8">
        <f t="shared" si="3"/>
        <v>0.3190783813</v>
      </c>
      <c r="M146" s="8">
        <f t="shared" si="4"/>
        <v>0.09572351438</v>
      </c>
      <c r="N146" s="8">
        <f t="shared" si="5"/>
        <v>0.01914470288</v>
      </c>
      <c r="O146" s="8">
        <f t="shared" si="6"/>
        <v>0.0630006</v>
      </c>
      <c r="P146" s="8">
        <f t="shared" si="7"/>
        <v>0.0945009</v>
      </c>
      <c r="Q146" s="8">
        <f t="shared" si="8"/>
        <v>0.0315003</v>
      </c>
      <c r="R146" s="53"/>
      <c r="S146" s="53"/>
      <c r="T146" s="53"/>
      <c r="U146" s="53"/>
      <c r="V146" s="53"/>
      <c r="W146" s="53"/>
      <c r="X146" s="53"/>
      <c r="Y146" s="53"/>
      <c r="Z146" s="17"/>
    </row>
    <row r="147" ht="34.5" customHeight="1">
      <c r="A147" s="54" t="s">
        <v>150</v>
      </c>
      <c r="B147" s="34" t="s">
        <v>151</v>
      </c>
      <c r="C147" s="34" t="s">
        <v>181</v>
      </c>
      <c r="D147" s="34" t="s">
        <v>186</v>
      </c>
      <c r="E147" s="34">
        <v>361.0</v>
      </c>
      <c r="F147" s="35">
        <v>20.41</v>
      </c>
      <c r="G147" s="34">
        <v>8.0</v>
      </c>
      <c r="H147" s="35">
        <v>51.2</v>
      </c>
      <c r="I147" s="35">
        <v>88.3</v>
      </c>
      <c r="J147" s="36">
        <f t="shared" si="1"/>
        <v>316.05189</v>
      </c>
      <c r="K147" s="36">
        <f t="shared" si="2"/>
        <v>287.3199</v>
      </c>
      <c r="L147" s="8">
        <f t="shared" si="3"/>
        <v>2.910371285</v>
      </c>
      <c r="M147" s="8">
        <f t="shared" si="4"/>
        <v>0.8731113856</v>
      </c>
      <c r="N147" s="8">
        <f t="shared" si="5"/>
        <v>0.1746222771</v>
      </c>
      <c r="O147" s="8">
        <f t="shared" si="6"/>
        <v>0.5746398</v>
      </c>
      <c r="P147" s="8">
        <f t="shared" si="7"/>
        <v>0.8619597</v>
      </c>
      <c r="Q147" s="8">
        <f t="shared" si="8"/>
        <v>0.2873199</v>
      </c>
      <c r="R147" s="53"/>
      <c r="S147" s="53"/>
      <c r="T147" s="53"/>
      <c r="U147" s="53"/>
      <c r="V147" s="53"/>
      <c r="W147" s="53"/>
      <c r="X147" s="53"/>
      <c r="Y147" s="53"/>
      <c r="Z147" s="17"/>
    </row>
    <row r="148" ht="34.5" customHeight="1">
      <c r="A148" s="54" t="s">
        <v>150</v>
      </c>
      <c r="B148" s="34" t="s">
        <v>151</v>
      </c>
      <c r="C148" s="34" t="s">
        <v>181</v>
      </c>
      <c r="D148" s="34" t="s">
        <v>187</v>
      </c>
      <c r="E148" s="34">
        <v>53.0</v>
      </c>
      <c r="F148" s="35">
        <v>22.55</v>
      </c>
      <c r="G148" s="34">
        <v>3.0</v>
      </c>
      <c r="H148" s="35">
        <v>61.72</v>
      </c>
      <c r="I148" s="35">
        <v>100.0</v>
      </c>
      <c r="J148" s="36">
        <f t="shared" si="1"/>
        <v>45.15335</v>
      </c>
      <c r="K148" s="36">
        <f t="shared" si="2"/>
        <v>41.0485</v>
      </c>
      <c r="L148" s="8">
        <f t="shared" si="3"/>
        <v>0.4157956887</v>
      </c>
      <c r="M148" s="8">
        <f t="shared" si="4"/>
        <v>0.1247387066</v>
      </c>
      <c r="N148" s="8">
        <f t="shared" si="5"/>
        <v>0.02494774132</v>
      </c>
      <c r="O148" s="8">
        <f t="shared" si="6"/>
        <v>0.082097</v>
      </c>
      <c r="P148" s="8">
        <f t="shared" si="7"/>
        <v>0.1231455</v>
      </c>
      <c r="Q148" s="8">
        <f t="shared" si="8"/>
        <v>0.0410485</v>
      </c>
      <c r="R148" s="53"/>
      <c r="S148" s="53"/>
      <c r="T148" s="53"/>
      <c r="U148" s="53"/>
      <c r="V148" s="53"/>
      <c r="W148" s="53"/>
      <c r="X148" s="53"/>
      <c r="Y148" s="53"/>
      <c r="Z148" s="17"/>
    </row>
    <row r="149" ht="34.5" customHeight="1">
      <c r="A149" s="54" t="s">
        <v>150</v>
      </c>
      <c r="B149" s="34" t="s">
        <v>151</v>
      </c>
      <c r="C149" s="34" t="s">
        <v>181</v>
      </c>
      <c r="D149" s="34" t="s">
        <v>188</v>
      </c>
      <c r="E149" s="34">
        <v>15.0</v>
      </c>
      <c r="F149" s="35">
        <v>12.91</v>
      </c>
      <c r="G149" s="34">
        <v>1.0</v>
      </c>
      <c r="H149" s="35">
        <v>100.0</v>
      </c>
      <c r="I149" s="35">
        <v>100.0</v>
      </c>
      <c r="J149" s="36">
        <f t="shared" si="1"/>
        <v>14.36985</v>
      </c>
      <c r="K149" s="36">
        <f t="shared" si="2"/>
        <v>13.0635</v>
      </c>
      <c r="L149" s="8">
        <f t="shared" si="3"/>
        <v>0.1323251027</v>
      </c>
      <c r="M149" s="8">
        <f t="shared" si="4"/>
        <v>0.03969753082</v>
      </c>
      <c r="N149" s="8">
        <f t="shared" si="5"/>
        <v>0.007939506164</v>
      </c>
      <c r="O149" s="8">
        <f t="shared" si="6"/>
        <v>0.026127</v>
      </c>
      <c r="P149" s="8">
        <f t="shared" si="7"/>
        <v>0.0391905</v>
      </c>
      <c r="Q149" s="8">
        <f t="shared" si="8"/>
        <v>0.0130635</v>
      </c>
      <c r="R149" s="53"/>
      <c r="S149" s="53"/>
      <c r="T149" s="53"/>
      <c r="U149" s="53"/>
      <c r="V149" s="53"/>
      <c r="W149" s="53"/>
      <c r="X149" s="53"/>
      <c r="Y149" s="53"/>
      <c r="Z149" s="17"/>
    </row>
    <row r="150" ht="34.5" customHeight="1">
      <c r="A150" s="54" t="s">
        <v>150</v>
      </c>
      <c r="B150" s="34" t="s">
        <v>151</v>
      </c>
      <c r="C150" s="34" t="s">
        <v>189</v>
      </c>
      <c r="D150" s="34" t="s">
        <v>190</v>
      </c>
      <c r="E150" s="34">
        <v>69.0</v>
      </c>
      <c r="F150" s="35">
        <v>7.51</v>
      </c>
      <c r="G150" s="34">
        <v>3.0</v>
      </c>
      <c r="H150" s="35">
        <v>51.31</v>
      </c>
      <c r="I150" s="35">
        <v>100.0</v>
      </c>
      <c r="J150" s="36">
        <f t="shared" si="1"/>
        <v>70.19991</v>
      </c>
      <c r="K150" s="36">
        <f t="shared" si="2"/>
        <v>63.8181</v>
      </c>
      <c r="L150" s="8">
        <f t="shared" si="3"/>
        <v>0.6464375274</v>
      </c>
      <c r="M150" s="8">
        <f t="shared" si="4"/>
        <v>0.1939312582</v>
      </c>
      <c r="N150" s="8">
        <f t="shared" si="5"/>
        <v>0.03878625164</v>
      </c>
      <c r="O150" s="8">
        <f t="shared" si="6"/>
        <v>0.1276362</v>
      </c>
      <c r="P150" s="8">
        <f t="shared" si="7"/>
        <v>0.1914543</v>
      </c>
      <c r="Q150" s="8">
        <f t="shared" si="8"/>
        <v>0.0638181</v>
      </c>
      <c r="R150" s="53"/>
      <c r="S150" s="53"/>
      <c r="T150" s="53"/>
      <c r="U150" s="53"/>
      <c r="V150" s="53"/>
      <c r="W150" s="53"/>
      <c r="X150" s="53"/>
      <c r="Y150" s="53"/>
      <c r="Z150" s="17"/>
    </row>
    <row r="151" ht="34.5" customHeight="1">
      <c r="A151" s="54" t="s">
        <v>150</v>
      </c>
      <c r="B151" s="34" t="s">
        <v>151</v>
      </c>
      <c r="C151" s="34" t="s">
        <v>189</v>
      </c>
      <c r="D151" s="34" t="s">
        <v>191</v>
      </c>
      <c r="E151" s="34">
        <v>127.0</v>
      </c>
      <c r="F151" s="35">
        <v>26.63</v>
      </c>
      <c r="G151" s="34">
        <v>3.0</v>
      </c>
      <c r="H151" s="35">
        <v>93.0</v>
      </c>
      <c r="I151" s="35">
        <v>93.0</v>
      </c>
      <c r="J151" s="36">
        <f t="shared" si="1"/>
        <v>102.49789</v>
      </c>
      <c r="K151" s="36">
        <f t="shared" si="2"/>
        <v>93.1799</v>
      </c>
      <c r="L151" s="8">
        <f t="shared" si="3"/>
        <v>0.9438542382</v>
      </c>
      <c r="M151" s="8">
        <f t="shared" si="4"/>
        <v>0.2831562715</v>
      </c>
      <c r="N151" s="8">
        <f t="shared" si="5"/>
        <v>0.05663125429</v>
      </c>
      <c r="O151" s="8">
        <f t="shared" si="6"/>
        <v>0.1863598</v>
      </c>
      <c r="P151" s="8">
        <f t="shared" si="7"/>
        <v>0.2795397</v>
      </c>
      <c r="Q151" s="8">
        <f t="shared" si="8"/>
        <v>0.0931799</v>
      </c>
      <c r="R151" s="53"/>
      <c r="S151" s="53"/>
      <c r="T151" s="53"/>
      <c r="U151" s="53"/>
      <c r="V151" s="53"/>
      <c r="W151" s="53"/>
      <c r="X151" s="53"/>
      <c r="Y151" s="53"/>
      <c r="Z151" s="17"/>
    </row>
    <row r="152" ht="34.5" customHeight="1">
      <c r="A152" s="54" t="s">
        <v>150</v>
      </c>
      <c r="B152" s="34" t="s">
        <v>151</v>
      </c>
      <c r="C152" s="34" t="s">
        <v>189</v>
      </c>
      <c r="D152" s="34" t="s">
        <v>192</v>
      </c>
      <c r="E152" s="34">
        <v>129.0</v>
      </c>
      <c r="F152" s="35">
        <v>9.93</v>
      </c>
      <c r="G152" s="34">
        <v>4.0</v>
      </c>
      <c r="H152" s="35">
        <v>0.0</v>
      </c>
      <c r="I152" s="35">
        <v>59.59</v>
      </c>
      <c r="J152" s="36">
        <f t="shared" si="1"/>
        <v>127.80933</v>
      </c>
      <c r="K152" s="36">
        <f t="shared" si="2"/>
        <v>116.1903</v>
      </c>
      <c r="L152" s="8">
        <f t="shared" si="3"/>
        <v>1.176935231</v>
      </c>
      <c r="M152" s="8">
        <f t="shared" si="4"/>
        <v>0.3530805692</v>
      </c>
      <c r="N152" s="8">
        <f t="shared" si="5"/>
        <v>0.07061611384</v>
      </c>
      <c r="O152" s="8">
        <f t="shared" si="6"/>
        <v>0.2323806</v>
      </c>
      <c r="P152" s="8">
        <f t="shared" si="7"/>
        <v>0.3485709</v>
      </c>
      <c r="Q152" s="8">
        <f t="shared" si="8"/>
        <v>0.1161903</v>
      </c>
      <c r="R152" s="53"/>
      <c r="S152" s="53"/>
      <c r="T152" s="53"/>
      <c r="U152" s="53"/>
      <c r="V152" s="53"/>
      <c r="W152" s="53"/>
      <c r="X152" s="53"/>
      <c r="Y152" s="53"/>
      <c r="Z152" s="17"/>
    </row>
    <row r="153" ht="34.5" customHeight="1">
      <c r="A153" s="54" t="s">
        <v>150</v>
      </c>
      <c r="B153" s="34" t="s">
        <v>151</v>
      </c>
      <c r="C153" s="34" t="s">
        <v>189</v>
      </c>
      <c r="D153" s="34" t="s">
        <v>193</v>
      </c>
      <c r="E153" s="34">
        <v>1559.0</v>
      </c>
      <c r="F153" s="35">
        <v>29.17</v>
      </c>
      <c r="G153" s="34">
        <v>22.0</v>
      </c>
      <c r="H153" s="35">
        <v>40.03</v>
      </c>
      <c r="I153" s="35">
        <v>54.37</v>
      </c>
      <c r="J153" s="36">
        <f t="shared" si="1"/>
        <v>1214.66367</v>
      </c>
      <c r="K153" s="36">
        <f t="shared" si="2"/>
        <v>1104.2397</v>
      </c>
      <c r="L153" s="8">
        <f t="shared" si="3"/>
        <v>11.18525906</v>
      </c>
      <c r="M153" s="8">
        <f t="shared" si="4"/>
        <v>3.355577718</v>
      </c>
      <c r="N153" s="8">
        <f t="shared" si="5"/>
        <v>0.6711155437</v>
      </c>
      <c r="O153" s="8">
        <f t="shared" si="6"/>
        <v>2.2084794</v>
      </c>
      <c r="P153" s="8">
        <f t="shared" si="7"/>
        <v>3.3127191</v>
      </c>
      <c r="Q153" s="8">
        <f t="shared" si="8"/>
        <v>1.1042397</v>
      </c>
      <c r="R153" s="53"/>
      <c r="S153" s="53"/>
      <c r="T153" s="53"/>
      <c r="U153" s="53"/>
      <c r="V153" s="53"/>
      <c r="W153" s="53"/>
      <c r="X153" s="53"/>
      <c r="Y153" s="53"/>
      <c r="Z153" s="17"/>
    </row>
    <row r="154" ht="34.5" customHeight="1">
      <c r="A154" s="54" t="s">
        <v>150</v>
      </c>
      <c r="B154" s="34" t="s">
        <v>151</v>
      </c>
      <c r="C154" s="34" t="s">
        <v>189</v>
      </c>
      <c r="D154" s="34" t="s">
        <v>194</v>
      </c>
      <c r="E154" s="34">
        <v>187.0</v>
      </c>
      <c r="F154" s="35">
        <v>7.7</v>
      </c>
      <c r="G154" s="34">
        <v>6.0</v>
      </c>
      <c r="H154" s="35">
        <v>38.56</v>
      </c>
      <c r="I154" s="35">
        <v>38.56</v>
      </c>
      <c r="J154" s="36">
        <f t="shared" si="1"/>
        <v>189.8611</v>
      </c>
      <c r="K154" s="36">
        <f t="shared" si="2"/>
        <v>172.601</v>
      </c>
      <c r="L154" s="8">
        <f t="shared" si="3"/>
        <v>1.748340419</v>
      </c>
      <c r="M154" s="8">
        <f t="shared" si="4"/>
        <v>0.5245021256</v>
      </c>
      <c r="N154" s="8">
        <f t="shared" si="5"/>
        <v>0.1049004251</v>
      </c>
      <c r="O154" s="8">
        <f t="shared" si="6"/>
        <v>0.345202</v>
      </c>
      <c r="P154" s="8">
        <f t="shared" si="7"/>
        <v>0.517803</v>
      </c>
      <c r="Q154" s="8">
        <f t="shared" si="8"/>
        <v>0.172601</v>
      </c>
      <c r="R154" s="53"/>
      <c r="S154" s="53"/>
      <c r="T154" s="53"/>
      <c r="U154" s="53"/>
      <c r="V154" s="53"/>
      <c r="W154" s="53"/>
      <c r="X154" s="53"/>
      <c r="Y154" s="53"/>
      <c r="Z154" s="17"/>
    </row>
    <row r="155" ht="34.5" customHeight="1">
      <c r="A155" s="54" t="s">
        <v>150</v>
      </c>
      <c r="B155" s="34" t="s">
        <v>151</v>
      </c>
      <c r="C155" s="34" t="s">
        <v>189</v>
      </c>
      <c r="D155" s="34" t="s">
        <v>195</v>
      </c>
      <c r="E155" s="34">
        <v>226.0</v>
      </c>
      <c r="F155" s="35">
        <v>22.63</v>
      </c>
      <c r="G155" s="34">
        <v>3.0</v>
      </c>
      <c r="H155" s="35">
        <v>0.0</v>
      </c>
      <c r="I155" s="35">
        <v>72.47</v>
      </c>
      <c r="J155" s="36">
        <f t="shared" si="1"/>
        <v>192.34182</v>
      </c>
      <c r="K155" s="36">
        <f t="shared" si="2"/>
        <v>174.8562</v>
      </c>
      <c r="L155" s="8">
        <f t="shared" si="3"/>
        <v>1.771184187</v>
      </c>
      <c r="M155" s="8">
        <f t="shared" si="4"/>
        <v>0.5313552562</v>
      </c>
      <c r="N155" s="8">
        <f t="shared" si="5"/>
        <v>0.1062710512</v>
      </c>
      <c r="O155" s="8">
        <f t="shared" si="6"/>
        <v>0.3497124</v>
      </c>
      <c r="P155" s="8">
        <f t="shared" si="7"/>
        <v>0.5245686</v>
      </c>
      <c r="Q155" s="8">
        <f t="shared" si="8"/>
        <v>0.1748562</v>
      </c>
      <c r="R155" s="53"/>
      <c r="S155" s="53"/>
      <c r="T155" s="53"/>
      <c r="U155" s="53"/>
      <c r="V155" s="53"/>
      <c r="W155" s="53"/>
      <c r="X155" s="53"/>
      <c r="Y155" s="53"/>
      <c r="Z155" s="17"/>
    </row>
    <row r="156" ht="34.5" customHeight="1">
      <c r="A156" s="54" t="s">
        <v>150</v>
      </c>
      <c r="B156" s="34" t="s">
        <v>151</v>
      </c>
      <c r="C156" s="34" t="s">
        <v>189</v>
      </c>
      <c r="D156" s="34" t="s">
        <v>196</v>
      </c>
      <c r="E156" s="34">
        <v>317.0</v>
      </c>
      <c r="F156" s="35">
        <v>26.06</v>
      </c>
      <c r="G156" s="34">
        <v>6.0</v>
      </c>
      <c r="H156" s="35">
        <v>48.39</v>
      </c>
      <c r="I156" s="35">
        <v>79.96</v>
      </c>
      <c r="J156" s="36">
        <f t="shared" si="1"/>
        <v>257.82878</v>
      </c>
      <c r="K156" s="36">
        <f t="shared" si="2"/>
        <v>234.3898</v>
      </c>
      <c r="L156" s="8">
        <f t="shared" si="3"/>
        <v>2.374222403</v>
      </c>
      <c r="M156" s="8">
        <f t="shared" si="4"/>
        <v>0.712266721</v>
      </c>
      <c r="N156" s="8">
        <f t="shared" si="5"/>
        <v>0.1424533442</v>
      </c>
      <c r="O156" s="8">
        <f t="shared" si="6"/>
        <v>0.4687796</v>
      </c>
      <c r="P156" s="8">
        <f t="shared" si="7"/>
        <v>0.7031694</v>
      </c>
      <c r="Q156" s="8">
        <f t="shared" si="8"/>
        <v>0.2343898</v>
      </c>
      <c r="R156" s="53"/>
      <c r="S156" s="53"/>
      <c r="T156" s="53"/>
      <c r="U156" s="53"/>
      <c r="V156" s="53"/>
      <c r="W156" s="53"/>
      <c r="X156" s="53"/>
      <c r="Y156" s="53"/>
      <c r="Z156" s="17"/>
    </row>
    <row r="157" ht="34.5" customHeight="1">
      <c r="A157" s="54" t="s">
        <v>150</v>
      </c>
      <c r="B157" s="34" t="s">
        <v>151</v>
      </c>
      <c r="C157" s="34" t="s">
        <v>189</v>
      </c>
      <c r="D157" s="34" t="s">
        <v>197</v>
      </c>
      <c r="E157" s="34">
        <v>92.0</v>
      </c>
      <c r="F157" s="35">
        <v>14.32</v>
      </c>
      <c r="G157" s="34">
        <v>1.0</v>
      </c>
      <c r="H157" s="35">
        <v>0.0</v>
      </c>
      <c r="I157" s="35">
        <v>100.0</v>
      </c>
      <c r="J157" s="36">
        <f t="shared" si="1"/>
        <v>86.70816</v>
      </c>
      <c r="K157" s="36">
        <f t="shared" si="2"/>
        <v>78.8256</v>
      </c>
      <c r="L157" s="8">
        <f t="shared" si="3"/>
        <v>0.798454137</v>
      </c>
      <c r="M157" s="8">
        <f t="shared" si="4"/>
        <v>0.2395362411</v>
      </c>
      <c r="N157" s="8">
        <f t="shared" si="5"/>
        <v>0.04790724822</v>
      </c>
      <c r="O157" s="8">
        <f t="shared" si="6"/>
        <v>0.1576512</v>
      </c>
      <c r="P157" s="8">
        <f t="shared" si="7"/>
        <v>0.2364768</v>
      </c>
      <c r="Q157" s="8">
        <f t="shared" si="8"/>
        <v>0.0788256</v>
      </c>
      <c r="R157" s="53"/>
      <c r="S157" s="53"/>
      <c r="T157" s="53"/>
      <c r="U157" s="53"/>
      <c r="V157" s="53"/>
      <c r="W157" s="53"/>
      <c r="X157" s="53"/>
      <c r="Y157" s="53"/>
      <c r="Z157" s="17"/>
    </row>
    <row r="158" ht="34.5" customHeight="1">
      <c r="A158" s="54" t="s">
        <v>150</v>
      </c>
      <c r="B158" s="34" t="s">
        <v>151</v>
      </c>
      <c r="C158" s="34" t="s">
        <v>189</v>
      </c>
      <c r="D158" s="34" t="s">
        <v>198</v>
      </c>
      <c r="E158" s="34">
        <v>75.0</v>
      </c>
      <c r="F158" s="35">
        <v>6.69</v>
      </c>
      <c r="G158" s="34">
        <v>4.0</v>
      </c>
      <c r="H158" s="35">
        <v>100.0</v>
      </c>
      <c r="I158" s="35">
        <v>100.0</v>
      </c>
      <c r="J158" s="36">
        <f t="shared" si="1"/>
        <v>76.98075</v>
      </c>
      <c r="K158" s="36">
        <f t="shared" si="2"/>
        <v>69.9825</v>
      </c>
      <c r="L158" s="8">
        <f t="shared" si="3"/>
        <v>0.7088790525</v>
      </c>
      <c r="M158" s="8">
        <f t="shared" si="4"/>
        <v>0.2126637158</v>
      </c>
      <c r="N158" s="8">
        <f t="shared" si="5"/>
        <v>0.04253274315</v>
      </c>
      <c r="O158" s="8">
        <f t="shared" si="6"/>
        <v>0.139965</v>
      </c>
      <c r="P158" s="8">
        <f t="shared" si="7"/>
        <v>0.2099475</v>
      </c>
      <c r="Q158" s="8">
        <f t="shared" si="8"/>
        <v>0.0699825</v>
      </c>
      <c r="R158" s="53"/>
      <c r="S158" s="53"/>
      <c r="T158" s="53"/>
      <c r="U158" s="53"/>
      <c r="V158" s="53"/>
      <c r="W158" s="53"/>
      <c r="X158" s="53"/>
      <c r="Y158" s="53"/>
      <c r="Z158" s="17"/>
    </row>
    <row r="159" ht="34.5" customHeight="1">
      <c r="A159" s="54" t="s">
        <v>150</v>
      </c>
      <c r="B159" s="34" t="s">
        <v>151</v>
      </c>
      <c r="C159" s="34" t="s">
        <v>189</v>
      </c>
      <c r="D159" s="34" t="s">
        <v>199</v>
      </c>
      <c r="E159" s="34">
        <v>90.0</v>
      </c>
      <c r="F159" s="35">
        <v>6.45</v>
      </c>
      <c r="G159" s="34">
        <v>3.0</v>
      </c>
      <c r="H159" s="35">
        <v>100.0</v>
      </c>
      <c r="I159" s="35">
        <v>100.0</v>
      </c>
      <c r="J159" s="36">
        <f t="shared" si="1"/>
        <v>92.6145</v>
      </c>
      <c r="K159" s="36">
        <f t="shared" si="2"/>
        <v>84.195</v>
      </c>
      <c r="L159" s="8">
        <f t="shared" si="3"/>
        <v>0.8528428082</v>
      </c>
      <c r="M159" s="8">
        <f t="shared" si="4"/>
        <v>0.2558528425</v>
      </c>
      <c r="N159" s="8">
        <f t="shared" si="5"/>
        <v>0.05117056849</v>
      </c>
      <c r="O159" s="8">
        <f t="shared" si="6"/>
        <v>0.16839</v>
      </c>
      <c r="P159" s="8">
        <f t="shared" si="7"/>
        <v>0.252585</v>
      </c>
      <c r="Q159" s="8">
        <f t="shared" si="8"/>
        <v>0.084195</v>
      </c>
      <c r="R159" s="53"/>
      <c r="S159" s="53"/>
      <c r="T159" s="53"/>
      <c r="U159" s="53"/>
      <c r="V159" s="53"/>
      <c r="W159" s="53"/>
      <c r="X159" s="53"/>
      <c r="Y159" s="53"/>
      <c r="Z159" s="17"/>
    </row>
    <row r="160" ht="34.5" customHeight="1">
      <c r="A160" s="54" t="s">
        <v>150</v>
      </c>
      <c r="B160" s="34" t="s">
        <v>151</v>
      </c>
      <c r="C160" s="34" t="s">
        <v>189</v>
      </c>
      <c r="D160" s="34" t="s">
        <v>200</v>
      </c>
      <c r="E160" s="34">
        <v>80.0</v>
      </c>
      <c r="F160" s="35">
        <v>11.94</v>
      </c>
      <c r="G160" s="34">
        <v>1.0</v>
      </c>
      <c r="H160" s="35">
        <v>65.58</v>
      </c>
      <c r="I160" s="35">
        <v>100.0</v>
      </c>
      <c r="J160" s="36">
        <f t="shared" si="1"/>
        <v>77.4928</v>
      </c>
      <c r="K160" s="36">
        <f t="shared" si="2"/>
        <v>70.448</v>
      </c>
      <c r="L160" s="8">
        <f t="shared" si="3"/>
        <v>0.713594277</v>
      </c>
      <c r="M160" s="8">
        <f t="shared" si="4"/>
        <v>0.2140782831</v>
      </c>
      <c r="N160" s="8">
        <f t="shared" si="5"/>
        <v>0.04281565662</v>
      </c>
      <c r="O160" s="8">
        <f t="shared" si="6"/>
        <v>0.140896</v>
      </c>
      <c r="P160" s="8">
        <f t="shared" si="7"/>
        <v>0.211344</v>
      </c>
      <c r="Q160" s="8">
        <f t="shared" si="8"/>
        <v>0.070448</v>
      </c>
      <c r="R160" s="53"/>
      <c r="S160" s="53"/>
      <c r="T160" s="53"/>
      <c r="U160" s="53"/>
      <c r="V160" s="53"/>
      <c r="W160" s="53"/>
      <c r="X160" s="53"/>
      <c r="Y160" s="53"/>
      <c r="Z160" s="17"/>
    </row>
    <row r="161" ht="34.5" customHeight="1">
      <c r="A161" s="54" t="s">
        <v>150</v>
      </c>
      <c r="B161" s="34" t="s">
        <v>151</v>
      </c>
      <c r="C161" s="34" t="s">
        <v>189</v>
      </c>
      <c r="D161" s="34" t="s">
        <v>201</v>
      </c>
      <c r="E161" s="34">
        <v>397.0</v>
      </c>
      <c r="F161" s="35">
        <v>28.36</v>
      </c>
      <c r="G161" s="34">
        <v>7.0</v>
      </c>
      <c r="H161" s="35">
        <v>50.54</v>
      </c>
      <c r="I161" s="35">
        <v>83.51</v>
      </c>
      <c r="J161" s="36">
        <f t="shared" si="1"/>
        <v>312.85188</v>
      </c>
      <c r="K161" s="36">
        <f t="shared" si="2"/>
        <v>284.4108</v>
      </c>
      <c r="L161" s="8">
        <f t="shared" si="3"/>
        <v>2.880903918</v>
      </c>
      <c r="M161" s="8">
        <f t="shared" si="4"/>
        <v>0.8642711753</v>
      </c>
      <c r="N161" s="8">
        <f t="shared" si="5"/>
        <v>0.1728542351</v>
      </c>
      <c r="O161" s="8">
        <f t="shared" si="6"/>
        <v>0.5688216</v>
      </c>
      <c r="P161" s="8">
        <f t="shared" si="7"/>
        <v>0.8532324</v>
      </c>
      <c r="Q161" s="8">
        <f t="shared" si="8"/>
        <v>0.2844108</v>
      </c>
      <c r="R161" s="53"/>
      <c r="S161" s="53"/>
      <c r="T161" s="53"/>
      <c r="U161" s="53"/>
      <c r="V161" s="53"/>
      <c r="W161" s="53"/>
      <c r="X161" s="53"/>
      <c r="Y161" s="53"/>
      <c r="Z161" s="17"/>
    </row>
    <row r="162" ht="34.5" customHeight="1">
      <c r="A162" s="54" t="s">
        <v>150</v>
      </c>
      <c r="B162" s="34" t="s">
        <v>151</v>
      </c>
      <c r="C162" s="34" t="s">
        <v>189</v>
      </c>
      <c r="D162" s="34" t="s">
        <v>202</v>
      </c>
      <c r="E162" s="34">
        <v>22.0</v>
      </c>
      <c r="F162" s="35">
        <v>4.79</v>
      </c>
      <c r="G162" s="34">
        <v>1.0</v>
      </c>
      <c r="H162" s="35">
        <v>0.0</v>
      </c>
      <c r="I162" s="35">
        <v>100.0</v>
      </c>
      <c r="J162" s="36">
        <f t="shared" si="1"/>
        <v>23.04082</v>
      </c>
      <c r="K162" s="36">
        <f t="shared" si="2"/>
        <v>20.9462</v>
      </c>
      <c r="L162" s="8">
        <f t="shared" si="3"/>
        <v>0.2121719346</v>
      </c>
      <c r="M162" s="8">
        <f t="shared" si="4"/>
        <v>0.06365158037</v>
      </c>
      <c r="N162" s="8">
        <f t="shared" si="5"/>
        <v>0.01273031607</v>
      </c>
      <c r="O162" s="8">
        <f t="shared" si="6"/>
        <v>0.0418924</v>
      </c>
      <c r="P162" s="8">
        <f t="shared" si="7"/>
        <v>0.0628386</v>
      </c>
      <c r="Q162" s="8">
        <f t="shared" si="8"/>
        <v>0.0209462</v>
      </c>
      <c r="R162" s="53"/>
      <c r="S162" s="53"/>
      <c r="T162" s="53"/>
      <c r="U162" s="53"/>
      <c r="V162" s="53"/>
      <c r="W162" s="53"/>
      <c r="X162" s="53"/>
      <c r="Y162" s="53"/>
      <c r="Z162" s="17"/>
    </row>
    <row r="163" ht="34.5" customHeight="1">
      <c r="A163" s="54" t="s">
        <v>150</v>
      </c>
      <c r="B163" s="34" t="s">
        <v>151</v>
      </c>
      <c r="C163" s="34" t="s">
        <v>203</v>
      </c>
      <c r="D163" s="34" t="s">
        <v>204</v>
      </c>
      <c r="E163" s="34">
        <v>73.0</v>
      </c>
      <c r="F163" s="35">
        <v>11.22</v>
      </c>
      <c r="G163" s="34">
        <v>4.0</v>
      </c>
      <c r="H163" s="35">
        <v>100.0</v>
      </c>
      <c r="I163" s="35">
        <v>100.0</v>
      </c>
      <c r="J163" s="36">
        <f t="shared" si="1"/>
        <v>71.29034</v>
      </c>
      <c r="K163" s="36">
        <f t="shared" si="2"/>
        <v>64.8094</v>
      </c>
      <c r="L163" s="8">
        <f t="shared" si="3"/>
        <v>0.6564787778</v>
      </c>
      <c r="M163" s="8">
        <f t="shared" si="4"/>
        <v>0.1969436333</v>
      </c>
      <c r="N163" s="8">
        <f t="shared" si="5"/>
        <v>0.03938872667</v>
      </c>
      <c r="O163" s="8">
        <f t="shared" si="6"/>
        <v>0.1296188</v>
      </c>
      <c r="P163" s="8">
        <f t="shared" si="7"/>
        <v>0.1944282</v>
      </c>
      <c r="Q163" s="8">
        <f t="shared" si="8"/>
        <v>0.0648094</v>
      </c>
      <c r="R163" s="53"/>
      <c r="S163" s="53"/>
      <c r="T163" s="53"/>
      <c r="U163" s="53"/>
      <c r="V163" s="53"/>
      <c r="W163" s="53"/>
      <c r="X163" s="53"/>
      <c r="Y163" s="53"/>
      <c r="Z163" s="17"/>
    </row>
    <row r="164" ht="34.5" customHeight="1">
      <c r="A164" s="54" t="s">
        <v>150</v>
      </c>
      <c r="B164" s="34" t="s">
        <v>151</v>
      </c>
      <c r="C164" s="34" t="s">
        <v>203</v>
      </c>
      <c r="D164" s="34" t="s">
        <v>205</v>
      </c>
      <c r="E164" s="34">
        <v>82.0</v>
      </c>
      <c r="F164" s="35">
        <v>6.65</v>
      </c>
      <c r="G164" s="34">
        <v>1.0</v>
      </c>
      <c r="H164" s="35">
        <v>0.0</v>
      </c>
      <c r="I164" s="35">
        <v>47.19</v>
      </c>
      <c r="J164" s="36">
        <f t="shared" si="1"/>
        <v>84.2017</v>
      </c>
      <c r="K164" s="36">
        <f t="shared" si="2"/>
        <v>76.547</v>
      </c>
      <c r="L164" s="8">
        <f t="shared" si="3"/>
        <v>0.7753733409</v>
      </c>
      <c r="M164" s="8">
        <f t="shared" si="4"/>
        <v>0.2326120023</v>
      </c>
      <c r="N164" s="8">
        <f t="shared" si="5"/>
        <v>0.04652240046</v>
      </c>
      <c r="O164" s="8">
        <f t="shared" si="6"/>
        <v>0.153094</v>
      </c>
      <c r="P164" s="8">
        <f t="shared" si="7"/>
        <v>0.229641</v>
      </c>
      <c r="Q164" s="8">
        <f t="shared" si="8"/>
        <v>0.076547</v>
      </c>
      <c r="R164" s="53"/>
      <c r="S164" s="53"/>
      <c r="T164" s="53"/>
      <c r="U164" s="53"/>
      <c r="V164" s="53"/>
      <c r="W164" s="53"/>
      <c r="X164" s="53"/>
      <c r="Y164" s="53"/>
      <c r="Z164" s="17"/>
    </row>
    <row r="165" ht="34.5" customHeight="1">
      <c r="A165" s="54" t="s">
        <v>150</v>
      </c>
      <c r="B165" s="34" t="s">
        <v>151</v>
      </c>
      <c r="C165" s="34" t="s">
        <v>203</v>
      </c>
      <c r="D165" s="34" t="s">
        <v>206</v>
      </c>
      <c r="E165" s="34">
        <v>1041.0</v>
      </c>
      <c r="F165" s="35">
        <v>16.73</v>
      </c>
      <c r="G165" s="34">
        <v>17.0</v>
      </c>
      <c r="H165" s="35">
        <v>34.25</v>
      </c>
      <c r="I165" s="35">
        <v>51.13</v>
      </c>
      <c r="J165" s="36">
        <f t="shared" si="1"/>
        <v>953.52477</v>
      </c>
      <c r="K165" s="36">
        <f t="shared" si="2"/>
        <v>866.8407</v>
      </c>
      <c r="L165" s="8">
        <f t="shared" si="3"/>
        <v>8.78055534</v>
      </c>
      <c r="M165" s="8">
        <f t="shared" si="4"/>
        <v>2.634166602</v>
      </c>
      <c r="N165" s="8">
        <f t="shared" si="5"/>
        <v>0.5268333204</v>
      </c>
      <c r="O165" s="8">
        <f t="shared" si="6"/>
        <v>1.7336814</v>
      </c>
      <c r="P165" s="8">
        <f t="shared" si="7"/>
        <v>2.6005221</v>
      </c>
      <c r="Q165" s="8">
        <f t="shared" si="8"/>
        <v>0.8668407</v>
      </c>
      <c r="R165" s="53"/>
      <c r="S165" s="53"/>
      <c r="T165" s="53"/>
      <c r="U165" s="53"/>
      <c r="V165" s="53"/>
      <c r="W165" s="53"/>
      <c r="X165" s="53"/>
      <c r="Y165" s="53"/>
      <c r="Z165" s="17"/>
    </row>
    <row r="166" ht="34.5" customHeight="1">
      <c r="A166" s="54" t="s">
        <v>150</v>
      </c>
      <c r="B166" s="34" t="s">
        <v>151</v>
      </c>
      <c r="C166" s="34" t="s">
        <v>203</v>
      </c>
      <c r="D166" s="34" t="s">
        <v>207</v>
      </c>
      <c r="E166" s="34">
        <v>47.0</v>
      </c>
      <c r="F166" s="35">
        <v>0.5</v>
      </c>
      <c r="G166" s="34">
        <v>2.0</v>
      </c>
      <c r="H166" s="35">
        <v>99.45</v>
      </c>
      <c r="I166" s="35">
        <v>99.45</v>
      </c>
      <c r="J166" s="36">
        <f t="shared" si="1"/>
        <v>51.4415</v>
      </c>
      <c r="K166" s="36">
        <f t="shared" si="2"/>
        <v>46.765</v>
      </c>
      <c r="L166" s="8">
        <f t="shared" si="3"/>
        <v>0.4737002664</v>
      </c>
      <c r="M166" s="8">
        <f t="shared" si="4"/>
        <v>0.1421100799</v>
      </c>
      <c r="N166" s="8">
        <f t="shared" si="5"/>
        <v>0.02842201598</v>
      </c>
      <c r="O166" s="8">
        <f t="shared" si="6"/>
        <v>0.09353</v>
      </c>
      <c r="P166" s="8">
        <f t="shared" si="7"/>
        <v>0.140295</v>
      </c>
      <c r="Q166" s="8">
        <f t="shared" si="8"/>
        <v>0.046765</v>
      </c>
      <c r="R166" s="53"/>
      <c r="S166" s="53"/>
      <c r="T166" s="53"/>
      <c r="U166" s="53"/>
      <c r="V166" s="53"/>
      <c r="W166" s="53"/>
      <c r="X166" s="53"/>
      <c r="Y166" s="53"/>
      <c r="Z166" s="17"/>
    </row>
    <row r="167" ht="34.5" customHeight="1">
      <c r="A167" s="54" t="s">
        <v>150</v>
      </c>
      <c r="B167" s="34" t="s">
        <v>151</v>
      </c>
      <c r="C167" s="34" t="s">
        <v>203</v>
      </c>
      <c r="D167" s="34" t="s">
        <v>208</v>
      </c>
      <c r="E167" s="34">
        <v>248.0</v>
      </c>
      <c r="F167" s="35">
        <v>7.48</v>
      </c>
      <c r="G167" s="34">
        <v>7.0</v>
      </c>
      <c r="H167" s="35">
        <v>86.31</v>
      </c>
      <c r="I167" s="35">
        <v>86.31</v>
      </c>
      <c r="J167" s="36">
        <f t="shared" si="1"/>
        <v>252.39456</v>
      </c>
      <c r="K167" s="36">
        <f t="shared" si="2"/>
        <v>229.4496</v>
      </c>
      <c r="L167" s="8">
        <f t="shared" si="3"/>
        <v>2.32418126</v>
      </c>
      <c r="M167" s="8">
        <f t="shared" si="4"/>
        <v>0.6972543781</v>
      </c>
      <c r="N167" s="8">
        <f t="shared" si="5"/>
        <v>0.1394508756</v>
      </c>
      <c r="O167" s="8">
        <f t="shared" si="6"/>
        <v>0.4588992</v>
      </c>
      <c r="P167" s="8">
        <f t="shared" si="7"/>
        <v>0.6883488</v>
      </c>
      <c r="Q167" s="8">
        <f t="shared" si="8"/>
        <v>0.2294496</v>
      </c>
      <c r="R167" s="53"/>
      <c r="S167" s="53"/>
      <c r="T167" s="53"/>
      <c r="U167" s="53"/>
      <c r="V167" s="53"/>
      <c r="W167" s="53"/>
      <c r="X167" s="53"/>
      <c r="Y167" s="53"/>
      <c r="Z167" s="17"/>
    </row>
    <row r="168" ht="34.5" customHeight="1">
      <c r="A168" s="54" t="s">
        <v>150</v>
      </c>
      <c r="B168" s="34" t="s">
        <v>151</v>
      </c>
      <c r="C168" s="34" t="s">
        <v>203</v>
      </c>
      <c r="D168" s="34" t="s">
        <v>209</v>
      </c>
      <c r="E168" s="34">
        <v>44.0</v>
      </c>
      <c r="F168" s="35">
        <v>2.76</v>
      </c>
      <c r="G168" s="34">
        <v>2.0</v>
      </c>
      <c r="H168" s="35">
        <v>73.7</v>
      </c>
      <c r="I168" s="35">
        <v>73.7</v>
      </c>
      <c r="J168" s="36">
        <f t="shared" si="1"/>
        <v>47.06416</v>
      </c>
      <c r="K168" s="36">
        <f t="shared" si="2"/>
        <v>42.7856</v>
      </c>
      <c r="L168" s="8">
        <f t="shared" si="3"/>
        <v>0.4333914277</v>
      </c>
      <c r="M168" s="8">
        <f t="shared" si="4"/>
        <v>0.1300174283</v>
      </c>
      <c r="N168" s="8">
        <f t="shared" si="5"/>
        <v>0.02600348566</v>
      </c>
      <c r="O168" s="8">
        <f t="shared" si="6"/>
        <v>0.0855712</v>
      </c>
      <c r="P168" s="8">
        <f t="shared" si="7"/>
        <v>0.1283568</v>
      </c>
      <c r="Q168" s="8">
        <f t="shared" si="8"/>
        <v>0.0427856</v>
      </c>
      <c r="R168" s="53"/>
      <c r="S168" s="53"/>
      <c r="T168" s="53"/>
      <c r="U168" s="53"/>
      <c r="V168" s="53"/>
      <c r="W168" s="53"/>
      <c r="X168" s="53"/>
      <c r="Y168" s="53"/>
      <c r="Z168" s="17"/>
    </row>
    <row r="169" ht="34.5" customHeight="1">
      <c r="A169" s="54" t="s">
        <v>150</v>
      </c>
      <c r="B169" s="34" t="s">
        <v>151</v>
      </c>
      <c r="C169" s="34" t="s">
        <v>203</v>
      </c>
      <c r="D169" s="34" t="s">
        <v>210</v>
      </c>
      <c r="E169" s="34">
        <v>166.0</v>
      </c>
      <c r="F169" s="35">
        <v>3.46</v>
      </c>
      <c r="G169" s="34">
        <v>4.0</v>
      </c>
      <c r="H169" s="35">
        <v>43.03</v>
      </c>
      <c r="I169" s="35">
        <v>61.74</v>
      </c>
      <c r="J169" s="36">
        <f t="shared" si="1"/>
        <v>176.28204</v>
      </c>
      <c r="K169" s="36">
        <f t="shared" si="2"/>
        <v>160.2564</v>
      </c>
      <c r="L169" s="8">
        <f t="shared" si="3"/>
        <v>1.623297324</v>
      </c>
      <c r="M169" s="8">
        <f t="shared" si="4"/>
        <v>0.4869891973</v>
      </c>
      <c r="N169" s="8">
        <f t="shared" si="5"/>
        <v>0.09739783945</v>
      </c>
      <c r="O169" s="8">
        <f t="shared" si="6"/>
        <v>0.3205128</v>
      </c>
      <c r="P169" s="8">
        <f t="shared" si="7"/>
        <v>0.4807692</v>
      </c>
      <c r="Q169" s="8">
        <f t="shared" si="8"/>
        <v>0.1602564</v>
      </c>
      <c r="R169" s="53"/>
      <c r="S169" s="53"/>
      <c r="T169" s="53"/>
      <c r="U169" s="53"/>
      <c r="V169" s="53"/>
      <c r="W169" s="53"/>
      <c r="X169" s="53"/>
      <c r="Y169" s="53"/>
      <c r="Z169" s="17"/>
    </row>
    <row r="170" ht="34.5" customHeight="1">
      <c r="A170" s="54" t="s">
        <v>150</v>
      </c>
      <c r="B170" s="34" t="s">
        <v>151</v>
      </c>
      <c r="C170" s="34" t="s">
        <v>203</v>
      </c>
      <c r="D170" s="34" t="s">
        <v>211</v>
      </c>
      <c r="E170" s="34">
        <v>71.0</v>
      </c>
      <c r="F170" s="35">
        <v>5.87</v>
      </c>
      <c r="G170" s="34">
        <v>4.0</v>
      </c>
      <c r="H170" s="35">
        <v>74.68</v>
      </c>
      <c r="I170" s="35">
        <v>74.68</v>
      </c>
      <c r="J170" s="36">
        <f t="shared" si="1"/>
        <v>73.51553</v>
      </c>
      <c r="K170" s="36">
        <f t="shared" si="2"/>
        <v>66.8323</v>
      </c>
      <c r="L170" s="8">
        <f t="shared" si="3"/>
        <v>0.6769694924</v>
      </c>
      <c r="M170" s="8">
        <f t="shared" si="4"/>
        <v>0.2030908477</v>
      </c>
      <c r="N170" s="8">
        <f t="shared" si="5"/>
        <v>0.04061816954</v>
      </c>
      <c r="O170" s="8">
        <f t="shared" si="6"/>
        <v>0.1336646</v>
      </c>
      <c r="P170" s="8">
        <f t="shared" si="7"/>
        <v>0.2004969</v>
      </c>
      <c r="Q170" s="8">
        <f t="shared" si="8"/>
        <v>0.0668323</v>
      </c>
      <c r="R170" s="53"/>
      <c r="S170" s="53"/>
      <c r="T170" s="53"/>
      <c r="U170" s="53"/>
      <c r="V170" s="53"/>
      <c r="W170" s="53"/>
      <c r="X170" s="53"/>
      <c r="Y170" s="53"/>
      <c r="Z170" s="17"/>
    </row>
    <row r="171" ht="34.5" customHeight="1">
      <c r="A171" s="54" t="s">
        <v>150</v>
      </c>
      <c r="B171" s="34" t="s">
        <v>151</v>
      </c>
      <c r="C171" s="34" t="s">
        <v>203</v>
      </c>
      <c r="D171" s="34" t="s">
        <v>212</v>
      </c>
      <c r="E171" s="34">
        <v>273.0</v>
      </c>
      <c r="F171" s="35">
        <v>9.6</v>
      </c>
      <c r="G171" s="34">
        <v>5.0</v>
      </c>
      <c r="H171" s="35">
        <v>38.16</v>
      </c>
      <c r="I171" s="35">
        <v>60.28</v>
      </c>
      <c r="J171" s="36">
        <f t="shared" si="1"/>
        <v>271.4712</v>
      </c>
      <c r="K171" s="36">
        <f t="shared" si="2"/>
        <v>246.792</v>
      </c>
      <c r="L171" s="8">
        <f t="shared" si="3"/>
        <v>2.49984895</v>
      </c>
      <c r="M171" s="8">
        <f t="shared" si="4"/>
        <v>0.7499546849</v>
      </c>
      <c r="N171" s="8">
        <f t="shared" si="5"/>
        <v>0.149990937</v>
      </c>
      <c r="O171" s="8">
        <f t="shared" si="6"/>
        <v>0.493584</v>
      </c>
      <c r="P171" s="8">
        <f t="shared" si="7"/>
        <v>0.740376</v>
      </c>
      <c r="Q171" s="8">
        <f t="shared" si="8"/>
        <v>0.246792</v>
      </c>
      <c r="R171" s="53"/>
      <c r="S171" s="53"/>
      <c r="T171" s="53"/>
      <c r="U171" s="53"/>
      <c r="V171" s="53"/>
      <c r="W171" s="53"/>
      <c r="X171" s="53"/>
      <c r="Y171" s="53"/>
      <c r="Z171" s="17"/>
    </row>
    <row r="172" ht="34.5" customHeight="1">
      <c r="A172" s="54" t="s">
        <v>150</v>
      </c>
      <c r="B172" s="34" t="s">
        <v>151</v>
      </c>
      <c r="C172" s="34" t="s">
        <v>203</v>
      </c>
      <c r="D172" s="34" t="s">
        <v>213</v>
      </c>
      <c r="E172" s="34">
        <v>160.0</v>
      </c>
      <c r="F172" s="35">
        <v>3.29</v>
      </c>
      <c r="G172" s="34">
        <v>4.0</v>
      </c>
      <c r="H172" s="35">
        <v>68.32</v>
      </c>
      <c r="I172" s="35">
        <v>88.12</v>
      </c>
      <c r="J172" s="36">
        <f t="shared" si="1"/>
        <v>170.2096</v>
      </c>
      <c r="K172" s="36">
        <f t="shared" si="2"/>
        <v>154.736</v>
      </c>
      <c r="L172" s="8">
        <f t="shared" si="3"/>
        <v>1.567379117</v>
      </c>
      <c r="M172" s="8">
        <f t="shared" si="4"/>
        <v>0.4702137352</v>
      </c>
      <c r="N172" s="8">
        <f t="shared" si="5"/>
        <v>0.09404274703</v>
      </c>
      <c r="O172" s="8">
        <f t="shared" si="6"/>
        <v>0.309472</v>
      </c>
      <c r="P172" s="8">
        <f t="shared" si="7"/>
        <v>0.464208</v>
      </c>
      <c r="Q172" s="8">
        <f t="shared" si="8"/>
        <v>0.154736</v>
      </c>
      <c r="R172" s="53"/>
      <c r="S172" s="53"/>
      <c r="T172" s="53"/>
      <c r="U172" s="53"/>
      <c r="V172" s="53"/>
      <c r="W172" s="53"/>
      <c r="X172" s="53"/>
      <c r="Y172" s="53"/>
      <c r="Z172" s="17"/>
    </row>
    <row r="173" ht="34.5" customHeight="1">
      <c r="A173" s="54" t="s">
        <v>150</v>
      </c>
      <c r="B173" s="34" t="s">
        <v>151</v>
      </c>
      <c r="C173" s="34" t="s">
        <v>203</v>
      </c>
      <c r="D173" s="34" t="s">
        <v>214</v>
      </c>
      <c r="E173" s="34">
        <v>90.0</v>
      </c>
      <c r="F173" s="35">
        <v>7.54</v>
      </c>
      <c r="G173" s="34">
        <v>3.0</v>
      </c>
      <c r="H173" s="35">
        <v>35.04</v>
      </c>
      <c r="I173" s="35">
        <v>95.98</v>
      </c>
      <c r="J173" s="36">
        <f t="shared" si="1"/>
        <v>91.5354</v>
      </c>
      <c r="K173" s="36">
        <f t="shared" si="2"/>
        <v>83.214</v>
      </c>
      <c r="L173" s="8">
        <f t="shared" si="3"/>
        <v>0.8429058904</v>
      </c>
      <c r="M173" s="8">
        <f t="shared" si="4"/>
        <v>0.2528717671</v>
      </c>
      <c r="N173" s="8">
        <f t="shared" si="5"/>
        <v>0.05057435342</v>
      </c>
      <c r="O173" s="8">
        <f t="shared" si="6"/>
        <v>0.166428</v>
      </c>
      <c r="P173" s="8">
        <f t="shared" si="7"/>
        <v>0.249642</v>
      </c>
      <c r="Q173" s="8">
        <f t="shared" si="8"/>
        <v>0.083214</v>
      </c>
      <c r="R173" s="53"/>
      <c r="S173" s="53"/>
      <c r="T173" s="53"/>
      <c r="U173" s="53"/>
      <c r="V173" s="53"/>
      <c r="W173" s="53"/>
      <c r="X173" s="53"/>
      <c r="Y173" s="53"/>
      <c r="Z173" s="17"/>
    </row>
    <row r="174" ht="34.5" customHeight="1">
      <c r="A174" s="54" t="s">
        <v>150</v>
      </c>
      <c r="B174" s="34" t="s">
        <v>151</v>
      </c>
      <c r="C174" s="34" t="s">
        <v>203</v>
      </c>
      <c r="D174" s="34" t="s">
        <v>215</v>
      </c>
      <c r="E174" s="34">
        <v>276.0</v>
      </c>
      <c r="F174" s="35">
        <v>10.98</v>
      </c>
      <c r="G174" s="34">
        <v>4.0</v>
      </c>
      <c r="H174" s="35">
        <v>100.0</v>
      </c>
      <c r="I174" s="35">
        <v>100.0</v>
      </c>
      <c r="J174" s="36">
        <f t="shared" si="1"/>
        <v>270.26472</v>
      </c>
      <c r="K174" s="36">
        <f t="shared" si="2"/>
        <v>245.6952</v>
      </c>
      <c r="L174" s="8">
        <f t="shared" si="3"/>
        <v>2.48873905</v>
      </c>
      <c r="M174" s="8">
        <f t="shared" si="4"/>
        <v>0.7466217151</v>
      </c>
      <c r="N174" s="8">
        <f t="shared" si="5"/>
        <v>0.149324343</v>
      </c>
      <c r="O174" s="8">
        <f t="shared" si="6"/>
        <v>0.4913904</v>
      </c>
      <c r="P174" s="8">
        <f t="shared" si="7"/>
        <v>0.7370856</v>
      </c>
      <c r="Q174" s="8">
        <f t="shared" si="8"/>
        <v>0.2456952</v>
      </c>
      <c r="R174" s="53"/>
      <c r="S174" s="53"/>
      <c r="T174" s="53"/>
      <c r="U174" s="53"/>
      <c r="V174" s="53"/>
      <c r="W174" s="53"/>
      <c r="X174" s="53"/>
      <c r="Y174" s="53"/>
      <c r="Z174" s="17"/>
    </row>
    <row r="175" ht="34.5" customHeight="1">
      <c r="A175" s="54" t="s">
        <v>150</v>
      </c>
      <c r="B175" s="34" t="s">
        <v>151</v>
      </c>
      <c r="C175" s="34" t="s">
        <v>203</v>
      </c>
      <c r="D175" s="34" t="s">
        <v>216</v>
      </c>
      <c r="E175" s="34">
        <v>289.0</v>
      </c>
      <c r="F175" s="35">
        <v>11.2</v>
      </c>
      <c r="G175" s="34">
        <v>10.0</v>
      </c>
      <c r="H175" s="35">
        <v>92.6</v>
      </c>
      <c r="I175" s="35">
        <v>92.6</v>
      </c>
      <c r="J175" s="36">
        <f t="shared" si="1"/>
        <v>282.2952</v>
      </c>
      <c r="K175" s="36">
        <f t="shared" si="2"/>
        <v>256.632</v>
      </c>
      <c r="L175" s="8">
        <f t="shared" si="3"/>
        <v>2.599522009</v>
      </c>
      <c r="M175" s="8">
        <f t="shared" si="4"/>
        <v>0.7798566027</v>
      </c>
      <c r="N175" s="8">
        <f t="shared" si="5"/>
        <v>0.1559713205</v>
      </c>
      <c r="O175" s="8">
        <f t="shared" si="6"/>
        <v>0.513264</v>
      </c>
      <c r="P175" s="8">
        <f t="shared" si="7"/>
        <v>0.769896</v>
      </c>
      <c r="Q175" s="8">
        <f t="shared" si="8"/>
        <v>0.256632</v>
      </c>
      <c r="R175" s="53"/>
      <c r="S175" s="53"/>
      <c r="T175" s="53"/>
      <c r="U175" s="53"/>
      <c r="V175" s="53"/>
      <c r="W175" s="53"/>
      <c r="X175" s="53"/>
      <c r="Y175" s="53"/>
      <c r="Z175" s="17"/>
    </row>
    <row r="176" ht="34.5" customHeight="1">
      <c r="A176" s="54" t="s">
        <v>150</v>
      </c>
      <c r="B176" s="34" t="s">
        <v>151</v>
      </c>
      <c r="C176" s="34" t="s">
        <v>203</v>
      </c>
      <c r="D176" s="34" t="s">
        <v>217</v>
      </c>
      <c r="E176" s="34">
        <v>44.0</v>
      </c>
      <c r="F176" s="35">
        <v>3.72</v>
      </c>
      <c r="G176" s="34">
        <v>1.0</v>
      </c>
      <c r="H176" s="35">
        <v>94.83</v>
      </c>
      <c r="I176" s="35">
        <v>94.83</v>
      </c>
      <c r="J176" s="36">
        <f t="shared" si="1"/>
        <v>46.59952</v>
      </c>
      <c r="K176" s="36">
        <f t="shared" si="2"/>
        <v>42.3632</v>
      </c>
      <c r="L176" s="8">
        <f t="shared" si="3"/>
        <v>0.4291127793</v>
      </c>
      <c r="M176" s="8">
        <f t="shared" si="4"/>
        <v>0.1287338338</v>
      </c>
      <c r="N176" s="8">
        <f t="shared" si="5"/>
        <v>0.02574676676</v>
      </c>
      <c r="O176" s="8">
        <f t="shared" si="6"/>
        <v>0.0847264</v>
      </c>
      <c r="P176" s="8">
        <f t="shared" si="7"/>
        <v>0.1270896</v>
      </c>
      <c r="Q176" s="8">
        <f t="shared" si="8"/>
        <v>0.0423632</v>
      </c>
      <c r="R176" s="53"/>
      <c r="S176" s="53"/>
      <c r="T176" s="53"/>
      <c r="U176" s="53"/>
      <c r="V176" s="53"/>
      <c r="W176" s="53"/>
      <c r="X176" s="53"/>
      <c r="Y176" s="53"/>
      <c r="Z176" s="17"/>
    </row>
    <row r="177" ht="34.5" customHeight="1">
      <c r="A177" s="54" t="s">
        <v>150</v>
      </c>
      <c r="B177" s="34" t="s">
        <v>151</v>
      </c>
      <c r="C177" s="34" t="s">
        <v>203</v>
      </c>
      <c r="D177" s="34" t="s">
        <v>218</v>
      </c>
      <c r="E177" s="34">
        <v>183.0</v>
      </c>
      <c r="F177" s="35">
        <v>1.42</v>
      </c>
      <c r="G177" s="34">
        <v>5.0</v>
      </c>
      <c r="H177" s="35">
        <v>99.57</v>
      </c>
      <c r="I177" s="35">
        <v>100.0</v>
      </c>
      <c r="J177" s="36">
        <f t="shared" si="1"/>
        <v>198.44154</v>
      </c>
      <c r="K177" s="36">
        <f t="shared" si="2"/>
        <v>180.4014</v>
      </c>
      <c r="L177" s="8">
        <f t="shared" si="3"/>
        <v>1.827353603</v>
      </c>
      <c r="M177" s="8">
        <f t="shared" si="4"/>
        <v>0.5482060808</v>
      </c>
      <c r="N177" s="8">
        <f t="shared" si="5"/>
        <v>0.1096412162</v>
      </c>
      <c r="O177" s="8">
        <f t="shared" si="6"/>
        <v>0.3608028</v>
      </c>
      <c r="P177" s="8">
        <f t="shared" si="7"/>
        <v>0.5412042</v>
      </c>
      <c r="Q177" s="8">
        <f t="shared" si="8"/>
        <v>0.1804014</v>
      </c>
      <c r="R177" s="53"/>
      <c r="S177" s="53"/>
      <c r="T177" s="53"/>
      <c r="U177" s="53"/>
      <c r="V177" s="53"/>
      <c r="W177" s="53"/>
      <c r="X177" s="53"/>
      <c r="Y177" s="53"/>
      <c r="Z177" s="17"/>
    </row>
    <row r="178" ht="34.5" customHeight="1">
      <c r="A178" s="54" t="s">
        <v>150</v>
      </c>
      <c r="B178" s="34" t="s">
        <v>151</v>
      </c>
      <c r="C178" s="34" t="s">
        <v>203</v>
      </c>
      <c r="D178" s="34" t="s">
        <v>219</v>
      </c>
      <c r="E178" s="34">
        <v>286.0</v>
      </c>
      <c r="F178" s="35">
        <v>6.0</v>
      </c>
      <c r="G178" s="34">
        <v>6.0</v>
      </c>
      <c r="H178" s="35">
        <v>59.44</v>
      </c>
      <c r="I178" s="35">
        <v>72.36</v>
      </c>
      <c r="J178" s="36">
        <f t="shared" si="1"/>
        <v>295.724</v>
      </c>
      <c r="K178" s="36">
        <f t="shared" si="2"/>
        <v>268.84</v>
      </c>
      <c r="L178" s="8">
        <f t="shared" si="3"/>
        <v>2.723181431</v>
      </c>
      <c r="M178" s="8">
        <f t="shared" si="4"/>
        <v>0.8169544292</v>
      </c>
      <c r="N178" s="8">
        <f t="shared" si="5"/>
        <v>0.1633908858</v>
      </c>
      <c r="O178" s="8">
        <f t="shared" si="6"/>
        <v>0.53768</v>
      </c>
      <c r="P178" s="8">
        <f t="shared" si="7"/>
        <v>0.80652</v>
      </c>
      <c r="Q178" s="8">
        <f t="shared" si="8"/>
        <v>0.26884</v>
      </c>
      <c r="R178" s="53"/>
      <c r="S178" s="53"/>
      <c r="T178" s="53"/>
      <c r="U178" s="53"/>
      <c r="V178" s="53"/>
      <c r="W178" s="53"/>
      <c r="X178" s="53"/>
      <c r="Y178" s="53"/>
      <c r="Z178" s="17"/>
    </row>
    <row r="179" ht="34.5" customHeight="1">
      <c r="A179" s="54" t="s">
        <v>150</v>
      </c>
      <c r="B179" s="38" t="s">
        <v>151</v>
      </c>
      <c r="C179" s="38" t="s">
        <v>203</v>
      </c>
      <c r="D179" s="38" t="s">
        <v>220</v>
      </c>
      <c r="E179" s="34">
        <v>47.0</v>
      </c>
      <c r="F179" s="35">
        <v>1.24</v>
      </c>
      <c r="G179" s="34">
        <v>3.0</v>
      </c>
      <c r="H179" s="35">
        <v>76.13</v>
      </c>
      <c r="I179" s="35">
        <v>100.0</v>
      </c>
      <c r="J179" s="36">
        <f t="shared" si="1"/>
        <v>51.05892</v>
      </c>
      <c r="K179" s="36">
        <f t="shared" si="2"/>
        <v>46.4172</v>
      </c>
      <c r="L179" s="8">
        <f t="shared" si="3"/>
        <v>0.4701772694</v>
      </c>
      <c r="M179" s="8">
        <f t="shared" si="4"/>
        <v>0.1410531808</v>
      </c>
      <c r="N179" s="8">
        <f t="shared" si="5"/>
        <v>0.02821063616</v>
      </c>
      <c r="O179" s="8">
        <f t="shared" si="6"/>
        <v>0.0928344</v>
      </c>
      <c r="P179" s="8">
        <f t="shared" si="7"/>
        <v>0.1392516</v>
      </c>
      <c r="Q179" s="8">
        <f t="shared" si="8"/>
        <v>0.0464172</v>
      </c>
      <c r="R179" s="53"/>
      <c r="S179" s="53"/>
      <c r="T179" s="53"/>
      <c r="U179" s="53"/>
      <c r="V179" s="53"/>
      <c r="W179" s="53"/>
      <c r="X179" s="53"/>
      <c r="Y179" s="53"/>
      <c r="Z179" s="17"/>
    </row>
    <row r="180" ht="34.5" customHeight="1">
      <c r="A180" s="54" t="s">
        <v>221</v>
      </c>
      <c r="B180" s="34" t="s">
        <v>222</v>
      </c>
      <c r="C180" s="34" t="s">
        <v>223</v>
      </c>
      <c r="D180" s="34" t="s">
        <v>223</v>
      </c>
      <c r="E180" s="34">
        <v>360.0</v>
      </c>
      <c r="F180" s="35">
        <v>24.52</v>
      </c>
      <c r="G180" s="34">
        <v>8.0</v>
      </c>
      <c r="H180" s="35">
        <v>98.38</v>
      </c>
      <c r="I180" s="35">
        <v>100.0</v>
      </c>
      <c r="J180" s="36">
        <f t="shared" si="1"/>
        <v>298.9008</v>
      </c>
      <c r="K180" s="36">
        <f t="shared" si="2"/>
        <v>271.728</v>
      </c>
      <c r="L180" s="8">
        <f t="shared" si="3"/>
        <v>2.752435068</v>
      </c>
      <c r="M180" s="8">
        <f t="shared" si="4"/>
        <v>0.8257305205</v>
      </c>
      <c r="N180" s="8">
        <f t="shared" si="5"/>
        <v>0.1651461041</v>
      </c>
      <c r="O180" s="8">
        <f t="shared" si="6"/>
        <v>0.543456</v>
      </c>
      <c r="P180" s="8">
        <f t="shared" si="7"/>
        <v>0.815184</v>
      </c>
      <c r="Q180" s="8">
        <f t="shared" si="8"/>
        <v>0.271728</v>
      </c>
      <c r="R180" s="57"/>
      <c r="S180" s="57"/>
      <c r="T180" s="57"/>
      <c r="U180" s="57"/>
      <c r="V180" s="57"/>
      <c r="W180" s="57"/>
      <c r="X180" s="57"/>
      <c r="Y180" s="57"/>
      <c r="Z180" s="17"/>
    </row>
    <row r="181" ht="34.5" customHeight="1">
      <c r="A181" s="54" t="s">
        <v>221</v>
      </c>
      <c r="B181" s="34" t="s">
        <v>222</v>
      </c>
      <c r="C181" s="34" t="s">
        <v>223</v>
      </c>
      <c r="D181" s="34" t="s">
        <v>224</v>
      </c>
      <c r="E181" s="34">
        <v>109.0</v>
      </c>
      <c r="F181" s="35">
        <v>12.22</v>
      </c>
      <c r="G181" s="34">
        <v>3.0</v>
      </c>
      <c r="H181" s="35">
        <v>70.7</v>
      </c>
      <c r="I181" s="35">
        <v>94.47</v>
      </c>
      <c r="J181" s="36">
        <f t="shared" si="1"/>
        <v>105.24822</v>
      </c>
      <c r="K181" s="36">
        <f t="shared" si="2"/>
        <v>95.6802</v>
      </c>
      <c r="L181" s="8">
        <f t="shared" si="3"/>
        <v>0.9691807169</v>
      </c>
      <c r="M181" s="8">
        <f t="shared" si="4"/>
        <v>0.2907542151</v>
      </c>
      <c r="N181" s="8">
        <f t="shared" si="5"/>
        <v>0.05815084301</v>
      </c>
      <c r="O181" s="8">
        <f t="shared" si="6"/>
        <v>0.1913604</v>
      </c>
      <c r="P181" s="8">
        <f t="shared" si="7"/>
        <v>0.2870406</v>
      </c>
      <c r="Q181" s="8">
        <f t="shared" si="8"/>
        <v>0.0956802</v>
      </c>
      <c r="R181" s="57"/>
      <c r="S181" s="57"/>
      <c r="T181" s="57"/>
      <c r="U181" s="57"/>
      <c r="V181" s="57"/>
      <c r="W181" s="57"/>
      <c r="X181" s="57"/>
      <c r="Y181" s="57"/>
      <c r="Z181" s="17"/>
    </row>
    <row r="182" ht="34.5" customHeight="1">
      <c r="A182" s="54" t="s">
        <v>221</v>
      </c>
      <c r="B182" s="34" t="s">
        <v>222</v>
      </c>
      <c r="C182" s="34" t="s">
        <v>223</v>
      </c>
      <c r="D182" s="34" t="s">
        <v>225</v>
      </c>
      <c r="E182" s="34">
        <v>26.0</v>
      </c>
      <c r="F182" s="35">
        <v>8.27</v>
      </c>
      <c r="G182" s="34">
        <v>1.0</v>
      </c>
      <c r="H182" s="35">
        <v>100.0</v>
      </c>
      <c r="I182" s="35">
        <v>100.0</v>
      </c>
      <c r="J182" s="36">
        <f t="shared" si="1"/>
        <v>26.23478</v>
      </c>
      <c r="K182" s="36">
        <f t="shared" si="2"/>
        <v>23.8498</v>
      </c>
      <c r="L182" s="8">
        <f t="shared" si="3"/>
        <v>0.2415835906</v>
      </c>
      <c r="M182" s="8">
        <f t="shared" si="4"/>
        <v>0.07247507717</v>
      </c>
      <c r="N182" s="8">
        <f t="shared" si="5"/>
        <v>0.01449501543</v>
      </c>
      <c r="O182" s="8">
        <f t="shared" si="6"/>
        <v>0.0476996</v>
      </c>
      <c r="P182" s="8">
        <f t="shared" si="7"/>
        <v>0.0715494</v>
      </c>
      <c r="Q182" s="8">
        <f t="shared" si="8"/>
        <v>0.0238498</v>
      </c>
      <c r="R182" s="57"/>
      <c r="S182" s="57"/>
      <c r="T182" s="57"/>
      <c r="U182" s="57"/>
      <c r="V182" s="57"/>
      <c r="W182" s="57"/>
      <c r="X182" s="57"/>
      <c r="Y182" s="57"/>
      <c r="Z182" s="17"/>
    </row>
    <row r="183" ht="34.5" customHeight="1">
      <c r="A183" s="54" t="s">
        <v>221</v>
      </c>
      <c r="B183" s="34" t="s">
        <v>222</v>
      </c>
      <c r="C183" s="34" t="s">
        <v>223</v>
      </c>
      <c r="D183" s="34" t="s">
        <v>226</v>
      </c>
      <c r="E183" s="34">
        <v>155.0</v>
      </c>
      <c r="F183" s="35">
        <v>11.2</v>
      </c>
      <c r="G183" s="34">
        <v>4.0</v>
      </c>
      <c r="H183" s="35">
        <v>15.86</v>
      </c>
      <c r="I183" s="35">
        <v>49.11</v>
      </c>
      <c r="J183" s="36">
        <f t="shared" si="1"/>
        <v>151.404</v>
      </c>
      <c r="K183" s="36">
        <f t="shared" si="2"/>
        <v>137.64</v>
      </c>
      <c r="L183" s="8">
        <f t="shared" si="3"/>
        <v>1.394207306</v>
      </c>
      <c r="M183" s="8">
        <f t="shared" si="4"/>
        <v>0.4182621918</v>
      </c>
      <c r="N183" s="8">
        <f t="shared" si="5"/>
        <v>0.08365243836</v>
      </c>
      <c r="O183" s="8">
        <f t="shared" si="6"/>
        <v>0.27528</v>
      </c>
      <c r="P183" s="8">
        <f t="shared" si="7"/>
        <v>0.41292</v>
      </c>
      <c r="Q183" s="8">
        <f t="shared" si="8"/>
        <v>0.13764</v>
      </c>
      <c r="R183" s="57"/>
      <c r="S183" s="57"/>
      <c r="T183" s="57"/>
      <c r="U183" s="57"/>
      <c r="V183" s="57"/>
      <c r="W183" s="57"/>
      <c r="X183" s="57"/>
      <c r="Y183" s="57"/>
      <c r="Z183" s="17"/>
    </row>
    <row r="184" ht="34.5" customHeight="1">
      <c r="A184" s="54" t="s">
        <v>221</v>
      </c>
      <c r="B184" s="34" t="s">
        <v>222</v>
      </c>
      <c r="C184" s="34" t="s">
        <v>223</v>
      </c>
      <c r="D184" s="34" t="s">
        <v>227</v>
      </c>
      <c r="E184" s="34">
        <v>43.0</v>
      </c>
      <c r="F184" s="35">
        <v>7.18</v>
      </c>
      <c r="G184" s="34">
        <v>2.0</v>
      </c>
      <c r="H184" s="35">
        <v>84.48</v>
      </c>
      <c r="I184" s="35">
        <v>84.48</v>
      </c>
      <c r="J184" s="36">
        <f t="shared" si="1"/>
        <v>43.90386</v>
      </c>
      <c r="K184" s="36">
        <f t="shared" si="2"/>
        <v>39.9126</v>
      </c>
      <c r="L184" s="8">
        <f t="shared" si="3"/>
        <v>0.4042897306</v>
      </c>
      <c r="M184" s="8">
        <f t="shared" si="4"/>
        <v>0.1212869192</v>
      </c>
      <c r="N184" s="8">
        <f t="shared" si="5"/>
        <v>0.02425738384</v>
      </c>
      <c r="O184" s="8">
        <f t="shared" si="6"/>
        <v>0.0798252</v>
      </c>
      <c r="P184" s="8">
        <f t="shared" si="7"/>
        <v>0.1197378</v>
      </c>
      <c r="Q184" s="8">
        <f t="shared" si="8"/>
        <v>0.0399126</v>
      </c>
      <c r="R184" s="57"/>
      <c r="S184" s="57"/>
      <c r="T184" s="57"/>
      <c r="U184" s="57"/>
      <c r="V184" s="57"/>
      <c r="W184" s="57"/>
      <c r="X184" s="57"/>
      <c r="Y184" s="57"/>
      <c r="Z184" s="17"/>
    </row>
    <row r="185" ht="34.5" customHeight="1">
      <c r="A185" s="54" t="s">
        <v>221</v>
      </c>
      <c r="B185" s="34" t="s">
        <v>222</v>
      </c>
      <c r="C185" s="34" t="s">
        <v>223</v>
      </c>
      <c r="D185" s="34" t="s">
        <v>228</v>
      </c>
      <c r="E185" s="34">
        <v>244.0</v>
      </c>
      <c r="F185" s="35">
        <v>23.12</v>
      </c>
      <c r="G185" s="34">
        <v>9.0</v>
      </c>
      <c r="H185" s="35">
        <v>52.47</v>
      </c>
      <c r="I185" s="35">
        <v>67.79</v>
      </c>
      <c r="J185" s="36">
        <f t="shared" si="1"/>
        <v>206.34592</v>
      </c>
      <c r="K185" s="36">
        <f t="shared" si="2"/>
        <v>187.5872</v>
      </c>
      <c r="L185" s="8">
        <f t="shared" si="3"/>
        <v>1.900141272</v>
      </c>
      <c r="M185" s="8">
        <f t="shared" si="4"/>
        <v>0.5700423817</v>
      </c>
      <c r="N185" s="8">
        <f t="shared" si="5"/>
        <v>0.1140084763</v>
      </c>
      <c r="O185" s="8">
        <f t="shared" si="6"/>
        <v>0.3751744</v>
      </c>
      <c r="P185" s="8">
        <f t="shared" si="7"/>
        <v>0.5627616</v>
      </c>
      <c r="Q185" s="8">
        <f t="shared" si="8"/>
        <v>0.1875872</v>
      </c>
      <c r="R185" s="57"/>
      <c r="S185" s="57"/>
      <c r="T185" s="57"/>
      <c r="U185" s="57"/>
      <c r="V185" s="57"/>
      <c r="W185" s="57"/>
      <c r="X185" s="57"/>
      <c r="Y185" s="57"/>
      <c r="Z185" s="17"/>
    </row>
    <row r="186" ht="34.5" customHeight="1">
      <c r="A186" s="54" t="s">
        <v>221</v>
      </c>
      <c r="B186" s="34" t="s">
        <v>222</v>
      </c>
      <c r="C186" s="34" t="s">
        <v>223</v>
      </c>
      <c r="D186" s="34" t="s">
        <v>229</v>
      </c>
      <c r="E186" s="34">
        <v>92.0</v>
      </c>
      <c r="F186" s="35">
        <v>9.18</v>
      </c>
      <c r="G186" s="34">
        <v>4.0</v>
      </c>
      <c r="H186" s="35">
        <v>24.3</v>
      </c>
      <c r="I186" s="35">
        <v>45.43</v>
      </c>
      <c r="J186" s="36">
        <f t="shared" si="1"/>
        <v>91.90984</v>
      </c>
      <c r="K186" s="36">
        <f t="shared" si="2"/>
        <v>83.5544</v>
      </c>
      <c r="L186" s="8">
        <f t="shared" si="3"/>
        <v>0.84635393</v>
      </c>
      <c r="M186" s="8">
        <f t="shared" si="4"/>
        <v>0.253906179</v>
      </c>
      <c r="N186" s="8">
        <f t="shared" si="5"/>
        <v>0.0507812358</v>
      </c>
      <c r="O186" s="8">
        <f t="shared" si="6"/>
        <v>0.1671088</v>
      </c>
      <c r="P186" s="8">
        <f t="shared" si="7"/>
        <v>0.2506632</v>
      </c>
      <c r="Q186" s="8">
        <f t="shared" si="8"/>
        <v>0.0835544</v>
      </c>
      <c r="R186" s="57"/>
      <c r="S186" s="57"/>
      <c r="T186" s="57"/>
      <c r="U186" s="57"/>
      <c r="V186" s="57"/>
      <c r="W186" s="57"/>
      <c r="X186" s="57"/>
      <c r="Y186" s="57"/>
      <c r="Z186" s="17"/>
    </row>
    <row r="187" ht="34.5" customHeight="1">
      <c r="A187" s="54" t="s">
        <v>221</v>
      </c>
      <c r="B187" s="34" t="s">
        <v>222</v>
      </c>
      <c r="C187" s="34" t="s">
        <v>223</v>
      </c>
      <c r="D187" s="34" t="s">
        <v>230</v>
      </c>
      <c r="E187" s="34">
        <v>14.0</v>
      </c>
      <c r="F187" s="35">
        <v>2.22</v>
      </c>
      <c r="G187" s="34">
        <v>1.0</v>
      </c>
      <c r="H187" s="35">
        <v>84.29</v>
      </c>
      <c r="I187" s="35">
        <v>84.29</v>
      </c>
      <c r="J187" s="36">
        <f t="shared" si="1"/>
        <v>15.05812</v>
      </c>
      <c r="K187" s="36">
        <f t="shared" si="2"/>
        <v>13.6892</v>
      </c>
      <c r="L187" s="8">
        <f t="shared" si="3"/>
        <v>0.1386630533</v>
      </c>
      <c r="M187" s="8">
        <f t="shared" si="4"/>
        <v>0.04159891598</v>
      </c>
      <c r="N187" s="8">
        <f t="shared" si="5"/>
        <v>0.008319783196</v>
      </c>
      <c r="O187" s="8">
        <f t="shared" si="6"/>
        <v>0.0273784</v>
      </c>
      <c r="P187" s="8">
        <f t="shared" si="7"/>
        <v>0.0410676</v>
      </c>
      <c r="Q187" s="8">
        <f t="shared" si="8"/>
        <v>0.0136892</v>
      </c>
      <c r="R187" s="57"/>
      <c r="S187" s="57"/>
      <c r="T187" s="57"/>
      <c r="U187" s="57"/>
      <c r="V187" s="57"/>
      <c r="W187" s="57"/>
      <c r="X187" s="57"/>
      <c r="Y187" s="57"/>
      <c r="Z187" s="17"/>
    </row>
    <row r="188" ht="34.5" customHeight="1">
      <c r="A188" s="54" t="s">
        <v>221</v>
      </c>
      <c r="B188" s="34" t="s">
        <v>222</v>
      </c>
      <c r="C188" s="34" t="s">
        <v>223</v>
      </c>
      <c r="D188" s="34" t="s">
        <v>231</v>
      </c>
      <c r="E188" s="34">
        <v>24.0</v>
      </c>
      <c r="F188" s="35">
        <v>6.55</v>
      </c>
      <c r="G188" s="34">
        <v>1.0</v>
      </c>
      <c r="H188" s="35">
        <v>100.0</v>
      </c>
      <c r="I188" s="35">
        <v>100.0</v>
      </c>
      <c r="J188" s="36">
        <f t="shared" si="1"/>
        <v>24.6708</v>
      </c>
      <c r="K188" s="36">
        <f t="shared" si="2"/>
        <v>22.428</v>
      </c>
      <c r="L188" s="8">
        <f t="shared" si="3"/>
        <v>0.2271816438</v>
      </c>
      <c r="M188" s="8">
        <f t="shared" si="4"/>
        <v>0.06815449315</v>
      </c>
      <c r="N188" s="8">
        <f t="shared" si="5"/>
        <v>0.01363089863</v>
      </c>
      <c r="O188" s="8">
        <f t="shared" si="6"/>
        <v>0.044856</v>
      </c>
      <c r="P188" s="8">
        <f t="shared" si="7"/>
        <v>0.067284</v>
      </c>
      <c r="Q188" s="8">
        <f t="shared" si="8"/>
        <v>0.022428</v>
      </c>
      <c r="R188" s="57"/>
      <c r="S188" s="57"/>
      <c r="T188" s="57"/>
      <c r="U188" s="57"/>
      <c r="V188" s="57"/>
      <c r="W188" s="57"/>
      <c r="X188" s="57"/>
      <c r="Y188" s="57"/>
      <c r="Z188" s="17"/>
    </row>
    <row r="189" ht="34.5" customHeight="1">
      <c r="A189" s="54" t="s">
        <v>221</v>
      </c>
      <c r="B189" s="34" t="s">
        <v>222</v>
      </c>
      <c r="C189" s="34" t="s">
        <v>223</v>
      </c>
      <c r="D189" s="34" t="s">
        <v>232</v>
      </c>
      <c r="E189" s="34">
        <v>55.0</v>
      </c>
      <c r="F189" s="35">
        <v>10.27</v>
      </c>
      <c r="G189" s="34">
        <v>2.0</v>
      </c>
      <c r="H189" s="35">
        <v>65.09</v>
      </c>
      <c r="I189" s="35">
        <v>65.09</v>
      </c>
      <c r="J189" s="36">
        <f t="shared" si="1"/>
        <v>54.28665</v>
      </c>
      <c r="K189" s="36">
        <f t="shared" si="2"/>
        <v>49.3515</v>
      </c>
      <c r="L189" s="8">
        <f t="shared" si="3"/>
        <v>0.4998998973</v>
      </c>
      <c r="M189" s="8">
        <f t="shared" si="4"/>
        <v>0.1499699692</v>
      </c>
      <c r="N189" s="8">
        <f t="shared" si="5"/>
        <v>0.02999399384</v>
      </c>
      <c r="O189" s="8">
        <f t="shared" si="6"/>
        <v>0.098703</v>
      </c>
      <c r="P189" s="8">
        <f t="shared" si="7"/>
        <v>0.1480545</v>
      </c>
      <c r="Q189" s="8">
        <f t="shared" si="8"/>
        <v>0.0493515</v>
      </c>
      <c r="R189" s="57"/>
      <c r="S189" s="57"/>
      <c r="T189" s="57"/>
      <c r="U189" s="57"/>
      <c r="V189" s="57"/>
      <c r="W189" s="57"/>
      <c r="X189" s="57"/>
      <c r="Y189" s="57"/>
      <c r="Z189" s="17"/>
    </row>
    <row r="190" ht="34.5" customHeight="1">
      <c r="A190" s="54" t="s">
        <v>221</v>
      </c>
      <c r="B190" s="34" t="s">
        <v>222</v>
      </c>
      <c r="C190" s="34" t="s">
        <v>233</v>
      </c>
      <c r="D190" s="34" t="s">
        <v>233</v>
      </c>
      <c r="E190" s="34">
        <v>1040.0</v>
      </c>
      <c r="F190" s="35">
        <v>25.57</v>
      </c>
      <c r="G190" s="34">
        <v>20.0</v>
      </c>
      <c r="H190" s="35">
        <v>42.97</v>
      </c>
      <c r="I190" s="35">
        <v>49.37</v>
      </c>
      <c r="J190" s="36">
        <f t="shared" si="1"/>
        <v>851.4792</v>
      </c>
      <c r="K190" s="36">
        <f t="shared" si="2"/>
        <v>774.072</v>
      </c>
      <c r="L190" s="8">
        <f t="shared" si="3"/>
        <v>7.840866301</v>
      </c>
      <c r="M190" s="8">
        <f t="shared" si="4"/>
        <v>2.35225989</v>
      </c>
      <c r="N190" s="8">
        <f t="shared" si="5"/>
        <v>0.4704519781</v>
      </c>
      <c r="O190" s="8">
        <f t="shared" si="6"/>
        <v>1.548144</v>
      </c>
      <c r="P190" s="8">
        <f t="shared" si="7"/>
        <v>2.322216</v>
      </c>
      <c r="Q190" s="8">
        <f t="shared" si="8"/>
        <v>0.774072</v>
      </c>
      <c r="R190" s="57"/>
      <c r="S190" s="57"/>
      <c r="T190" s="57"/>
      <c r="U190" s="57"/>
      <c r="V190" s="57"/>
      <c r="W190" s="57"/>
      <c r="X190" s="57"/>
      <c r="Y190" s="57"/>
      <c r="Z190" s="17"/>
    </row>
    <row r="191" ht="34.5" customHeight="1">
      <c r="A191" s="54" t="s">
        <v>221</v>
      </c>
      <c r="B191" s="34" t="s">
        <v>222</v>
      </c>
      <c r="C191" s="34" t="s">
        <v>233</v>
      </c>
      <c r="D191" s="34" t="s">
        <v>234</v>
      </c>
      <c r="E191" s="34">
        <v>11.0</v>
      </c>
      <c r="F191" s="35">
        <v>18.74</v>
      </c>
      <c r="G191" s="34">
        <v>1.0</v>
      </c>
      <c r="H191" s="35">
        <v>0.0</v>
      </c>
      <c r="I191" s="35">
        <v>0.0</v>
      </c>
      <c r="J191" s="36">
        <f t="shared" si="1"/>
        <v>9.83246</v>
      </c>
      <c r="K191" s="36">
        <f t="shared" si="2"/>
        <v>8.9386</v>
      </c>
      <c r="L191" s="8">
        <f t="shared" si="3"/>
        <v>0.09054243988</v>
      </c>
      <c r="M191" s="8">
        <f t="shared" si="4"/>
        <v>0.02716273196</v>
      </c>
      <c r="N191" s="8">
        <f t="shared" si="5"/>
        <v>0.005432546393</v>
      </c>
      <c r="O191" s="8">
        <f t="shared" si="6"/>
        <v>0.0178772</v>
      </c>
      <c r="P191" s="8">
        <f t="shared" si="7"/>
        <v>0.0268158</v>
      </c>
      <c r="Q191" s="8">
        <f t="shared" si="8"/>
        <v>0.0089386</v>
      </c>
      <c r="R191" s="57"/>
      <c r="S191" s="57"/>
      <c r="T191" s="57"/>
      <c r="U191" s="57"/>
      <c r="V191" s="57"/>
      <c r="W191" s="57"/>
      <c r="X191" s="57"/>
      <c r="Y191" s="57"/>
      <c r="Z191" s="17"/>
    </row>
    <row r="192" ht="34.5" customHeight="1">
      <c r="A192" s="54" t="s">
        <v>221</v>
      </c>
      <c r="B192" s="34" t="s">
        <v>222</v>
      </c>
      <c r="C192" s="34" t="s">
        <v>233</v>
      </c>
      <c r="D192" s="34" t="s">
        <v>235</v>
      </c>
      <c r="E192" s="34">
        <v>333.0</v>
      </c>
      <c r="F192" s="35">
        <v>21.76</v>
      </c>
      <c r="G192" s="34">
        <v>4.0</v>
      </c>
      <c r="H192" s="35">
        <v>22.06</v>
      </c>
      <c r="I192" s="35">
        <v>68.09</v>
      </c>
      <c r="J192" s="36">
        <f t="shared" si="1"/>
        <v>286.59312</v>
      </c>
      <c r="K192" s="36">
        <f t="shared" si="2"/>
        <v>260.5392</v>
      </c>
      <c r="L192" s="8">
        <f t="shared" si="3"/>
        <v>2.639099507</v>
      </c>
      <c r="M192" s="8">
        <f t="shared" si="4"/>
        <v>0.7917298521</v>
      </c>
      <c r="N192" s="8">
        <f t="shared" si="5"/>
        <v>0.1583459704</v>
      </c>
      <c r="O192" s="8">
        <f t="shared" si="6"/>
        <v>0.5210784</v>
      </c>
      <c r="P192" s="8">
        <f t="shared" si="7"/>
        <v>0.7816176</v>
      </c>
      <c r="Q192" s="8">
        <f t="shared" si="8"/>
        <v>0.2605392</v>
      </c>
      <c r="R192" s="57"/>
      <c r="S192" s="57"/>
      <c r="T192" s="57"/>
      <c r="U192" s="57"/>
      <c r="V192" s="57"/>
      <c r="W192" s="57"/>
      <c r="X192" s="57"/>
      <c r="Y192" s="57"/>
      <c r="Z192" s="17"/>
    </row>
    <row r="193" ht="34.5" customHeight="1">
      <c r="A193" s="54" t="s">
        <v>221</v>
      </c>
      <c r="B193" s="34" t="s">
        <v>222</v>
      </c>
      <c r="C193" s="34" t="s">
        <v>233</v>
      </c>
      <c r="D193" s="34" t="s">
        <v>236</v>
      </c>
      <c r="E193" s="34">
        <v>22.0</v>
      </c>
      <c r="F193" s="35">
        <v>8.74</v>
      </c>
      <c r="G193" s="34">
        <v>1.0</v>
      </c>
      <c r="H193" s="35">
        <v>100.0</v>
      </c>
      <c r="I193" s="35">
        <v>100.0</v>
      </c>
      <c r="J193" s="36">
        <f t="shared" si="1"/>
        <v>22.08492</v>
      </c>
      <c r="K193" s="36">
        <f t="shared" si="2"/>
        <v>20.0772</v>
      </c>
      <c r="L193" s="8">
        <f t="shared" si="3"/>
        <v>0.2033695068</v>
      </c>
      <c r="M193" s="8">
        <f t="shared" si="4"/>
        <v>0.06101085205</v>
      </c>
      <c r="N193" s="8">
        <f t="shared" si="5"/>
        <v>0.01220217041</v>
      </c>
      <c r="O193" s="8">
        <f t="shared" si="6"/>
        <v>0.0401544</v>
      </c>
      <c r="P193" s="8">
        <f t="shared" si="7"/>
        <v>0.0602316</v>
      </c>
      <c r="Q193" s="8">
        <f t="shared" si="8"/>
        <v>0.0200772</v>
      </c>
      <c r="R193" s="57"/>
      <c r="S193" s="57"/>
      <c r="T193" s="57"/>
      <c r="U193" s="57"/>
      <c r="V193" s="57"/>
      <c r="W193" s="57"/>
      <c r="X193" s="57"/>
      <c r="Y193" s="57"/>
      <c r="Z193" s="17"/>
    </row>
    <row r="194" ht="34.5" customHeight="1">
      <c r="A194" s="54" t="s">
        <v>221</v>
      </c>
      <c r="B194" s="34" t="s">
        <v>222</v>
      </c>
      <c r="C194" s="34" t="s">
        <v>233</v>
      </c>
      <c r="D194" s="34" t="s">
        <v>237</v>
      </c>
      <c r="E194" s="34">
        <v>29.0</v>
      </c>
      <c r="F194" s="35">
        <v>5.79</v>
      </c>
      <c r="G194" s="34">
        <v>1.0</v>
      </c>
      <c r="H194" s="35">
        <v>100.0</v>
      </c>
      <c r="I194" s="35">
        <v>100.0</v>
      </c>
      <c r="J194" s="36">
        <f t="shared" si="1"/>
        <v>30.05299</v>
      </c>
      <c r="K194" s="36">
        <f t="shared" si="2"/>
        <v>27.3209</v>
      </c>
      <c r="L194" s="8">
        <f t="shared" si="3"/>
        <v>0.2767436674</v>
      </c>
      <c r="M194" s="8">
        <f t="shared" si="4"/>
        <v>0.08302310023</v>
      </c>
      <c r="N194" s="8">
        <f t="shared" si="5"/>
        <v>0.01660462005</v>
      </c>
      <c r="O194" s="8">
        <f t="shared" si="6"/>
        <v>0.0546418</v>
      </c>
      <c r="P194" s="8">
        <f t="shared" si="7"/>
        <v>0.0819627</v>
      </c>
      <c r="Q194" s="8">
        <f t="shared" si="8"/>
        <v>0.0273209</v>
      </c>
      <c r="R194" s="57"/>
      <c r="S194" s="57"/>
      <c r="T194" s="57"/>
      <c r="U194" s="57"/>
      <c r="V194" s="57"/>
      <c r="W194" s="57"/>
      <c r="X194" s="57"/>
      <c r="Y194" s="57"/>
      <c r="Z194" s="17"/>
    </row>
    <row r="195" ht="34.5" customHeight="1">
      <c r="A195" s="54" t="s">
        <v>221</v>
      </c>
      <c r="B195" s="34" t="s">
        <v>222</v>
      </c>
      <c r="C195" s="34" t="s">
        <v>233</v>
      </c>
      <c r="D195" s="34" t="s">
        <v>238</v>
      </c>
      <c r="E195" s="34">
        <v>33.0</v>
      </c>
      <c r="F195" s="35">
        <v>10.51</v>
      </c>
      <c r="G195" s="34">
        <v>1.0</v>
      </c>
      <c r="H195" s="35">
        <v>100.0</v>
      </c>
      <c r="I195" s="35">
        <v>100.0</v>
      </c>
      <c r="J195" s="36">
        <f t="shared" si="1"/>
        <v>32.48487</v>
      </c>
      <c r="K195" s="36">
        <f t="shared" si="2"/>
        <v>29.5317</v>
      </c>
      <c r="L195" s="8">
        <f t="shared" si="3"/>
        <v>0.2991376918</v>
      </c>
      <c r="M195" s="8">
        <f t="shared" si="4"/>
        <v>0.08974130753</v>
      </c>
      <c r="N195" s="8">
        <f t="shared" si="5"/>
        <v>0.01794826151</v>
      </c>
      <c r="O195" s="8">
        <f t="shared" si="6"/>
        <v>0.0590634</v>
      </c>
      <c r="P195" s="8">
        <f t="shared" si="7"/>
        <v>0.0885951</v>
      </c>
      <c r="Q195" s="8">
        <f t="shared" si="8"/>
        <v>0.0295317</v>
      </c>
      <c r="R195" s="57"/>
      <c r="S195" s="57"/>
      <c r="T195" s="57"/>
      <c r="U195" s="57"/>
      <c r="V195" s="57"/>
      <c r="W195" s="57"/>
      <c r="X195" s="57"/>
      <c r="Y195" s="57"/>
      <c r="Z195" s="17"/>
    </row>
    <row r="196" ht="34.5" customHeight="1">
      <c r="A196" s="54" t="s">
        <v>221</v>
      </c>
      <c r="B196" s="34" t="s">
        <v>222</v>
      </c>
      <c r="C196" s="34" t="s">
        <v>233</v>
      </c>
      <c r="D196" s="34" t="s">
        <v>239</v>
      </c>
      <c r="E196" s="34">
        <v>124.0</v>
      </c>
      <c r="F196" s="35">
        <v>23.93</v>
      </c>
      <c r="G196" s="34">
        <v>3.0</v>
      </c>
      <c r="H196" s="35">
        <v>49.28</v>
      </c>
      <c r="I196" s="35">
        <v>74.13</v>
      </c>
      <c r="J196" s="36">
        <f t="shared" si="1"/>
        <v>103.75948</v>
      </c>
      <c r="K196" s="36">
        <f t="shared" si="2"/>
        <v>94.3268</v>
      </c>
      <c r="L196" s="8">
        <f t="shared" si="3"/>
        <v>0.9554716195</v>
      </c>
      <c r="M196" s="8">
        <f t="shared" si="4"/>
        <v>0.2866414858</v>
      </c>
      <c r="N196" s="8">
        <f t="shared" si="5"/>
        <v>0.05732829717</v>
      </c>
      <c r="O196" s="8">
        <f t="shared" si="6"/>
        <v>0.1886536</v>
      </c>
      <c r="P196" s="8">
        <f t="shared" si="7"/>
        <v>0.2829804</v>
      </c>
      <c r="Q196" s="8">
        <f t="shared" si="8"/>
        <v>0.0943268</v>
      </c>
      <c r="R196" s="57"/>
      <c r="S196" s="57"/>
      <c r="T196" s="57"/>
      <c r="U196" s="57"/>
      <c r="V196" s="57"/>
      <c r="W196" s="57"/>
      <c r="X196" s="57"/>
      <c r="Y196" s="57"/>
      <c r="Z196" s="17"/>
    </row>
    <row r="197" ht="34.5" customHeight="1">
      <c r="A197" s="54" t="s">
        <v>221</v>
      </c>
      <c r="B197" s="34" t="s">
        <v>222</v>
      </c>
      <c r="C197" s="34" t="s">
        <v>233</v>
      </c>
      <c r="D197" s="34" t="s">
        <v>240</v>
      </c>
      <c r="E197" s="34">
        <v>221.0</v>
      </c>
      <c r="F197" s="35">
        <v>21.32</v>
      </c>
      <c r="G197" s="34">
        <v>5.0</v>
      </c>
      <c r="H197" s="35">
        <v>62.1</v>
      </c>
      <c r="I197" s="35">
        <v>85.05</v>
      </c>
      <c r="J197" s="36">
        <f t="shared" si="1"/>
        <v>191.27108</v>
      </c>
      <c r="K197" s="36">
        <f t="shared" si="2"/>
        <v>173.8828</v>
      </c>
      <c r="L197" s="8">
        <f t="shared" si="3"/>
        <v>1.761324253</v>
      </c>
      <c r="M197" s="8">
        <f t="shared" si="4"/>
        <v>0.5283972758</v>
      </c>
      <c r="N197" s="8">
        <f t="shared" si="5"/>
        <v>0.1056794552</v>
      </c>
      <c r="O197" s="8">
        <f t="shared" si="6"/>
        <v>0.3477656</v>
      </c>
      <c r="P197" s="8">
        <f t="shared" si="7"/>
        <v>0.5216484</v>
      </c>
      <c r="Q197" s="8">
        <f t="shared" si="8"/>
        <v>0.1738828</v>
      </c>
      <c r="R197" s="57"/>
      <c r="S197" s="57"/>
      <c r="T197" s="57"/>
      <c r="U197" s="57"/>
      <c r="V197" s="57"/>
      <c r="W197" s="57"/>
      <c r="X197" s="57"/>
      <c r="Y197" s="57"/>
      <c r="Z197" s="17"/>
    </row>
    <row r="198" ht="34.5" customHeight="1">
      <c r="A198" s="54" t="s">
        <v>221</v>
      </c>
      <c r="B198" s="34" t="s">
        <v>222</v>
      </c>
      <c r="C198" s="34" t="s">
        <v>233</v>
      </c>
      <c r="D198" s="34" t="s">
        <v>241</v>
      </c>
      <c r="E198" s="34">
        <v>429.0</v>
      </c>
      <c r="F198" s="35">
        <v>19.32</v>
      </c>
      <c r="G198" s="34">
        <v>10.0</v>
      </c>
      <c r="H198" s="35">
        <v>67.94</v>
      </c>
      <c r="I198" s="35">
        <v>99.64</v>
      </c>
      <c r="J198" s="36">
        <f t="shared" si="1"/>
        <v>380.72892</v>
      </c>
      <c r="K198" s="36">
        <f t="shared" si="2"/>
        <v>346.1172</v>
      </c>
      <c r="L198" s="8">
        <f t="shared" si="3"/>
        <v>3.505951242</v>
      </c>
      <c r="M198" s="8">
        <f t="shared" si="4"/>
        <v>1.051785373</v>
      </c>
      <c r="N198" s="8">
        <f t="shared" si="5"/>
        <v>0.2103570745</v>
      </c>
      <c r="O198" s="8">
        <f t="shared" si="6"/>
        <v>0.6922344</v>
      </c>
      <c r="P198" s="8">
        <f t="shared" si="7"/>
        <v>1.0383516</v>
      </c>
      <c r="Q198" s="8">
        <f t="shared" si="8"/>
        <v>0.3461172</v>
      </c>
      <c r="R198" s="57"/>
      <c r="S198" s="57"/>
      <c r="T198" s="57"/>
      <c r="U198" s="57"/>
      <c r="V198" s="57"/>
      <c r="W198" s="57"/>
      <c r="X198" s="57"/>
      <c r="Y198" s="57"/>
      <c r="Z198" s="17"/>
    </row>
    <row r="199" ht="34.5" customHeight="1">
      <c r="A199" s="54" t="s">
        <v>221</v>
      </c>
      <c r="B199" s="34" t="s">
        <v>222</v>
      </c>
      <c r="C199" s="34" t="s">
        <v>233</v>
      </c>
      <c r="D199" s="34" t="s">
        <v>242</v>
      </c>
      <c r="E199" s="34">
        <v>28.0</v>
      </c>
      <c r="F199" s="35">
        <v>13.04</v>
      </c>
      <c r="G199" s="34">
        <v>1.0</v>
      </c>
      <c r="H199" s="35">
        <v>100.0</v>
      </c>
      <c r="I199" s="35">
        <v>100.0</v>
      </c>
      <c r="J199" s="36">
        <f t="shared" si="1"/>
        <v>26.78368</v>
      </c>
      <c r="K199" s="36">
        <f t="shared" si="2"/>
        <v>24.3488</v>
      </c>
      <c r="L199" s="8">
        <f t="shared" si="3"/>
        <v>0.2466381492</v>
      </c>
      <c r="M199" s="8">
        <f t="shared" si="4"/>
        <v>0.07399144475</v>
      </c>
      <c r="N199" s="8">
        <f t="shared" si="5"/>
        <v>0.01479828895</v>
      </c>
      <c r="O199" s="8">
        <f t="shared" si="6"/>
        <v>0.0486976</v>
      </c>
      <c r="P199" s="8">
        <f t="shared" si="7"/>
        <v>0.0730464</v>
      </c>
      <c r="Q199" s="8">
        <f t="shared" si="8"/>
        <v>0.0243488</v>
      </c>
      <c r="R199" s="57"/>
      <c r="S199" s="57"/>
      <c r="T199" s="57"/>
      <c r="U199" s="57"/>
      <c r="V199" s="57"/>
      <c r="W199" s="57"/>
      <c r="X199" s="57"/>
      <c r="Y199" s="57"/>
      <c r="Z199" s="17"/>
    </row>
    <row r="200" ht="34.5" customHeight="1">
      <c r="A200" s="54" t="s">
        <v>221</v>
      </c>
      <c r="B200" s="34" t="s">
        <v>222</v>
      </c>
      <c r="C200" s="34" t="s">
        <v>233</v>
      </c>
      <c r="D200" s="34" t="s">
        <v>243</v>
      </c>
      <c r="E200" s="34">
        <v>38.0</v>
      </c>
      <c r="F200" s="35">
        <v>16.15</v>
      </c>
      <c r="G200" s="34">
        <v>1.0</v>
      </c>
      <c r="H200" s="35">
        <v>97.18</v>
      </c>
      <c r="I200" s="35">
        <v>97.18</v>
      </c>
      <c r="J200" s="36">
        <f t="shared" si="1"/>
        <v>35.0493</v>
      </c>
      <c r="K200" s="36">
        <f t="shared" si="2"/>
        <v>31.863</v>
      </c>
      <c r="L200" s="8">
        <f t="shared" si="3"/>
        <v>0.3227523059</v>
      </c>
      <c r="M200" s="8">
        <f t="shared" si="4"/>
        <v>0.09682569178</v>
      </c>
      <c r="N200" s="8">
        <f t="shared" si="5"/>
        <v>0.01936513836</v>
      </c>
      <c r="O200" s="8">
        <f t="shared" si="6"/>
        <v>0.063726</v>
      </c>
      <c r="P200" s="8">
        <f t="shared" si="7"/>
        <v>0.095589</v>
      </c>
      <c r="Q200" s="8">
        <f t="shared" si="8"/>
        <v>0.031863</v>
      </c>
      <c r="R200" s="57"/>
      <c r="S200" s="57"/>
      <c r="T200" s="57"/>
      <c r="U200" s="57"/>
      <c r="V200" s="57"/>
      <c r="W200" s="57"/>
      <c r="X200" s="57"/>
      <c r="Y200" s="57"/>
      <c r="Z200" s="17"/>
    </row>
    <row r="201" ht="34.5" customHeight="1">
      <c r="A201" s="54" t="s">
        <v>221</v>
      </c>
      <c r="B201" s="34" t="s">
        <v>222</v>
      </c>
      <c r="C201" s="34" t="s">
        <v>233</v>
      </c>
      <c r="D201" s="34" t="s">
        <v>244</v>
      </c>
      <c r="E201" s="34">
        <v>176.0</v>
      </c>
      <c r="F201" s="35">
        <v>17.64</v>
      </c>
      <c r="G201" s="34">
        <v>4.0</v>
      </c>
      <c r="H201" s="35">
        <v>92.0</v>
      </c>
      <c r="I201" s="35">
        <v>92.0</v>
      </c>
      <c r="J201" s="36">
        <f t="shared" si="1"/>
        <v>159.44896</v>
      </c>
      <c r="K201" s="36">
        <f t="shared" si="2"/>
        <v>144.9536</v>
      </c>
      <c r="L201" s="8">
        <f t="shared" si="3"/>
        <v>1.46828951</v>
      </c>
      <c r="M201" s="8">
        <f t="shared" si="4"/>
        <v>0.440486853</v>
      </c>
      <c r="N201" s="8">
        <f t="shared" si="5"/>
        <v>0.08809737059</v>
      </c>
      <c r="O201" s="8">
        <f t="shared" si="6"/>
        <v>0.2899072</v>
      </c>
      <c r="P201" s="8">
        <f t="shared" si="7"/>
        <v>0.4348608</v>
      </c>
      <c r="Q201" s="8">
        <f t="shared" si="8"/>
        <v>0.1449536</v>
      </c>
      <c r="R201" s="57"/>
      <c r="S201" s="57"/>
      <c r="T201" s="57"/>
      <c r="U201" s="57"/>
      <c r="V201" s="57"/>
      <c r="W201" s="57"/>
      <c r="X201" s="57"/>
      <c r="Y201" s="57"/>
      <c r="Z201" s="17"/>
    </row>
    <row r="202" ht="34.5" customHeight="1">
      <c r="A202" s="54" t="s">
        <v>221</v>
      </c>
      <c r="B202" s="34" t="s">
        <v>222</v>
      </c>
      <c r="C202" s="34" t="s">
        <v>222</v>
      </c>
      <c r="D202" s="34" t="s">
        <v>245</v>
      </c>
      <c r="E202" s="34">
        <v>32.0</v>
      </c>
      <c r="F202" s="35">
        <v>2.3</v>
      </c>
      <c r="G202" s="34">
        <v>1.0</v>
      </c>
      <c r="H202" s="35">
        <v>100.0</v>
      </c>
      <c r="I202" s="35">
        <v>100.0</v>
      </c>
      <c r="J202" s="36">
        <f t="shared" si="1"/>
        <v>34.3904</v>
      </c>
      <c r="K202" s="36">
        <f t="shared" si="2"/>
        <v>31.264</v>
      </c>
      <c r="L202" s="8">
        <f t="shared" si="3"/>
        <v>0.3166848097</v>
      </c>
      <c r="M202" s="8">
        <f t="shared" si="4"/>
        <v>0.09500544292</v>
      </c>
      <c r="N202" s="8">
        <f t="shared" si="5"/>
        <v>0.01900108858</v>
      </c>
      <c r="O202" s="8">
        <f t="shared" si="6"/>
        <v>0.062528</v>
      </c>
      <c r="P202" s="8">
        <f t="shared" si="7"/>
        <v>0.093792</v>
      </c>
      <c r="Q202" s="8">
        <f t="shared" si="8"/>
        <v>0.031264</v>
      </c>
      <c r="R202" s="57"/>
      <c r="S202" s="57"/>
      <c r="T202" s="57"/>
      <c r="U202" s="57"/>
      <c r="V202" s="57"/>
      <c r="W202" s="57"/>
      <c r="X202" s="57"/>
      <c r="Y202" s="57"/>
      <c r="Z202" s="17"/>
    </row>
    <row r="203" ht="34.5" customHeight="1">
      <c r="A203" s="54" t="s">
        <v>221</v>
      </c>
      <c r="B203" s="34" t="s">
        <v>222</v>
      </c>
      <c r="C203" s="34" t="s">
        <v>222</v>
      </c>
      <c r="D203" s="34" t="s">
        <v>246</v>
      </c>
      <c r="E203" s="34">
        <v>34.0</v>
      </c>
      <c r="F203" s="35">
        <v>6.64</v>
      </c>
      <c r="G203" s="34">
        <v>1.0</v>
      </c>
      <c r="H203" s="35">
        <v>100.0</v>
      </c>
      <c r="I203" s="35">
        <v>100.0</v>
      </c>
      <c r="J203" s="36">
        <f t="shared" si="1"/>
        <v>34.91664</v>
      </c>
      <c r="K203" s="36">
        <f t="shared" si="2"/>
        <v>31.7424</v>
      </c>
      <c r="L203" s="8">
        <f t="shared" si="3"/>
        <v>0.3215307032</v>
      </c>
      <c r="M203" s="8">
        <f t="shared" si="4"/>
        <v>0.09645921096</v>
      </c>
      <c r="N203" s="8">
        <f t="shared" si="5"/>
        <v>0.01929184219</v>
      </c>
      <c r="O203" s="8">
        <f t="shared" si="6"/>
        <v>0.0634848</v>
      </c>
      <c r="P203" s="8">
        <f t="shared" si="7"/>
        <v>0.0952272</v>
      </c>
      <c r="Q203" s="8">
        <f t="shared" si="8"/>
        <v>0.0317424</v>
      </c>
      <c r="R203" s="57"/>
      <c r="S203" s="57"/>
      <c r="T203" s="57"/>
      <c r="U203" s="57"/>
      <c r="V203" s="57"/>
      <c r="W203" s="57"/>
      <c r="X203" s="57"/>
      <c r="Y203" s="57"/>
      <c r="Z203" s="17"/>
    </row>
    <row r="204" ht="34.5" customHeight="1">
      <c r="A204" s="54" t="s">
        <v>221</v>
      </c>
      <c r="B204" s="34" t="s">
        <v>222</v>
      </c>
      <c r="C204" s="34" t="s">
        <v>222</v>
      </c>
      <c r="D204" s="34" t="s">
        <v>247</v>
      </c>
      <c r="E204" s="34">
        <v>50.0</v>
      </c>
      <c r="F204" s="35">
        <v>5.6</v>
      </c>
      <c r="G204" s="34">
        <v>2.0</v>
      </c>
      <c r="H204" s="35">
        <v>100.0</v>
      </c>
      <c r="I204" s="35">
        <v>100.0</v>
      </c>
      <c r="J204" s="36">
        <f t="shared" si="1"/>
        <v>51.92</v>
      </c>
      <c r="K204" s="36">
        <f t="shared" si="2"/>
        <v>47.2</v>
      </c>
      <c r="L204" s="8">
        <f t="shared" si="3"/>
        <v>0.4781065449</v>
      </c>
      <c r="M204" s="8">
        <f t="shared" si="4"/>
        <v>0.1434319635</v>
      </c>
      <c r="N204" s="8">
        <f t="shared" si="5"/>
        <v>0.02868639269</v>
      </c>
      <c r="O204" s="8">
        <f t="shared" si="6"/>
        <v>0.0944</v>
      </c>
      <c r="P204" s="8">
        <f t="shared" si="7"/>
        <v>0.1416</v>
      </c>
      <c r="Q204" s="8">
        <f t="shared" si="8"/>
        <v>0.0472</v>
      </c>
      <c r="R204" s="57"/>
      <c r="S204" s="57"/>
      <c r="T204" s="57"/>
      <c r="U204" s="57"/>
      <c r="V204" s="57"/>
      <c r="W204" s="57"/>
      <c r="X204" s="57"/>
      <c r="Y204" s="57"/>
      <c r="Z204" s="17"/>
    </row>
    <row r="205" ht="34.5" customHeight="1">
      <c r="A205" s="54" t="s">
        <v>221</v>
      </c>
      <c r="B205" s="34" t="s">
        <v>222</v>
      </c>
      <c r="C205" s="34" t="s">
        <v>222</v>
      </c>
      <c r="D205" s="34" t="s">
        <v>248</v>
      </c>
      <c r="E205" s="34">
        <v>79.0</v>
      </c>
      <c r="F205" s="35">
        <v>11.65</v>
      </c>
      <c r="G205" s="34">
        <v>2.0</v>
      </c>
      <c r="H205" s="35">
        <v>100.0</v>
      </c>
      <c r="I205" s="35">
        <v>100.0</v>
      </c>
      <c r="J205" s="36">
        <f t="shared" si="1"/>
        <v>76.77615</v>
      </c>
      <c r="K205" s="36">
        <f t="shared" si="2"/>
        <v>69.7965</v>
      </c>
      <c r="L205" s="8">
        <f t="shared" si="3"/>
        <v>0.7069949886</v>
      </c>
      <c r="M205" s="8">
        <f t="shared" si="4"/>
        <v>0.2120984966</v>
      </c>
      <c r="N205" s="8">
        <f t="shared" si="5"/>
        <v>0.04241969932</v>
      </c>
      <c r="O205" s="8">
        <f t="shared" si="6"/>
        <v>0.139593</v>
      </c>
      <c r="P205" s="8">
        <f t="shared" si="7"/>
        <v>0.2093895</v>
      </c>
      <c r="Q205" s="8">
        <f t="shared" si="8"/>
        <v>0.0697965</v>
      </c>
      <c r="R205" s="57"/>
      <c r="S205" s="57"/>
      <c r="T205" s="57"/>
      <c r="U205" s="57"/>
      <c r="V205" s="57"/>
      <c r="W205" s="57"/>
      <c r="X205" s="57"/>
      <c r="Y205" s="57"/>
      <c r="Z205" s="17"/>
    </row>
    <row r="206" ht="34.5" customHeight="1">
      <c r="A206" s="54" t="s">
        <v>221</v>
      </c>
      <c r="B206" s="34" t="s">
        <v>222</v>
      </c>
      <c r="C206" s="34" t="s">
        <v>222</v>
      </c>
      <c r="D206" s="34" t="s">
        <v>249</v>
      </c>
      <c r="E206" s="34">
        <v>18.0</v>
      </c>
      <c r="F206" s="35">
        <v>4.33</v>
      </c>
      <c r="G206" s="34">
        <v>1.0</v>
      </c>
      <c r="H206" s="35">
        <v>100.0</v>
      </c>
      <c r="I206" s="35">
        <v>100.0</v>
      </c>
      <c r="J206" s="36">
        <f t="shared" si="1"/>
        <v>18.94266</v>
      </c>
      <c r="K206" s="36">
        <f t="shared" si="2"/>
        <v>17.2206</v>
      </c>
      <c r="L206" s="8">
        <f t="shared" si="3"/>
        <v>0.1744339315</v>
      </c>
      <c r="M206" s="8">
        <f t="shared" si="4"/>
        <v>0.05233017945</v>
      </c>
      <c r="N206" s="8">
        <f t="shared" si="5"/>
        <v>0.01046603589</v>
      </c>
      <c r="O206" s="8">
        <f t="shared" si="6"/>
        <v>0.0344412</v>
      </c>
      <c r="P206" s="8">
        <f t="shared" si="7"/>
        <v>0.0516618</v>
      </c>
      <c r="Q206" s="8">
        <f t="shared" si="8"/>
        <v>0.0172206</v>
      </c>
      <c r="R206" s="57"/>
      <c r="S206" s="57"/>
      <c r="T206" s="57"/>
      <c r="U206" s="57"/>
      <c r="V206" s="57"/>
      <c r="W206" s="57"/>
      <c r="X206" s="57"/>
      <c r="Y206" s="57"/>
      <c r="Z206" s="17"/>
    </row>
    <row r="207" ht="34.5" customHeight="1">
      <c r="A207" s="54" t="s">
        <v>221</v>
      </c>
      <c r="B207" s="34" t="s">
        <v>222</v>
      </c>
      <c r="C207" s="34" t="s">
        <v>222</v>
      </c>
      <c r="D207" s="34" t="s">
        <v>250</v>
      </c>
      <c r="E207" s="34">
        <v>49.0</v>
      </c>
      <c r="F207" s="35">
        <v>12.61</v>
      </c>
      <c r="G207" s="34">
        <v>1.0</v>
      </c>
      <c r="H207" s="35">
        <v>100.0</v>
      </c>
      <c r="I207" s="35">
        <v>100.0</v>
      </c>
      <c r="J207" s="36">
        <f t="shared" si="1"/>
        <v>47.10321</v>
      </c>
      <c r="K207" s="36">
        <f t="shared" si="2"/>
        <v>42.8211</v>
      </c>
      <c r="L207" s="8">
        <f t="shared" si="3"/>
        <v>0.4337510205</v>
      </c>
      <c r="M207" s="8">
        <f t="shared" si="4"/>
        <v>0.1301253062</v>
      </c>
      <c r="N207" s="8">
        <f t="shared" si="5"/>
        <v>0.02602506123</v>
      </c>
      <c r="O207" s="8">
        <f t="shared" si="6"/>
        <v>0.0856422</v>
      </c>
      <c r="P207" s="8">
        <f t="shared" si="7"/>
        <v>0.1284633</v>
      </c>
      <c r="Q207" s="8">
        <f t="shared" si="8"/>
        <v>0.0428211</v>
      </c>
      <c r="R207" s="57"/>
      <c r="S207" s="57"/>
      <c r="T207" s="57"/>
      <c r="U207" s="57"/>
      <c r="V207" s="57"/>
      <c r="W207" s="57"/>
      <c r="X207" s="57"/>
      <c r="Y207" s="57"/>
      <c r="Z207" s="17"/>
    </row>
    <row r="208" ht="34.5" customHeight="1">
      <c r="A208" s="54" t="s">
        <v>221</v>
      </c>
      <c r="B208" s="34" t="s">
        <v>222</v>
      </c>
      <c r="C208" s="34" t="s">
        <v>222</v>
      </c>
      <c r="D208" s="34" t="s">
        <v>251</v>
      </c>
      <c r="E208" s="34">
        <v>454.0</v>
      </c>
      <c r="F208" s="35">
        <v>17.15</v>
      </c>
      <c r="G208" s="34">
        <v>13.0</v>
      </c>
      <c r="H208" s="35">
        <v>100.0</v>
      </c>
      <c r="I208" s="35">
        <v>100.0</v>
      </c>
      <c r="J208" s="36">
        <f t="shared" si="1"/>
        <v>413.7529</v>
      </c>
      <c r="K208" s="36">
        <f t="shared" si="2"/>
        <v>376.139</v>
      </c>
      <c r="L208" s="8">
        <f t="shared" si="3"/>
        <v>3.810053341</v>
      </c>
      <c r="M208" s="8">
        <f t="shared" si="4"/>
        <v>1.143016002</v>
      </c>
      <c r="N208" s="8">
        <f t="shared" si="5"/>
        <v>0.2286032005</v>
      </c>
      <c r="O208" s="8">
        <f t="shared" si="6"/>
        <v>0.752278</v>
      </c>
      <c r="P208" s="8">
        <f t="shared" si="7"/>
        <v>1.128417</v>
      </c>
      <c r="Q208" s="8">
        <f t="shared" si="8"/>
        <v>0.376139</v>
      </c>
      <c r="R208" s="57"/>
      <c r="S208" s="57"/>
      <c r="T208" s="57"/>
      <c r="U208" s="57"/>
      <c r="V208" s="57"/>
      <c r="W208" s="57"/>
      <c r="X208" s="57"/>
      <c r="Y208" s="57"/>
      <c r="Z208" s="17"/>
    </row>
    <row r="209" ht="34.5" customHeight="1">
      <c r="A209" s="54" t="s">
        <v>221</v>
      </c>
      <c r="B209" s="34" t="s">
        <v>222</v>
      </c>
      <c r="C209" s="34" t="s">
        <v>222</v>
      </c>
      <c r="D209" s="34" t="s">
        <v>252</v>
      </c>
      <c r="E209" s="34">
        <v>53.0</v>
      </c>
      <c r="F209" s="35">
        <v>11.96</v>
      </c>
      <c r="G209" s="34">
        <v>2.0</v>
      </c>
      <c r="H209" s="35">
        <v>100.0</v>
      </c>
      <c r="I209" s="35">
        <v>100.0</v>
      </c>
      <c r="J209" s="36">
        <f t="shared" si="1"/>
        <v>51.32732</v>
      </c>
      <c r="K209" s="36">
        <f t="shared" si="2"/>
        <v>46.6612</v>
      </c>
      <c r="L209" s="8">
        <f t="shared" si="3"/>
        <v>0.4726488371</v>
      </c>
      <c r="M209" s="8">
        <f t="shared" si="4"/>
        <v>0.1417946511</v>
      </c>
      <c r="N209" s="8">
        <f t="shared" si="5"/>
        <v>0.02835893023</v>
      </c>
      <c r="O209" s="8">
        <f t="shared" si="6"/>
        <v>0.0933224</v>
      </c>
      <c r="P209" s="8">
        <f t="shared" si="7"/>
        <v>0.1399836</v>
      </c>
      <c r="Q209" s="8">
        <f t="shared" si="8"/>
        <v>0.0466612</v>
      </c>
      <c r="R209" s="57"/>
      <c r="S209" s="57"/>
      <c r="T209" s="57"/>
      <c r="U209" s="57"/>
      <c r="V209" s="57"/>
      <c r="W209" s="57"/>
      <c r="X209" s="57"/>
      <c r="Y209" s="57"/>
      <c r="Z209" s="17"/>
    </row>
    <row r="210" ht="34.5" customHeight="1">
      <c r="A210" s="54" t="s">
        <v>221</v>
      </c>
      <c r="B210" s="34" t="s">
        <v>222</v>
      </c>
      <c r="C210" s="34" t="s">
        <v>222</v>
      </c>
      <c r="D210" s="34" t="s">
        <v>253</v>
      </c>
      <c r="E210" s="34">
        <v>52.0</v>
      </c>
      <c r="F210" s="35">
        <v>10.96</v>
      </c>
      <c r="G210" s="34">
        <v>2.0</v>
      </c>
      <c r="H210" s="35">
        <v>100.0</v>
      </c>
      <c r="I210" s="35">
        <v>100.0</v>
      </c>
      <c r="J210" s="36">
        <f t="shared" si="1"/>
        <v>50.93088</v>
      </c>
      <c r="K210" s="36">
        <f t="shared" si="2"/>
        <v>46.3008</v>
      </c>
      <c r="L210" s="8">
        <f t="shared" si="3"/>
        <v>0.46899821</v>
      </c>
      <c r="M210" s="8">
        <f t="shared" si="4"/>
        <v>0.140699463</v>
      </c>
      <c r="N210" s="8">
        <f t="shared" si="5"/>
        <v>0.0281398926</v>
      </c>
      <c r="O210" s="8">
        <f t="shared" si="6"/>
        <v>0.0926016</v>
      </c>
      <c r="P210" s="8">
        <f t="shared" si="7"/>
        <v>0.1389024</v>
      </c>
      <c r="Q210" s="8">
        <f t="shared" si="8"/>
        <v>0.0463008</v>
      </c>
      <c r="R210" s="57"/>
      <c r="S210" s="57"/>
      <c r="T210" s="57"/>
      <c r="U210" s="57"/>
      <c r="V210" s="57"/>
      <c r="W210" s="57"/>
      <c r="X210" s="57"/>
      <c r="Y210" s="57"/>
      <c r="Z210" s="17"/>
    </row>
    <row r="211" ht="34.5" customHeight="1">
      <c r="A211" s="54" t="s">
        <v>221</v>
      </c>
      <c r="B211" s="34" t="s">
        <v>222</v>
      </c>
      <c r="C211" s="34" t="s">
        <v>222</v>
      </c>
      <c r="D211" s="34" t="s">
        <v>254</v>
      </c>
      <c r="E211" s="34">
        <v>66.0</v>
      </c>
      <c r="F211" s="35">
        <v>12.23</v>
      </c>
      <c r="G211" s="34">
        <v>2.0</v>
      </c>
      <c r="H211" s="35">
        <v>100.0</v>
      </c>
      <c r="I211" s="35">
        <v>100.0</v>
      </c>
      <c r="J211" s="36">
        <f t="shared" si="1"/>
        <v>63.72102</v>
      </c>
      <c r="K211" s="36">
        <f t="shared" si="2"/>
        <v>57.9282</v>
      </c>
      <c r="L211" s="8">
        <f t="shared" si="3"/>
        <v>0.586776516</v>
      </c>
      <c r="M211" s="8">
        <f t="shared" si="4"/>
        <v>0.1760329548</v>
      </c>
      <c r="N211" s="8">
        <f t="shared" si="5"/>
        <v>0.03520659096</v>
      </c>
      <c r="O211" s="8">
        <f t="shared" si="6"/>
        <v>0.1158564</v>
      </c>
      <c r="P211" s="8">
        <f t="shared" si="7"/>
        <v>0.1737846</v>
      </c>
      <c r="Q211" s="8">
        <f t="shared" si="8"/>
        <v>0.0579282</v>
      </c>
      <c r="R211" s="57"/>
      <c r="S211" s="57"/>
      <c r="T211" s="57"/>
      <c r="U211" s="57"/>
      <c r="V211" s="57"/>
      <c r="W211" s="57"/>
      <c r="X211" s="57"/>
      <c r="Y211" s="57"/>
      <c r="Z211" s="17"/>
    </row>
    <row r="212" ht="34.5" customHeight="1">
      <c r="A212" s="54" t="s">
        <v>221</v>
      </c>
      <c r="B212" s="34" t="s">
        <v>222</v>
      </c>
      <c r="C212" s="34" t="s">
        <v>222</v>
      </c>
      <c r="D212" s="34" t="s">
        <v>255</v>
      </c>
      <c r="E212" s="34">
        <v>47.0</v>
      </c>
      <c r="F212" s="35">
        <v>9.15</v>
      </c>
      <c r="G212" s="34">
        <v>2.0</v>
      </c>
      <c r="H212" s="35">
        <v>100.0</v>
      </c>
      <c r="I212" s="35">
        <v>100.0</v>
      </c>
      <c r="J212" s="36">
        <f t="shared" si="1"/>
        <v>46.96945</v>
      </c>
      <c r="K212" s="36">
        <f t="shared" si="2"/>
        <v>42.6995</v>
      </c>
      <c r="L212" s="8">
        <f t="shared" si="3"/>
        <v>0.4325192884</v>
      </c>
      <c r="M212" s="8">
        <f t="shared" si="4"/>
        <v>0.1297557865</v>
      </c>
      <c r="N212" s="8">
        <f t="shared" si="5"/>
        <v>0.02595115731</v>
      </c>
      <c r="O212" s="8">
        <f t="shared" si="6"/>
        <v>0.085399</v>
      </c>
      <c r="P212" s="8">
        <f t="shared" si="7"/>
        <v>0.1280985</v>
      </c>
      <c r="Q212" s="8">
        <f t="shared" si="8"/>
        <v>0.0426995</v>
      </c>
      <c r="R212" s="57"/>
      <c r="S212" s="57"/>
      <c r="T212" s="57"/>
      <c r="U212" s="57"/>
      <c r="V212" s="57"/>
      <c r="W212" s="57"/>
      <c r="X212" s="57"/>
      <c r="Y212" s="57"/>
      <c r="Z212" s="17"/>
    </row>
    <row r="213" ht="34.5" customHeight="1">
      <c r="A213" s="54" t="s">
        <v>221</v>
      </c>
      <c r="B213" s="34" t="s">
        <v>222</v>
      </c>
      <c r="C213" s="34" t="s">
        <v>222</v>
      </c>
      <c r="D213" s="34" t="s">
        <v>222</v>
      </c>
      <c r="E213" s="34">
        <v>2628.0</v>
      </c>
      <c r="F213" s="35">
        <v>35.63</v>
      </c>
      <c r="G213" s="34">
        <v>53.0</v>
      </c>
      <c r="H213" s="35">
        <v>47.66</v>
      </c>
      <c r="I213" s="35">
        <v>82.71</v>
      </c>
      <c r="J213" s="36">
        <f t="shared" si="1"/>
        <v>1860.80796</v>
      </c>
      <c r="K213" s="36">
        <f t="shared" si="2"/>
        <v>1691.6436</v>
      </c>
      <c r="L213" s="8">
        <f t="shared" si="3"/>
        <v>17.135294</v>
      </c>
      <c r="M213" s="8">
        <f t="shared" si="4"/>
        <v>5.1405882</v>
      </c>
      <c r="N213" s="8">
        <f t="shared" si="5"/>
        <v>1.02811764</v>
      </c>
      <c r="O213" s="8">
        <f t="shared" si="6"/>
        <v>3.3832872</v>
      </c>
      <c r="P213" s="8">
        <f t="shared" si="7"/>
        <v>5.0749308</v>
      </c>
      <c r="Q213" s="8">
        <f t="shared" si="8"/>
        <v>1.6916436</v>
      </c>
      <c r="R213" s="57"/>
      <c r="S213" s="57"/>
      <c r="T213" s="57"/>
      <c r="U213" s="57"/>
      <c r="V213" s="57"/>
      <c r="W213" s="57"/>
      <c r="X213" s="57"/>
      <c r="Y213" s="57"/>
      <c r="Z213" s="17"/>
    </row>
    <row r="214" ht="34.5" customHeight="1">
      <c r="A214" s="54" t="s">
        <v>221</v>
      </c>
      <c r="B214" s="34" t="s">
        <v>222</v>
      </c>
      <c r="C214" s="34" t="s">
        <v>222</v>
      </c>
      <c r="D214" s="34" t="s">
        <v>256</v>
      </c>
      <c r="E214" s="34">
        <v>62.0</v>
      </c>
      <c r="F214" s="35">
        <v>9.26</v>
      </c>
      <c r="G214" s="34">
        <v>1.0</v>
      </c>
      <c r="H214" s="35">
        <v>80.44</v>
      </c>
      <c r="I214" s="35">
        <v>80.44</v>
      </c>
      <c r="J214" s="36">
        <f t="shared" si="1"/>
        <v>61.88468</v>
      </c>
      <c r="K214" s="36">
        <f t="shared" si="2"/>
        <v>56.2588</v>
      </c>
      <c r="L214" s="8">
        <f t="shared" si="3"/>
        <v>0.5698665358</v>
      </c>
      <c r="M214" s="8">
        <f t="shared" si="4"/>
        <v>0.1709599607</v>
      </c>
      <c r="N214" s="8">
        <f t="shared" si="5"/>
        <v>0.03419199215</v>
      </c>
      <c r="O214" s="8">
        <f t="shared" si="6"/>
        <v>0.1125176</v>
      </c>
      <c r="P214" s="8">
        <f t="shared" si="7"/>
        <v>0.1687764</v>
      </c>
      <c r="Q214" s="8">
        <f t="shared" si="8"/>
        <v>0.0562588</v>
      </c>
      <c r="R214" s="57"/>
      <c r="S214" s="57"/>
      <c r="T214" s="57"/>
      <c r="U214" s="57"/>
      <c r="V214" s="57"/>
      <c r="W214" s="57"/>
      <c r="X214" s="57"/>
      <c r="Y214" s="57"/>
      <c r="Z214" s="17"/>
    </row>
    <row r="215" ht="34.5" customHeight="1">
      <c r="A215" s="54" t="s">
        <v>221</v>
      </c>
      <c r="B215" s="34" t="s">
        <v>222</v>
      </c>
      <c r="C215" s="34" t="s">
        <v>222</v>
      </c>
      <c r="D215" s="34" t="s">
        <v>257</v>
      </c>
      <c r="E215" s="34">
        <v>60.0</v>
      </c>
      <c r="F215" s="35">
        <v>30.24</v>
      </c>
      <c r="G215" s="34">
        <v>3.0</v>
      </c>
      <c r="H215" s="35">
        <v>100.0</v>
      </c>
      <c r="I215" s="35">
        <v>100.0</v>
      </c>
      <c r="J215" s="36">
        <f t="shared" si="1"/>
        <v>46.0416</v>
      </c>
      <c r="K215" s="36">
        <f t="shared" si="2"/>
        <v>41.856</v>
      </c>
      <c r="L215" s="8">
        <f t="shared" si="3"/>
        <v>0.4239751598</v>
      </c>
      <c r="M215" s="8">
        <f t="shared" si="4"/>
        <v>0.1271925479</v>
      </c>
      <c r="N215" s="8">
        <f t="shared" si="5"/>
        <v>0.02543850959</v>
      </c>
      <c r="O215" s="8">
        <f t="shared" si="6"/>
        <v>0.083712</v>
      </c>
      <c r="P215" s="8">
        <f t="shared" si="7"/>
        <v>0.125568</v>
      </c>
      <c r="Q215" s="8">
        <f t="shared" si="8"/>
        <v>0.041856</v>
      </c>
      <c r="R215" s="57"/>
      <c r="S215" s="57"/>
      <c r="T215" s="57"/>
      <c r="U215" s="57"/>
      <c r="V215" s="57"/>
      <c r="W215" s="57"/>
      <c r="X215" s="57"/>
      <c r="Y215" s="57"/>
      <c r="Z215" s="17"/>
    </row>
    <row r="216" ht="34.5" customHeight="1">
      <c r="A216" s="54" t="s">
        <v>221</v>
      </c>
      <c r="B216" s="34" t="s">
        <v>222</v>
      </c>
      <c r="C216" s="34" t="s">
        <v>222</v>
      </c>
      <c r="D216" s="34" t="s">
        <v>258</v>
      </c>
      <c r="E216" s="34">
        <v>15.0</v>
      </c>
      <c r="F216" s="35">
        <v>9.56</v>
      </c>
      <c r="G216" s="34">
        <v>1.0</v>
      </c>
      <c r="H216" s="35">
        <v>100.0</v>
      </c>
      <c r="I216" s="35">
        <v>100.0</v>
      </c>
      <c r="J216" s="36">
        <f t="shared" si="1"/>
        <v>14.9226</v>
      </c>
      <c r="K216" s="36">
        <f t="shared" si="2"/>
        <v>13.566</v>
      </c>
      <c r="L216" s="8">
        <f t="shared" si="3"/>
        <v>0.1374151142</v>
      </c>
      <c r="M216" s="8">
        <f t="shared" si="4"/>
        <v>0.04122453425</v>
      </c>
      <c r="N216" s="8">
        <f t="shared" si="5"/>
        <v>0.008244906849</v>
      </c>
      <c r="O216" s="8">
        <f t="shared" si="6"/>
        <v>0.027132</v>
      </c>
      <c r="P216" s="8">
        <f t="shared" si="7"/>
        <v>0.040698</v>
      </c>
      <c r="Q216" s="8">
        <f t="shared" si="8"/>
        <v>0.013566</v>
      </c>
      <c r="R216" s="57"/>
      <c r="S216" s="57"/>
      <c r="T216" s="57"/>
      <c r="U216" s="57"/>
      <c r="V216" s="57"/>
      <c r="W216" s="57"/>
      <c r="X216" s="57"/>
      <c r="Y216" s="57"/>
      <c r="Z216" s="17"/>
    </row>
    <row r="217" ht="34.5" customHeight="1">
      <c r="A217" s="54" t="s">
        <v>221</v>
      </c>
      <c r="B217" s="34" t="s">
        <v>222</v>
      </c>
      <c r="C217" s="34" t="s">
        <v>222</v>
      </c>
      <c r="D217" s="34" t="s">
        <v>259</v>
      </c>
      <c r="E217" s="34">
        <v>207.0</v>
      </c>
      <c r="F217" s="35">
        <v>49.25</v>
      </c>
      <c r="G217" s="34">
        <v>10.0</v>
      </c>
      <c r="H217" s="35">
        <v>78.36</v>
      </c>
      <c r="I217" s="35">
        <v>100.0</v>
      </c>
      <c r="J217" s="36">
        <f t="shared" si="1"/>
        <v>115.55775</v>
      </c>
      <c r="K217" s="36">
        <f t="shared" si="2"/>
        <v>105.0525</v>
      </c>
      <c r="L217" s="8">
        <f t="shared" si="3"/>
        <v>1.064116267</v>
      </c>
      <c r="M217" s="8">
        <f t="shared" si="4"/>
        <v>0.3192348801</v>
      </c>
      <c r="N217" s="8">
        <f t="shared" si="5"/>
        <v>0.06384697603</v>
      </c>
      <c r="O217" s="8">
        <f t="shared" si="6"/>
        <v>0.210105</v>
      </c>
      <c r="P217" s="8">
        <f t="shared" si="7"/>
        <v>0.3151575</v>
      </c>
      <c r="Q217" s="8">
        <f t="shared" si="8"/>
        <v>0.1050525</v>
      </c>
      <c r="R217" s="57"/>
      <c r="S217" s="57"/>
      <c r="T217" s="57"/>
      <c r="U217" s="57"/>
      <c r="V217" s="57"/>
      <c r="W217" s="57"/>
      <c r="X217" s="57"/>
      <c r="Y217" s="57"/>
      <c r="Z217" s="17"/>
    </row>
    <row r="218" ht="34.5" customHeight="1">
      <c r="A218" s="54" t="s">
        <v>221</v>
      </c>
      <c r="B218" s="34" t="s">
        <v>222</v>
      </c>
      <c r="C218" s="34" t="s">
        <v>222</v>
      </c>
      <c r="D218" s="34" t="s">
        <v>260</v>
      </c>
      <c r="E218" s="34">
        <v>89.0</v>
      </c>
      <c r="F218" s="35">
        <v>24.08</v>
      </c>
      <c r="G218" s="34">
        <v>3.0</v>
      </c>
      <c r="H218" s="35">
        <v>100.0</v>
      </c>
      <c r="I218" s="35">
        <v>100.0</v>
      </c>
      <c r="J218" s="36">
        <f t="shared" si="1"/>
        <v>74.32568</v>
      </c>
      <c r="K218" s="36">
        <f t="shared" si="2"/>
        <v>67.5688</v>
      </c>
      <c r="L218" s="8">
        <f t="shared" si="3"/>
        <v>0.6844297778</v>
      </c>
      <c r="M218" s="8">
        <f t="shared" si="4"/>
        <v>0.2053289333</v>
      </c>
      <c r="N218" s="8">
        <f t="shared" si="5"/>
        <v>0.04106578667</v>
      </c>
      <c r="O218" s="8">
        <f t="shared" si="6"/>
        <v>0.1351376</v>
      </c>
      <c r="P218" s="8">
        <f t="shared" si="7"/>
        <v>0.2027064</v>
      </c>
      <c r="Q218" s="8">
        <f t="shared" si="8"/>
        <v>0.0675688</v>
      </c>
      <c r="R218" s="57"/>
      <c r="S218" s="57"/>
      <c r="T218" s="57"/>
      <c r="U218" s="57"/>
      <c r="V218" s="57"/>
      <c r="W218" s="57"/>
      <c r="X218" s="57"/>
      <c r="Y218" s="57"/>
      <c r="Z218" s="17"/>
    </row>
    <row r="219" ht="34.5" customHeight="1">
      <c r="A219" s="54" t="s">
        <v>221</v>
      </c>
      <c r="B219" s="34" t="s">
        <v>222</v>
      </c>
      <c r="C219" s="34" t="s">
        <v>222</v>
      </c>
      <c r="D219" s="34" t="s">
        <v>261</v>
      </c>
      <c r="E219" s="34">
        <v>56.0</v>
      </c>
      <c r="F219" s="35">
        <v>4.69</v>
      </c>
      <c r="G219" s="34">
        <v>1.0</v>
      </c>
      <c r="H219" s="35">
        <v>100.0</v>
      </c>
      <c r="I219" s="35">
        <v>100.0</v>
      </c>
      <c r="J219" s="36">
        <f t="shared" si="1"/>
        <v>58.71096</v>
      </c>
      <c r="K219" s="36">
        <f t="shared" si="2"/>
        <v>53.3736</v>
      </c>
      <c r="L219" s="8">
        <f t="shared" si="3"/>
        <v>0.5406412603</v>
      </c>
      <c r="M219" s="8">
        <f t="shared" si="4"/>
        <v>0.1621923781</v>
      </c>
      <c r="N219" s="8">
        <f t="shared" si="5"/>
        <v>0.03243847562</v>
      </c>
      <c r="O219" s="8">
        <f t="shared" si="6"/>
        <v>0.1067472</v>
      </c>
      <c r="P219" s="8">
        <f t="shared" si="7"/>
        <v>0.1601208</v>
      </c>
      <c r="Q219" s="8">
        <f t="shared" si="8"/>
        <v>0.0533736</v>
      </c>
      <c r="R219" s="57"/>
      <c r="S219" s="57"/>
      <c r="T219" s="57"/>
      <c r="U219" s="57"/>
      <c r="V219" s="57"/>
      <c r="W219" s="57"/>
      <c r="X219" s="57"/>
      <c r="Y219" s="57"/>
      <c r="Z219" s="17"/>
    </row>
    <row r="220" ht="34.5" customHeight="1">
      <c r="A220" s="54" t="s">
        <v>221</v>
      </c>
      <c r="B220" s="34" t="s">
        <v>222</v>
      </c>
      <c r="C220" s="34" t="s">
        <v>222</v>
      </c>
      <c r="D220" s="34" t="s">
        <v>262</v>
      </c>
      <c r="E220" s="34">
        <v>88.0</v>
      </c>
      <c r="F220" s="35">
        <v>17.28</v>
      </c>
      <c r="G220" s="34">
        <v>3.0</v>
      </c>
      <c r="H220" s="35">
        <v>0.0</v>
      </c>
      <c r="I220" s="35">
        <v>0.0</v>
      </c>
      <c r="J220" s="36">
        <f t="shared" si="1"/>
        <v>80.07296</v>
      </c>
      <c r="K220" s="36">
        <f t="shared" si="2"/>
        <v>72.7936</v>
      </c>
      <c r="L220" s="8">
        <f t="shared" si="3"/>
        <v>0.7373537412</v>
      </c>
      <c r="M220" s="8">
        <f t="shared" si="4"/>
        <v>0.2212061224</v>
      </c>
      <c r="N220" s="8">
        <f t="shared" si="5"/>
        <v>0.04424122447</v>
      </c>
      <c r="O220" s="8">
        <f t="shared" si="6"/>
        <v>0.1455872</v>
      </c>
      <c r="P220" s="8">
        <f t="shared" si="7"/>
        <v>0.2183808</v>
      </c>
      <c r="Q220" s="8">
        <f t="shared" si="8"/>
        <v>0.0727936</v>
      </c>
      <c r="R220" s="57"/>
      <c r="S220" s="57"/>
      <c r="T220" s="57"/>
      <c r="U220" s="57"/>
      <c r="V220" s="57"/>
      <c r="W220" s="57"/>
      <c r="X220" s="57"/>
      <c r="Y220" s="57"/>
      <c r="Z220" s="17"/>
    </row>
    <row r="221" ht="34.5" customHeight="1">
      <c r="A221" s="54" t="s">
        <v>221</v>
      </c>
      <c r="B221" s="34" t="s">
        <v>222</v>
      </c>
      <c r="C221" s="34" t="s">
        <v>263</v>
      </c>
      <c r="D221" s="34" t="s">
        <v>264</v>
      </c>
      <c r="E221" s="34">
        <v>109.0</v>
      </c>
      <c r="F221" s="35">
        <v>8.03</v>
      </c>
      <c r="G221" s="34">
        <v>3.0</v>
      </c>
      <c r="H221" s="35">
        <v>92.84</v>
      </c>
      <c r="I221" s="35">
        <v>100.0</v>
      </c>
      <c r="J221" s="36">
        <f t="shared" si="1"/>
        <v>110.27203</v>
      </c>
      <c r="K221" s="36">
        <f t="shared" si="2"/>
        <v>100.2473</v>
      </c>
      <c r="L221" s="8">
        <f t="shared" si="3"/>
        <v>1.01544259</v>
      </c>
      <c r="M221" s="8">
        <f t="shared" si="4"/>
        <v>0.3046327769</v>
      </c>
      <c r="N221" s="8">
        <f t="shared" si="5"/>
        <v>0.06092655539</v>
      </c>
      <c r="O221" s="8">
        <f t="shared" si="6"/>
        <v>0.2004946</v>
      </c>
      <c r="P221" s="8">
        <f t="shared" si="7"/>
        <v>0.3007419</v>
      </c>
      <c r="Q221" s="8">
        <f t="shared" si="8"/>
        <v>0.1002473</v>
      </c>
      <c r="R221" s="57"/>
      <c r="S221" s="57"/>
      <c r="T221" s="57"/>
      <c r="U221" s="57"/>
      <c r="V221" s="57"/>
      <c r="W221" s="57"/>
      <c r="X221" s="57"/>
      <c r="Y221" s="57"/>
      <c r="Z221" s="17"/>
    </row>
    <row r="222" ht="34.5" customHeight="1">
      <c r="A222" s="54" t="s">
        <v>221</v>
      </c>
      <c r="B222" s="34" t="s">
        <v>222</v>
      </c>
      <c r="C222" s="34" t="s">
        <v>263</v>
      </c>
      <c r="D222" s="34" t="s">
        <v>265</v>
      </c>
      <c r="E222" s="34">
        <v>98.0</v>
      </c>
      <c r="F222" s="35">
        <v>15.35</v>
      </c>
      <c r="G222" s="34">
        <v>2.0</v>
      </c>
      <c r="H222" s="35">
        <v>66.14</v>
      </c>
      <c r="I222" s="35">
        <v>100.0</v>
      </c>
      <c r="J222" s="36">
        <f t="shared" si="1"/>
        <v>91.2527</v>
      </c>
      <c r="K222" s="36">
        <f t="shared" si="2"/>
        <v>82.957</v>
      </c>
      <c r="L222" s="8">
        <f t="shared" si="3"/>
        <v>0.8403026408</v>
      </c>
      <c r="M222" s="8">
        <f t="shared" si="4"/>
        <v>0.2520907922</v>
      </c>
      <c r="N222" s="8">
        <f t="shared" si="5"/>
        <v>0.05041815845</v>
      </c>
      <c r="O222" s="8">
        <f t="shared" si="6"/>
        <v>0.165914</v>
      </c>
      <c r="P222" s="8">
        <f t="shared" si="7"/>
        <v>0.248871</v>
      </c>
      <c r="Q222" s="8">
        <f t="shared" si="8"/>
        <v>0.082957</v>
      </c>
      <c r="R222" s="57"/>
      <c r="S222" s="57"/>
      <c r="T222" s="57"/>
      <c r="U222" s="57"/>
      <c r="V222" s="57"/>
      <c r="W222" s="57"/>
      <c r="X222" s="57"/>
      <c r="Y222" s="57"/>
      <c r="Z222" s="17"/>
    </row>
    <row r="223" ht="34.5" customHeight="1">
      <c r="A223" s="54" t="s">
        <v>221</v>
      </c>
      <c r="B223" s="34" t="s">
        <v>222</v>
      </c>
      <c r="C223" s="34" t="s">
        <v>263</v>
      </c>
      <c r="D223" s="34" t="s">
        <v>266</v>
      </c>
      <c r="E223" s="34">
        <v>135.0</v>
      </c>
      <c r="F223" s="35">
        <v>19.39</v>
      </c>
      <c r="G223" s="34">
        <v>3.0</v>
      </c>
      <c r="H223" s="35">
        <v>27.78</v>
      </c>
      <c r="I223" s="35">
        <v>100.0</v>
      </c>
      <c r="J223" s="36">
        <f t="shared" si="1"/>
        <v>119.70585</v>
      </c>
      <c r="K223" s="36">
        <f t="shared" si="2"/>
        <v>108.8235</v>
      </c>
      <c r="L223" s="8">
        <f t="shared" si="3"/>
        <v>1.102314144</v>
      </c>
      <c r="M223" s="8">
        <f t="shared" si="4"/>
        <v>0.3306942432</v>
      </c>
      <c r="N223" s="8">
        <f t="shared" si="5"/>
        <v>0.06613884863</v>
      </c>
      <c r="O223" s="8">
        <f t="shared" si="6"/>
        <v>0.217647</v>
      </c>
      <c r="P223" s="8">
        <f t="shared" si="7"/>
        <v>0.3264705</v>
      </c>
      <c r="Q223" s="8">
        <f t="shared" si="8"/>
        <v>0.1088235</v>
      </c>
      <c r="R223" s="57"/>
      <c r="S223" s="57"/>
      <c r="T223" s="57"/>
      <c r="U223" s="57"/>
      <c r="V223" s="57"/>
      <c r="W223" s="57"/>
      <c r="X223" s="57"/>
      <c r="Y223" s="57"/>
      <c r="Z223" s="17"/>
    </row>
    <row r="224" ht="34.5" customHeight="1">
      <c r="A224" s="54" t="s">
        <v>221</v>
      </c>
      <c r="B224" s="34" t="s">
        <v>222</v>
      </c>
      <c r="C224" s="34" t="s">
        <v>263</v>
      </c>
      <c r="D224" s="34" t="s">
        <v>267</v>
      </c>
      <c r="E224" s="34">
        <v>72.0</v>
      </c>
      <c r="F224" s="35">
        <v>9.06</v>
      </c>
      <c r="G224" s="34">
        <v>2.0</v>
      </c>
      <c r="H224" s="35">
        <v>0.0</v>
      </c>
      <c r="I224" s="35">
        <v>0.0</v>
      </c>
      <c r="J224" s="36">
        <f t="shared" si="1"/>
        <v>72.02448</v>
      </c>
      <c r="K224" s="36">
        <f t="shared" si="2"/>
        <v>65.4768</v>
      </c>
      <c r="L224" s="8">
        <f t="shared" si="3"/>
        <v>0.6632391233</v>
      </c>
      <c r="M224" s="8">
        <f t="shared" si="4"/>
        <v>0.198971737</v>
      </c>
      <c r="N224" s="8">
        <f t="shared" si="5"/>
        <v>0.0397943474</v>
      </c>
      <c r="O224" s="8">
        <f t="shared" si="6"/>
        <v>0.1309536</v>
      </c>
      <c r="P224" s="8">
        <f t="shared" si="7"/>
        <v>0.1964304</v>
      </c>
      <c r="Q224" s="8">
        <f t="shared" si="8"/>
        <v>0.0654768</v>
      </c>
      <c r="R224" s="57"/>
      <c r="S224" s="57"/>
      <c r="T224" s="57"/>
      <c r="U224" s="57"/>
      <c r="V224" s="57"/>
      <c r="W224" s="57"/>
      <c r="X224" s="57"/>
      <c r="Y224" s="57"/>
      <c r="Z224" s="17"/>
    </row>
    <row r="225" ht="34.5" customHeight="1">
      <c r="A225" s="54" t="s">
        <v>221</v>
      </c>
      <c r="B225" s="34" t="s">
        <v>222</v>
      </c>
      <c r="C225" s="34" t="s">
        <v>263</v>
      </c>
      <c r="D225" s="34" t="s">
        <v>268</v>
      </c>
      <c r="E225" s="34">
        <v>61.0</v>
      </c>
      <c r="F225" s="35">
        <v>9.33</v>
      </c>
      <c r="G225" s="34">
        <v>2.0</v>
      </c>
      <c r="H225" s="35">
        <v>44.5</v>
      </c>
      <c r="I225" s="35">
        <v>100.0</v>
      </c>
      <c r="J225" s="36">
        <f t="shared" si="1"/>
        <v>60.83957</v>
      </c>
      <c r="K225" s="36">
        <f t="shared" si="2"/>
        <v>55.3087</v>
      </c>
      <c r="L225" s="8">
        <f t="shared" si="3"/>
        <v>0.5602426157</v>
      </c>
      <c r="M225" s="8">
        <f t="shared" si="4"/>
        <v>0.1680727847</v>
      </c>
      <c r="N225" s="8">
        <f t="shared" si="5"/>
        <v>0.03361455694</v>
      </c>
      <c r="O225" s="8">
        <f t="shared" si="6"/>
        <v>0.1106174</v>
      </c>
      <c r="P225" s="8">
        <f t="shared" si="7"/>
        <v>0.1659261</v>
      </c>
      <c r="Q225" s="8">
        <f t="shared" si="8"/>
        <v>0.0553087</v>
      </c>
      <c r="R225" s="57"/>
      <c r="S225" s="57"/>
      <c r="T225" s="57"/>
      <c r="U225" s="57"/>
      <c r="V225" s="57"/>
      <c r="W225" s="57"/>
      <c r="X225" s="57"/>
      <c r="Y225" s="57"/>
      <c r="Z225" s="17"/>
    </row>
    <row r="226" ht="34.5" customHeight="1">
      <c r="A226" s="54" t="s">
        <v>221</v>
      </c>
      <c r="B226" s="34" t="s">
        <v>222</v>
      </c>
      <c r="C226" s="34" t="s">
        <v>263</v>
      </c>
      <c r="D226" s="34" t="s">
        <v>269</v>
      </c>
      <c r="E226" s="34">
        <v>142.0</v>
      </c>
      <c r="F226" s="35">
        <v>20.92</v>
      </c>
      <c r="G226" s="34">
        <v>2.0</v>
      </c>
      <c r="H226" s="35">
        <v>23.04</v>
      </c>
      <c r="I226" s="35">
        <v>23.04</v>
      </c>
      <c r="J226" s="36">
        <f t="shared" si="1"/>
        <v>123.52296</v>
      </c>
      <c r="K226" s="36">
        <f t="shared" si="2"/>
        <v>112.2936</v>
      </c>
      <c r="L226" s="8">
        <f t="shared" si="3"/>
        <v>1.137464091</v>
      </c>
      <c r="M226" s="8">
        <f t="shared" si="4"/>
        <v>0.3412392274</v>
      </c>
      <c r="N226" s="8">
        <f t="shared" si="5"/>
        <v>0.06824784548</v>
      </c>
      <c r="O226" s="8">
        <f t="shared" si="6"/>
        <v>0.2245872</v>
      </c>
      <c r="P226" s="8">
        <f t="shared" si="7"/>
        <v>0.3368808</v>
      </c>
      <c r="Q226" s="8">
        <f t="shared" si="8"/>
        <v>0.1122936</v>
      </c>
      <c r="R226" s="57"/>
      <c r="S226" s="57"/>
      <c r="T226" s="57"/>
      <c r="U226" s="57"/>
      <c r="V226" s="57"/>
      <c r="W226" s="57"/>
      <c r="X226" s="57"/>
      <c r="Y226" s="57"/>
      <c r="Z226" s="17"/>
    </row>
    <row r="227" ht="34.5" customHeight="1">
      <c r="A227" s="54" t="s">
        <v>221</v>
      </c>
      <c r="B227" s="34" t="s">
        <v>222</v>
      </c>
      <c r="C227" s="34" t="s">
        <v>263</v>
      </c>
      <c r="D227" s="34" t="s">
        <v>270</v>
      </c>
      <c r="E227" s="34">
        <v>17.0</v>
      </c>
      <c r="F227" s="35">
        <v>5.46</v>
      </c>
      <c r="G227" s="34">
        <v>0.0</v>
      </c>
      <c r="H227" s="35">
        <v>0.0</v>
      </c>
      <c r="I227" s="35">
        <v>0.0</v>
      </c>
      <c r="J227" s="36">
        <f t="shared" si="1"/>
        <v>17.67898</v>
      </c>
      <c r="K227" s="36">
        <f t="shared" si="2"/>
        <v>16.0718</v>
      </c>
      <c r="L227" s="8">
        <f t="shared" si="3"/>
        <v>0.1627973044</v>
      </c>
      <c r="M227" s="8">
        <f t="shared" si="4"/>
        <v>0.04883919132</v>
      </c>
      <c r="N227" s="8">
        <f t="shared" si="5"/>
        <v>0.009767838265</v>
      </c>
      <c r="O227" s="8">
        <f t="shared" si="6"/>
        <v>0.0321436</v>
      </c>
      <c r="P227" s="8">
        <f t="shared" si="7"/>
        <v>0.0482154</v>
      </c>
      <c r="Q227" s="8">
        <f t="shared" si="8"/>
        <v>0.0160718</v>
      </c>
      <c r="R227" s="57"/>
      <c r="S227" s="57"/>
      <c r="T227" s="57"/>
      <c r="U227" s="57"/>
      <c r="V227" s="57"/>
      <c r="W227" s="57"/>
      <c r="X227" s="57"/>
      <c r="Y227" s="57"/>
      <c r="Z227" s="17"/>
    </row>
    <row r="228" ht="34.5" customHeight="1">
      <c r="A228" s="54" t="s">
        <v>221</v>
      </c>
      <c r="B228" s="34" t="s">
        <v>222</v>
      </c>
      <c r="C228" s="34" t="s">
        <v>263</v>
      </c>
      <c r="D228" s="34" t="s">
        <v>263</v>
      </c>
      <c r="E228" s="34">
        <v>1139.0</v>
      </c>
      <c r="F228" s="35">
        <v>21.62</v>
      </c>
      <c r="G228" s="34">
        <v>17.0</v>
      </c>
      <c r="H228" s="35">
        <v>15.19</v>
      </c>
      <c r="I228" s="35">
        <v>83.78</v>
      </c>
      <c r="J228" s="36">
        <f t="shared" si="1"/>
        <v>982.02302</v>
      </c>
      <c r="K228" s="36">
        <f t="shared" si="2"/>
        <v>892.7482</v>
      </c>
      <c r="L228" s="8">
        <f t="shared" si="3"/>
        <v>9.042982148</v>
      </c>
      <c r="M228" s="8">
        <f t="shared" si="4"/>
        <v>2.712894644</v>
      </c>
      <c r="N228" s="8">
        <f t="shared" si="5"/>
        <v>0.5425789289</v>
      </c>
      <c r="O228" s="8">
        <f t="shared" si="6"/>
        <v>1.7854964</v>
      </c>
      <c r="P228" s="8">
        <f t="shared" si="7"/>
        <v>2.6782446</v>
      </c>
      <c r="Q228" s="8">
        <f t="shared" si="8"/>
        <v>0.8927482</v>
      </c>
      <c r="R228" s="57"/>
      <c r="S228" s="57"/>
      <c r="T228" s="57"/>
      <c r="U228" s="57"/>
      <c r="V228" s="57"/>
      <c r="W228" s="57"/>
      <c r="X228" s="57"/>
      <c r="Y228" s="57"/>
      <c r="Z228" s="17"/>
    </row>
    <row r="229" ht="34.5" customHeight="1">
      <c r="A229" s="54" t="s">
        <v>221</v>
      </c>
      <c r="B229" s="34" t="s">
        <v>222</v>
      </c>
      <c r="C229" s="34" t="s">
        <v>263</v>
      </c>
      <c r="D229" s="34" t="s">
        <v>271</v>
      </c>
      <c r="E229" s="34">
        <v>43.0</v>
      </c>
      <c r="F229" s="35">
        <v>9.49</v>
      </c>
      <c r="G229" s="34">
        <v>1.0</v>
      </c>
      <c r="H229" s="35">
        <v>75.97</v>
      </c>
      <c r="I229" s="35">
        <v>100.0</v>
      </c>
      <c r="J229" s="36">
        <f t="shared" si="1"/>
        <v>42.81123</v>
      </c>
      <c r="K229" s="36">
        <f t="shared" si="2"/>
        <v>38.9193</v>
      </c>
      <c r="L229" s="8">
        <f t="shared" si="3"/>
        <v>0.3942282215</v>
      </c>
      <c r="M229" s="8">
        <f t="shared" si="4"/>
        <v>0.1182684664</v>
      </c>
      <c r="N229" s="8">
        <f t="shared" si="5"/>
        <v>0.02365369329</v>
      </c>
      <c r="O229" s="8">
        <f t="shared" si="6"/>
        <v>0.0778386</v>
      </c>
      <c r="P229" s="8">
        <f t="shared" si="7"/>
        <v>0.1167579</v>
      </c>
      <c r="Q229" s="8">
        <f t="shared" si="8"/>
        <v>0.0389193</v>
      </c>
      <c r="R229" s="57"/>
      <c r="S229" s="57"/>
      <c r="T229" s="57"/>
      <c r="U229" s="57"/>
      <c r="V229" s="57"/>
      <c r="W229" s="57"/>
      <c r="X229" s="57"/>
      <c r="Y229" s="57"/>
      <c r="Z229" s="17"/>
    </row>
    <row r="230" ht="34.5" customHeight="1">
      <c r="A230" s="54" t="s">
        <v>221</v>
      </c>
      <c r="B230" s="34" t="s">
        <v>222</v>
      </c>
      <c r="C230" s="34" t="s">
        <v>263</v>
      </c>
      <c r="D230" s="34" t="s">
        <v>272</v>
      </c>
      <c r="E230" s="34">
        <v>113.0</v>
      </c>
      <c r="F230" s="35">
        <v>10.19</v>
      </c>
      <c r="G230" s="34">
        <v>3.0</v>
      </c>
      <c r="H230" s="35">
        <v>73.95</v>
      </c>
      <c r="I230" s="35">
        <v>100.0</v>
      </c>
      <c r="J230" s="36">
        <f t="shared" si="1"/>
        <v>111.63383</v>
      </c>
      <c r="K230" s="36">
        <f t="shared" si="2"/>
        <v>101.4853</v>
      </c>
      <c r="L230" s="8">
        <f t="shared" si="3"/>
        <v>1.027982757</v>
      </c>
      <c r="M230" s="8">
        <f t="shared" si="4"/>
        <v>0.3083948272</v>
      </c>
      <c r="N230" s="8">
        <f t="shared" si="5"/>
        <v>0.06167896543</v>
      </c>
      <c r="O230" s="8">
        <f t="shared" si="6"/>
        <v>0.2029706</v>
      </c>
      <c r="P230" s="8">
        <f t="shared" si="7"/>
        <v>0.3044559</v>
      </c>
      <c r="Q230" s="8">
        <f t="shared" si="8"/>
        <v>0.1014853</v>
      </c>
      <c r="R230" s="57"/>
      <c r="S230" s="57"/>
      <c r="T230" s="57"/>
      <c r="U230" s="57"/>
      <c r="V230" s="57"/>
      <c r="W230" s="57"/>
      <c r="X230" s="57"/>
      <c r="Y230" s="57"/>
      <c r="Z230" s="17"/>
    </row>
    <row r="231" ht="34.5" customHeight="1">
      <c r="A231" s="54" t="s">
        <v>221</v>
      </c>
      <c r="B231" s="34" t="s">
        <v>222</v>
      </c>
      <c r="C231" s="34" t="s">
        <v>263</v>
      </c>
      <c r="D231" s="34" t="s">
        <v>273</v>
      </c>
      <c r="E231" s="34">
        <v>556.0</v>
      </c>
      <c r="F231" s="35">
        <v>22.63</v>
      </c>
      <c r="G231" s="34">
        <v>8.0</v>
      </c>
      <c r="H231" s="35">
        <v>43.42</v>
      </c>
      <c r="I231" s="35">
        <v>49.71</v>
      </c>
      <c r="J231" s="36">
        <f t="shared" si="1"/>
        <v>473.19492</v>
      </c>
      <c r="K231" s="36">
        <f t="shared" si="2"/>
        <v>430.1772</v>
      </c>
      <c r="L231" s="8">
        <f t="shared" si="3"/>
        <v>4.357426584</v>
      </c>
      <c r="M231" s="8">
        <f t="shared" si="4"/>
        <v>1.307227975</v>
      </c>
      <c r="N231" s="8">
        <f t="shared" si="5"/>
        <v>0.2614455951</v>
      </c>
      <c r="O231" s="8">
        <f t="shared" si="6"/>
        <v>0.8603544</v>
      </c>
      <c r="P231" s="8">
        <f t="shared" si="7"/>
        <v>1.2905316</v>
      </c>
      <c r="Q231" s="8">
        <f t="shared" si="8"/>
        <v>0.4301772</v>
      </c>
      <c r="R231" s="57"/>
      <c r="S231" s="57"/>
      <c r="T231" s="57"/>
      <c r="U231" s="57"/>
      <c r="V231" s="57"/>
      <c r="W231" s="57"/>
      <c r="X231" s="57"/>
      <c r="Y231" s="57"/>
      <c r="Z231" s="17"/>
    </row>
    <row r="232" ht="34.5" customHeight="1">
      <c r="A232" s="54" t="s">
        <v>221</v>
      </c>
      <c r="B232" s="34" t="s">
        <v>222</v>
      </c>
      <c r="C232" s="34" t="s">
        <v>263</v>
      </c>
      <c r="D232" s="34" t="s">
        <v>274</v>
      </c>
      <c r="E232" s="34">
        <v>87.0</v>
      </c>
      <c r="F232" s="35">
        <v>22.13</v>
      </c>
      <c r="G232" s="34">
        <v>4.0</v>
      </c>
      <c r="H232" s="35">
        <v>100.0</v>
      </c>
      <c r="I232" s="35">
        <v>100.0</v>
      </c>
      <c r="J232" s="36">
        <f t="shared" si="1"/>
        <v>74.52159</v>
      </c>
      <c r="K232" s="36">
        <f t="shared" si="2"/>
        <v>67.7469</v>
      </c>
      <c r="L232" s="8">
        <f t="shared" si="3"/>
        <v>0.6862338196</v>
      </c>
      <c r="M232" s="8">
        <f t="shared" si="4"/>
        <v>0.2058701459</v>
      </c>
      <c r="N232" s="8">
        <f t="shared" si="5"/>
        <v>0.04117402918</v>
      </c>
      <c r="O232" s="8">
        <f t="shared" si="6"/>
        <v>0.1354938</v>
      </c>
      <c r="P232" s="8">
        <f t="shared" si="7"/>
        <v>0.2032407</v>
      </c>
      <c r="Q232" s="8">
        <f t="shared" si="8"/>
        <v>0.0677469</v>
      </c>
      <c r="R232" s="57"/>
      <c r="S232" s="57"/>
      <c r="T232" s="57"/>
      <c r="U232" s="57"/>
      <c r="V232" s="57"/>
      <c r="W232" s="57"/>
      <c r="X232" s="57"/>
      <c r="Y232" s="57"/>
      <c r="Z232" s="17"/>
    </row>
    <row r="233" ht="34.5" customHeight="1">
      <c r="A233" s="54" t="s">
        <v>221</v>
      </c>
      <c r="B233" s="34" t="s">
        <v>222</v>
      </c>
      <c r="C233" s="34" t="s">
        <v>263</v>
      </c>
      <c r="D233" s="34" t="s">
        <v>275</v>
      </c>
      <c r="E233" s="34">
        <v>21.0</v>
      </c>
      <c r="F233" s="35">
        <v>2.78</v>
      </c>
      <c r="G233" s="34">
        <v>1.0</v>
      </c>
      <c r="H233" s="35">
        <v>100.0</v>
      </c>
      <c r="I233" s="35">
        <v>100.0</v>
      </c>
      <c r="J233" s="36">
        <f t="shared" si="1"/>
        <v>22.45782</v>
      </c>
      <c r="K233" s="36">
        <f t="shared" si="2"/>
        <v>20.4162</v>
      </c>
      <c r="L233" s="8">
        <f t="shared" si="3"/>
        <v>0.2068033653</v>
      </c>
      <c r="M233" s="8">
        <f t="shared" si="4"/>
        <v>0.06204100959</v>
      </c>
      <c r="N233" s="8">
        <f t="shared" si="5"/>
        <v>0.01240820192</v>
      </c>
      <c r="O233" s="8">
        <f t="shared" si="6"/>
        <v>0.0408324</v>
      </c>
      <c r="P233" s="8">
        <f t="shared" si="7"/>
        <v>0.0612486</v>
      </c>
      <c r="Q233" s="8">
        <f t="shared" si="8"/>
        <v>0.0204162</v>
      </c>
      <c r="R233" s="57"/>
      <c r="S233" s="57"/>
      <c r="T233" s="57"/>
      <c r="U233" s="57"/>
      <c r="V233" s="57"/>
      <c r="W233" s="57"/>
      <c r="X233" s="57"/>
      <c r="Y233" s="57"/>
      <c r="Z233" s="17"/>
    </row>
    <row r="234" ht="34.5" customHeight="1">
      <c r="A234" s="54" t="s">
        <v>221</v>
      </c>
      <c r="B234" s="34" t="s">
        <v>222</v>
      </c>
      <c r="C234" s="34" t="s">
        <v>276</v>
      </c>
      <c r="D234" s="34" t="s">
        <v>277</v>
      </c>
      <c r="E234" s="34">
        <v>24.0</v>
      </c>
      <c r="F234" s="35">
        <v>5.11</v>
      </c>
      <c r="G234" s="34">
        <v>1.0</v>
      </c>
      <c r="H234" s="35">
        <v>100.0</v>
      </c>
      <c r="I234" s="35">
        <v>100.0</v>
      </c>
      <c r="J234" s="36">
        <f t="shared" si="1"/>
        <v>25.05096</v>
      </c>
      <c r="K234" s="36">
        <f t="shared" si="2"/>
        <v>22.7736</v>
      </c>
      <c r="L234" s="8">
        <f t="shared" si="3"/>
        <v>0.2306823562</v>
      </c>
      <c r="M234" s="8">
        <f t="shared" si="4"/>
        <v>0.06920470685</v>
      </c>
      <c r="N234" s="8">
        <f t="shared" si="5"/>
        <v>0.01384094137</v>
      </c>
      <c r="O234" s="8">
        <f t="shared" si="6"/>
        <v>0.0455472</v>
      </c>
      <c r="P234" s="8">
        <f t="shared" si="7"/>
        <v>0.0683208</v>
      </c>
      <c r="Q234" s="8">
        <f t="shared" si="8"/>
        <v>0.0227736</v>
      </c>
      <c r="R234" s="57"/>
      <c r="S234" s="57"/>
      <c r="T234" s="57"/>
      <c r="U234" s="57"/>
      <c r="V234" s="57"/>
      <c r="W234" s="57"/>
      <c r="X234" s="57"/>
      <c r="Y234" s="57"/>
      <c r="Z234" s="17"/>
    </row>
    <row r="235" ht="34.5" customHeight="1">
      <c r="A235" s="54" t="s">
        <v>221</v>
      </c>
      <c r="B235" s="34" t="s">
        <v>222</v>
      </c>
      <c r="C235" s="34" t="s">
        <v>276</v>
      </c>
      <c r="D235" s="34" t="s">
        <v>278</v>
      </c>
      <c r="E235" s="34">
        <v>231.0</v>
      </c>
      <c r="F235" s="35">
        <v>13.96</v>
      </c>
      <c r="G235" s="34">
        <v>6.0</v>
      </c>
      <c r="H235" s="35">
        <v>32.93</v>
      </c>
      <c r="I235" s="35">
        <v>47.25</v>
      </c>
      <c r="J235" s="36">
        <f t="shared" si="1"/>
        <v>218.62764</v>
      </c>
      <c r="K235" s="36">
        <f t="shared" si="2"/>
        <v>198.7524</v>
      </c>
      <c r="L235" s="8">
        <f t="shared" si="3"/>
        <v>2.013237781</v>
      </c>
      <c r="M235" s="8">
        <f t="shared" si="4"/>
        <v>0.6039713342</v>
      </c>
      <c r="N235" s="8">
        <f t="shared" si="5"/>
        <v>0.1207942668</v>
      </c>
      <c r="O235" s="8">
        <f t="shared" si="6"/>
        <v>0.3975048</v>
      </c>
      <c r="P235" s="8">
        <f t="shared" si="7"/>
        <v>0.5962572</v>
      </c>
      <c r="Q235" s="8">
        <f t="shared" si="8"/>
        <v>0.1987524</v>
      </c>
      <c r="R235" s="57"/>
      <c r="S235" s="57"/>
      <c r="T235" s="57"/>
      <c r="U235" s="57"/>
      <c r="V235" s="57"/>
      <c r="W235" s="57"/>
      <c r="X235" s="57"/>
      <c r="Y235" s="57"/>
      <c r="Z235" s="17"/>
    </row>
    <row r="236" ht="34.5" customHeight="1">
      <c r="A236" s="54" t="s">
        <v>221</v>
      </c>
      <c r="B236" s="34" t="s">
        <v>222</v>
      </c>
      <c r="C236" s="34" t="s">
        <v>276</v>
      </c>
      <c r="D236" s="34" t="s">
        <v>279</v>
      </c>
      <c r="E236" s="34">
        <v>109.0</v>
      </c>
      <c r="F236" s="35">
        <v>9.56</v>
      </c>
      <c r="G236" s="34">
        <v>3.0</v>
      </c>
      <c r="H236" s="35">
        <v>100.0</v>
      </c>
      <c r="I236" s="35">
        <v>100.0</v>
      </c>
      <c r="J236" s="36">
        <f t="shared" si="1"/>
        <v>108.43756</v>
      </c>
      <c r="K236" s="36">
        <f t="shared" si="2"/>
        <v>98.5796</v>
      </c>
      <c r="L236" s="8">
        <f t="shared" si="3"/>
        <v>0.9985498295</v>
      </c>
      <c r="M236" s="8">
        <f t="shared" si="4"/>
        <v>0.2995649489</v>
      </c>
      <c r="N236" s="8">
        <f t="shared" si="5"/>
        <v>0.05991298977</v>
      </c>
      <c r="O236" s="8">
        <f t="shared" si="6"/>
        <v>0.1971592</v>
      </c>
      <c r="P236" s="8">
        <f t="shared" si="7"/>
        <v>0.2957388</v>
      </c>
      <c r="Q236" s="8">
        <f t="shared" si="8"/>
        <v>0.0985796</v>
      </c>
      <c r="R236" s="57"/>
      <c r="S236" s="57"/>
      <c r="T236" s="57"/>
      <c r="U236" s="57"/>
      <c r="V236" s="57"/>
      <c r="W236" s="57"/>
      <c r="X236" s="57"/>
      <c r="Y236" s="57"/>
      <c r="Z236" s="17"/>
    </row>
    <row r="237" ht="34.5" customHeight="1">
      <c r="A237" s="54" t="s">
        <v>221</v>
      </c>
      <c r="B237" s="34" t="s">
        <v>222</v>
      </c>
      <c r="C237" s="34" t="s">
        <v>276</v>
      </c>
      <c r="D237" s="34" t="s">
        <v>280</v>
      </c>
      <c r="E237" s="34">
        <v>72.0</v>
      </c>
      <c r="F237" s="35">
        <v>12.47</v>
      </c>
      <c r="G237" s="34">
        <v>2.0</v>
      </c>
      <c r="H237" s="35">
        <v>100.0</v>
      </c>
      <c r="I237" s="35">
        <v>100.0</v>
      </c>
      <c r="J237" s="36">
        <f t="shared" si="1"/>
        <v>69.32376</v>
      </c>
      <c r="K237" s="36">
        <f t="shared" si="2"/>
        <v>63.0216</v>
      </c>
      <c r="L237" s="8">
        <f t="shared" si="3"/>
        <v>0.6383694795</v>
      </c>
      <c r="M237" s="8">
        <f t="shared" si="4"/>
        <v>0.1915108438</v>
      </c>
      <c r="N237" s="8">
        <f t="shared" si="5"/>
        <v>0.03830216877</v>
      </c>
      <c r="O237" s="8">
        <f t="shared" si="6"/>
        <v>0.1260432</v>
      </c>
      <c r="P237" s="8">
        <f t="shared" si="7"/>
        <v>0.1890648</v>
      </c>
      <c r="Q237" s="8">
        <f t="shared" si="8"/>
        <v>0.0630216</v>
      </c>
      <c r="R237" s="57"/>
      <c r="S237" s="57"/>
      <c r="T237" s="57"/>
      <c r="U237" s="57"/>
      <c r="V237" s="57"/>
      <c r="W237" s="57"/>
      <c r="X237" s="57"/>
      <c r="Y237" s="57"/>
      <c r="Z237" s="17"/>
    </row>
    <row r="238" ht="34.5" customHeight="1">
      <c r="A238" s="54" t="s">
        <v>221</v>
      </c>
      <c r="B238" s="34" t="s">
        <v>222</v>
      </c>
      <c r="C238" s="34" t="s">
        <v>276</v>
      </c>
      <c r="D238" s="34" t="s">
        <v>281</v>
      </c>
      <c r="E238" s="34">
        <v>103.0</v>
      </c>
      <c r="F238" s="35">
        <v>10.72</v>
      </c>
      <c r="G238" s="34">
        <v>4.0</v>
      </c>
      <c r="H238" s="35">
        <v>94.4</v>
      </c>
      <c r="I238" s="35">
        <v>94.4</v>
      </c>
      <c r="J238" s="36">
        <f t="shared" si="1"/>
        <v>101.15424</v>
      </c>
      <c r="K238" s="36">
        <f t="shared" si="2"/>
        <v>91.9584</v>
      </c>
      <c r="L238" s="8">
        <f t="shared" si="3"/>
        <v>0.9314812055</v>
      </c>
      <c r="M238" s="8">
        <f t="shared" si="4"/>
        <v>0.2794443616</v>
      </c>
      <c r="N238" s="8">
        <f t="shared" si="5"/>
        <v>0.05588887233</v>
      </c>
      <c r="O238" s="8">
        <f t="shared" si="6"/>
        <v>0.1839168</v>
      </c>
      <c r="P238" s="8">
        <f t="shared" si="7"/>
        <v>0.2758752</v>
      </c>
      <c r="Q238" s="8">
        <f t="shared" si="8"/>
        <v>0.0919584</v>
      </c>
      <c r="R238" s="57"/>
      <c r="S238" s="57"/>
      <c r="T238" s="57"/>
      <c r="U238" s="57"/>
      <c r="V238" s="57"/>
      <c r="W238" s="57"/>
      <c r="X238" s="57"/>
      <c r="Y238" s="57"/>
      <c r="Z238" s="17"/>
    </row>
    <row r="239" ht="34.5" customHeight="1">
      <c r="A239" s="54" t="s">
        <v>221</v>
      </c>
      <c r="B239" s="34" t="s">
        <v>222</v>
      </c>
      <c r="C239" s="34" t="s">
        <v>276</v>
      </c>
      <c r="D239" s="34" t="s">
        <v>282</v>
      </c>
      <c r="E239" s="34">
        <v>40.0</v>
      </c>
      <c r="F239" s="35">
        <v>18.0</v>
      </c>
      <c r="G239" s="34">
        <v>1.0</v>
      </c>
      <c r="H239" s="35">
        <v>100.0</v>
      </c>
      <c r="I239" s="35">
        <v>100.0</v>
      </c>
      <c r="J239" s="36">
        <f t="shared" si="1"/>
        <v>36.08</v>
      </c>
      <c r="K239" s="36">
        <f t="shared" si="2"/>
        <v>32.8</v>
      </c>
      <c r="L239" s="8">
        <f t="shared" si="3"/>
        <v>0.3322435312</v>
      </c>
      <c r="M239" s="8">
        <f t="shared" si="4"/>
        <v>0.09967305936</v>
      </c>
      <c r="N239" s="8">
        <f t="shared" si="5"/>
        <v>0.01993461187</v>
      </c>
      <c r="O239" s="8">
        <f t="shared" si="6"/>
        <v>0.0656</v>
      </c>
      <c r="P239" s="8">
        <f t="shared" si="7"/>
        <v>0.0984</v>
      </c>
      <c r="Q239" s="8">
        <f t="shared" si="8"/>
        <v>0.0328</v>
      </c>
      <c r="R239" s="57"/>
      <c r="S239" s="57"/>
      <c r="T239" s="57"/>
      <c r="U239" s="57"/>
      <c r="V239" s="57"/>
      <c r="W239" s="57"/>
      <c r="X239" s="57"/>
      <c r="Y239" s="57"/>
      <c r="Z239" s="17"/>
    </row>
    <row r="240" ht="34.5" customHeight="1">
      <c r="A240" s="54" t="s">
        <v>221</v>
      </c>
      <c r="B240" s="34" t="s">
        <v>222</v>
      </c>
      <c r="C240" s="34" t="s">
        <v>276</v>
      </c>
      <c r="D240" s="34" t="s">
        <v>283</v>
      </c>
      <c r="E240" s="34">
        <v>101.0</v>
      </c>
      <c r="F240" s="35">
        <v>8.85</v>
      </c>
      <c r="G240" s="34">
        <v>3.0</v>
      </c>
      <c r="H240" s="35">
        <v>100.0</v>
      </c>
      <c r="I240" s="35">
        <v>100.0</v>
      </c>
      <c r="J240" s="36">
        <f t="shared" si="1"/>
        <v>101.26765</v>
      </c>
      <c r="K240" s="36">
        <f t="shared" si="2"/>
        <v>92.0615</v>
      </c>
      <c r="L240" s="8">
        <f t="shared" si="3"/>
        <v>0.9325255441</v>
      </c>
      <c r="M240" s="8">
        <f t="shared" si="4"/>
        <v>0.2797576632</v>
      </c>
      <c r="N240" s="8">
        <f t="shared" si="5"/>
        <v>0.05595153265</v>
      </c>
      <c r="O240" s="8">
        <f t="shared" si="6"/>
        <v>0.184123</v>
      </c>
      <c r="P240" s="8">
        <f t="shared" si="7"/>
        <v>0.2761845</v>
      </c>
      <c r="Q240" s="8">
        <f t="shared" si="8"/>
        <v>0.0920615</v>
      </c>
      <c r="R240" s="57"/>
      <c r="S240" s="57"/>
      <c r="T240" s="57"/>
      <c r="U240" s="57"/>
      <c r="V240" s="57"/>
      <c r="W240" s="57"/>
      <c r="X240" s="57"/>
      <c r="Y240" s="57"/>
      <c r="Z240" s="17"/>
    </row>
    <row r="241" ht="34.5" customHeight="1">
      <c r="A241" s="54" t="s">
        <v>221</v>
      </c>
      <c r="B241" s="38" t="s">
        <v>222</v>
      </c>
      <c r="C241" s="38" t="s">
        <v>276</v>
      </c>
      <c r="D241" s="38" t="s">
        <v>276</v>
      </c>
      <c r="E241" s="34">
        <v>642.0</v>
      </c>
      <c r="F241" s="35">
        <v>19.82</v>
      </c>
      <c r="G241" s="34">
        <v>13.0</v>
      </c>
      <c r="H241" s="35">
        <v>31.59</v>
      </c>
      <c r="I241" s="35">
        <v>55.9</v>
      </c>
      <c r="J241" s="36">
        <f t="shared" si="1"/>
        <v>566.23116</v>
      </c>
      <c r="K241" s="36">
        <f t="shared" si="2"/>
        <v>514.7556</v>
      </c>
      <c r="L241" s="8">
        <f t="shared" si="3"/>
        <v>5.214152995</v>
      </c>
      <c r="M241" s="8">
        <f t="shared" si="4"/>
        <v>1.564245899</v>
      </c>
      <c r="N241" s="8">
        <f t="shared" si="5"/>
        <v>0.3128491797</v>
      </c>
      <c r="O241" s="8">
        <f t="shared" si="6"/>
        <v>1.0295112</v>
      </c>
      <c r="P241" s="8">
        <f t="shared" si="7"/>
        <v>1.5442668</v>
      </c>
      <c r="Q241" s="8">
        <f t="shared" si="8"/>
        <v>0.5147556</v>
      </c>
      <c r="R241" s="57"/>
      <c r="S241" s="57"/>
      <c r="T241" s="57"/>
      <c r="U241" s="57"/>
      <c r="V241" s="57"/>
      <c r="W241" s="57"/>
      <c r="X241" s="57"/>
      <c r="Y241" s="57"/>
      <c r="Z241" s="17"/>
    </row>
    <row r="242" ht="34.5" customHeight="1">
      <c r="A242" s="54" t="s">
        <v>284</v>
      </c>
      <c r="B242" s="5" t="s">
        <v>285</v>
      </c>
      <c r="C242" s="5" t="s">
        <v>286</v>
      </c>
      <c r="D242" s="5" t="s">
        <v>287</v>
      </c>
      <c r="E242" s="5">
        <v>448.0</v>
      </c>
      <c r="F242" s="58">
        <v>16.54</v>
      </c>
      <c r="G242" s="5">
        <v>9.0</v>
      </c>
      <c r="H242" s="58">
        <v>22.12</v>
      </c>
      <c r="I242" s="58">
        <v>53.53</v>
      </c>
      <c r="J242" s="7">
        <f t="shared" si="1"/>
        <v>411.29088</v>
      </c>
      <c r="K242" s="7">
        <f t="shared" si="2"/>
        <v>373.9008</v>
      </c>
      <c r="L242" s="8">
        <f t="shared" si="3"/>
        <v>3.787381772</v>
      </c>
      <c r="M242" s="8">
        <f t="shared" si="4"/>
        <v>1.136214532</v>
      </c>
      <c r="N242" s="8">
        <f t="shared" si="5"/>
        <v>0.2272429063</v>
      </c>
      <c r="O242" s="8">
        <f t="shared" si="6"/>
        <v>0.7478016</v>
      </c>
      <c r="P242" s="8">
        <f t="shared" si="7"/>
        <v>1.1217024</v>
      </c>
      <c r="Q242" s="8">
        <f t="shared" si="8"/>
        <v>0.3739008</v>
      </c>
      <c r="R242" s="57"/>
      <c r="S242" s="57"/>
      <c r="T242" s="57"/>
      <c r="U242" s="57"/>
      <c r="V242" s="57"/>
      <c r="W242" s="57"/>
      <c r="X242" s="57"/>
      <c r="Y242" s="57"/>
      <c r="Z242" s="17"/>
    </row>
    <row r="243" ht="34.5" customHeight="1">
      <c r="A243" s="54" t="s">
        <v>284</v>
      </c>
      <c r="B243" s="5" t="s">
        <v>285</v>
      </c>
      <c r="C243" s="5" t="s">
        <v>286</v>
      </c>
      <c r="D243" s="5" t="s">
        <v>288</v>
      </c>
      <c r="E243" s="5">
        <v>15.0</v>
      </c>
      <c r="F243" s="58">
        <v>6.63</v>
      </c>
      <c r="G243" s="5">
        <v>1.0</v>
      </c>
      <c r="H243" s="58">
        <v>100.0</v>
      </c>
      <c r="I243" s="58">
        <v>100.0</v>
      </c>
      <c r="J243" s="7">
        <f t="shared" si="1"/>
        <v>15.40605</v>
      </c>
      <c r="K243" s="7">
        <f t="shared" si="2"/>
        <v>14.0055</v>
      </c>
      <c r="L243" s="8">
        <f t="shared" si="3"/>
        <v>0.1418669749</v>
      </c>
      <c r="M243" s="8">
        <f t="shared" si="4"/>
        <v>0.04256009247</v>
      </c>
      <c r="N243" s="8">
        <f t="shared" si="5"/>
        <v>0.008512018493</v>
      </c>
      <c r="O243" s="8">
        <f t="shared" si="6"/>
        <v>0.028011</v>
      </c>
      <c r="P243" s="8">
        <f t="shared" si="7"/>
        <v>0.0420165</v>
      </c>
      <c r="Q243" s="8">
        <f t="shared" si="8"/>
        <v>0.0140055</v>
      </c>
      <c r="R243" s="57"/>
      <c r="S243" s="57"/>
      <c r="T243" s="57"/>
      <c r="U243" s="57"/>
      <c r="V243" s="57"/>
      <c r="W243" s="57"/>
      <c r="X243" s="57"/>
      <c r="Y243" s="57"/>
      <c r="Z243" s="17"/>
    </row>
    <row r="244" ht="34.5" customHeight="1">
      <c r="A244" s="54" t="s">
        <v>284</v>
      </c>
      <c r="B244" s="5" t="s">
        <v>285</v>
      </c>
      <c r="C244" s="5" t="s">
        <v>286</v>
      </c>
      <c r="D244" s="5" t="s">
        <v>289</v>
      </c>
      <c r="E244" s="5">
        <v>64.0</v>
      </c>
      <c r="F244" s="58">
        <v>11.58</v>
      </c>
      <c r="G244" s="5">
        <v>3.0</v>
      </c>
      <c r="H244" s="58">
        <v>83.19</v>
      </c>
      <c r="I244" s="58">
        <v>83.19</v>
      </c>
      <c r="J244" s="7">
        <f t="shared" si="1"/>
        <v>62.24768</v>
      </c>
      <c r="K244" s="7">
        <f t="shared" si="2"/>
        <v>56.5888</v>
      </c>
      <c r="L244" s="8">
        <f t="shared" si="3"/>
        <v>0.5732092298</v>
      </c>
      <c r="M244" s="8">
        <f t="shared" si="4"/>
        <v>0.1719627689</v>
      </c>
      <c r="N244" s="8">
        <f t="shared" si="5"/>
        <v>0.03439255379</v>
      </c>
      <c r="O244" s="8">
        <f t="shared" si="6"/>
        <v>0.1131776</v>
      </c>
      <c r="P244" s="8">
        <f t="shared" si="7"/>
        <v>0.1697664</v>
      </c>
      <c r="Q244" s="8">
        <f t="shared" si="8"/>
        <v>0.0565888</v>
      </c>
      <c r="R244" s="57"/>
      <c r="S244" s="57"/>
      <c r="T244" s="57"/>
      <c r="U244" s="57"/>
      <c r="V244" s="57"/>
      <c r="W244" s="57"/>
      <c r="X244" s="57"/>
      <c r="Y244" s="57"/>
      <c r="Z244" s="17"/>
    </row>
    <row r="245" ht="34.5" customHeight="1">
      <c r="A245" s="54" t="s">
        <v>284</v>
      </c>
      <c r="B245" s="5" t="s">
        <v>285</v>
      </c>
      <c r="C245" s="5" t="s">
        <v>286</v>
      </c>
      <c r="D245" s="5" t="s">
        <v>290</v>
      </c>
      <c r="E245" s="5">
        <v>187.0</v>
      </c>
      <c r="F245" s="58">
        <v>17.31</v>
      </c>
      <c r="G245" s="5">
        <v>9.0</v>
      </c>
      <c r="H245" s="58">
        <v>16.58</v>
      </c>
      <c r="I245" s="58">
        <v>35.54</v>
      </c>
      <c r="J245" s="7">
        <f t="shared" si="1"/>
        <v>170.09333</v>
      </c>
      <c r="K245" s="7">
        <f t="shared" si="2"/>
        <v>154.6303</v>
      </c>
      <c r="L245" s="8">
        <f t="shared" si="3"/>
        <v>1.566308442</v>
      </c>
      <c r="M245" s="8">
        <f t="shared" si="4"/>
        <v>0.4698925326</v>
      </c>
      <c r="N245" s="8">
        <f t="shared" si="5"/>
        <v>0.09397850653</v>
      </c>
      <c r="O245" s="8">
        <f t="shared" si="6"/>
        <v>0.3092606</v>
      </c>
      <c r="P245" s="8">
        <f t="shared" si="7"/>
        <v>0.4638909</v>
      </c>
      <c r="Q245" s="8">
        <f t="shared" si="8"/>
        <v>0.1546303</v>
      </c>
      <c r="R245" s="57"/>
      <c r="S245" s="57"/>
      <c r="T245" s="57"/>
      <c r="U245" s="57"/>
      <c r="V245" s="57"/>
      <c r="W245" s="57"/>
      <c r="X245" s="57"/>
      <c r="Y245" s="57"/>
      <c r="Z245" s="17"/>
    </row>
    <row r="246" ht="34.5" customHeight="1">
      <c r="A246" s="54" t="s">
        <v>284</v>
      </c>
      <c r="B246" s="5" t="s">
        <v>285</v>
      </c>
      <c r="C246" s="5" t="s">
        <v>286</v>
      </c>
      <c r="D246" s="5" t="s">
        <v>291</v>
      </c>
      <c r="E246" s="5">
        <v>30.0</v>
      </c>
      <c r="F246" s="58">
        <v>18.56</v>
      </c>
      <c r="G246" s="5">
        <v>2.0</v>
      </c>
      <c r="H246" s="58">
        <v>82.81</v>
      </c>
      <c r="I246" s="58">
        <v>82.81</v>
      </c>
      <c r="J246" s="7">
        <f t="shared" si="1"/>
        <v>26.8752</v>
      </c>
      <c r="K246" s="7">
        <f t="shared" si="2"/>
        <v>24.432</v>
      </c>
      <c r="L246" s="8">
        <f t="shared" si="3"/>
        <v>0.2474809132</v>
      </c>
      <c r="M246" s="8">
        <f t="shared" si="4"/>
        <v>0.07424427397</v>
      </c>
      <c r="N246" s="8">
        <f t="shared" si="5"/>
        <v>0.01484885479</v>
      </c>
      <c r="O246" s="8">
        <f t="shared" si="6"/>
        <v>0.048864</v>
      </c>
      <c r="P246" s="8">
        <f t="shared" si="7"/>
        <v>0.073296</v>
      </c>
      <c r="Q246" s="8">
        <f t="shared" si="8"/>
        <v>0.024432</v>
      </c>
      <c r="R246" s="57"/>
      <c r="S246" s="57"/>
      <c r="T246" s="57"/>
      <c r="U246" s="57"/>
      <c r="V246" s="57"/>
      <c r="W246" s="57"/>
      <c r="X246" s="57"/>
      <c r="Y246" s="57"/>
      <c r="Z246" s="17"/>
    </row>
    <row r="247" ht="34.5" customHeight="1">
      <c r="A247" s="54" t="s">
        <v>284</v>
      </c>
      <c r="B247" s="5" t="s">
        <v>285</v>
      </c>
      <c r="C247" s="5" t="s">
        <v>286</v>
      </c>
      <c r="D247" s="5" t="s">
        <v>292</v>
      </c>
      <c r="E247" s="5">
        <v>18.0</v>
      </c>
      <c r="F247" s="58">
        <v>17.62</v>
      </c>
      <c r="G247" s="5">
        <v>1.0</v>
      </c>
      <c r="H247" s="58">
        <v>0.0</v>
      </c>
      <c r="I247" s="58">
        <v>0.0</v>
      </c>
      <c r="J247" s="7">
        <f t="shared" si="1"/>
        <v>16.31124</v>
      </c>
      <c r="K247" s="7">
        <f t="shared" si="2"/>
        <v>14.8284</v>
      </c>
      <c r="L247" s="8">
        <f t="shared" si="3"/>
        <v>0.1502024384</v>
      </c>
      <c r="M247" s="8">
        <f t="shared" si="4"/>
        <v>0.04506073151</v>
      </c>
      <c r="N247" s="8">
        <f t="shared" si="5"/>
        <v>0.009012146301</v>
      </c>
      <c r="O247" s="8">
        <f t="shared" si="6"/>
        <v>0.0296568</v>
      </c>
      <c r="P247" s="8">
        <f t="shared" si="7"/>
        <v>0.0444852</v>
      </c>
      <c r="Q247" s="8">
        <f t="shared" si="8"/>
        <v>0.0148284</v>
      </c>
      <c r="R247" s="57"/>
      <c r="S247" s="57"/>
      <c r="T247" s="57"/>
      <c r="U247" s="57"/>
      <c r="V247" s="57"/>
      <c r="W247" s="57"/>
      <c r="X247" s="57"/>
      <c r="Y247" s="57"/>
      <c r="Z247" s="17"/>
    </row>
    <row r="248" ht="34.5" customHeight="1">
      <c r="A248" s="54" t="s">
        <v>284</v>
      </c>
      <c r="B248" s="5" t="s">
        <v>285</v>
      </c>
      <c r="C248" s="5" t="s">
        <v>286</v>
      </c>
      <c r="D248" s="5" t="s">
        <v>293</v>
      </c>
      <c r="E248" s="5">
        <v>83.0</v>
      </c>
      <c r="F248" s="58">
        <v>9.19</v>
      </c>
      <c r="G248" s="5">
        <v>4.0</v>
      </c>
      <c r="H248" s="58">
        <v>80.59</v>
      </c>
      <c r="I248" s="58">
        <v>100.0</v>
      </c>
      <c r="J248" s="7">
        <f t="shared" si="1"/>
        <v>82.90953</v>
      </c>
      <c r="K248" s="7">
        <f t="shared" si="2"/>
        <v>75.3723</v>
      </c>
      <c r="L248" s="8">
        <f t="shared" si="3"/>
        <v>0.763474363</v>
      </c>
      <c r="M248" s="8">
        <f t="shared" si="4"/>
        <v>0.2290423089</v>
      </c>
      <c r="N248" s="8">
        <f t="shared" si="5"/>
        <v>0.04580846178</v>
      </c>
      <c r="O248" s="8">
        <f t="shared" si="6"/>
        <v>0.1507446</v>
      </c>
      <c r="P248" s="8">
        <f t="shared" si="7"/>
        <v>0.2261169</v>
      </c>
      <c r="Q248" s="8">
        <f t="shared" si="8"/>
        <v>0.0753723</v>
      </c>
      <c r="R248" s="57"/>
      <c r="S248" s="57"/>
      <c r="T248" s="57"/>
      <c r="U248" s="57"/>
      <c r="V248" s="57"/>
      <c r="W248" s="57"/>
      <c r="X248" s="57"/>
      <c r="Y248" s="57"/>
      <c r="Z248" s="17"/>
    </row>
    <row r="249" ht="34.5" customHeight="1">
      <c r="A249" s="54" t="s">
        <v>284</v>
      </c>
      <c r="B249" s="5" t="s">
        <v>285</v>
      </c>
      <c r="C249" s="5" t="s">
        <v>286</v>
      </c>
      <c r="D249" s="5" t="s">
        <v>294</v>
      </c>
      <c r="E249" s="5">
        <v>165.0</v>
      </c>
      <c r="F249" s="58">
        <v>6.07</v>
      </c>
      <c r="G249" s="5">
        <v>5.0</v>
      </c>
      <c r="H249" s="58">
        <v>87.47</v>
      </c>
      <c r="I249" s="58">
        <v>100.0</v>
      </c>
      <c r="J249" s="7">
        <f t="shared" si="1"/>
        <v>170.48295</v>
      </c>
      <c r="K249" s="7">
        <f t="shared" si="2"/>
        <v>154.9845</v>
      </c>
      <c r="L249" s="8">
        <f t="shared" si="3"/>
        <v>1.569896267</v>
      </c>
      <c r="M249" s="8">
        <f t="shared" si="4"/>
        <v>0.4709688801</v>
      </c>
      <c r="N249" s="8">
        <f t="shared" si="5"/>
        <v>0.09419377603</v>
      </c>
      <c r="O249" s="8">
        <f t="shared" si="6"/>
        <v>0.309969</v>
      </c>
      <c r="P249" s="8">
        <f t="shared" si="7"/>
        <v>0.4649535</v>
      </c>
      <c r="Q249" s="8">
        <f t="shared" si="8"/>
        <v>0.1549845</v>
      </c>
      <c r="R249" s="57"/>
      <c r="S249" s="57"/>
      <c r="T249" s="57"/>
      <c r="U249" s="57"/>
      <c r="V249" s="57"/>
      <c r="W249" s="57"/>
      <c r="X249" s="57"/>
      <c r="Y249" s="57"/>
      <c r="Z249" s="17"/>
    </row>
    <row r="250" ht="34.5" customHeight="1">
      <c r="A250" s="54" t="s">
        <v>284</v>
      </c>
      <c r="B250" s="5" t="s">
        <v>285</v>
      </c>
      <c r="C250" s="5" t="s">
        <v>286</v>
      </c>
      <c r="D250" s="5" t="s">
        <v>295</v>
      </c>
      <c r="E250" s="5">
        <v>86.0</v>
      </c>
      <c r="F250" s="58">
        <v>5.86</v>
      </c>
      <c r="G250" s="5">
        <v>3.0</v>
      </c>
      <c r="H250" s="58">
        <v>100.0</v>
      </c>
      <c r="I250" s="58">
        <v>100.0</v>
      </c>
      <c r="J250" s="7">
        <f t="shared" si="1"/>
        <v>89.05644</v>
      </c>
      <c r="K250" s="7">
        <f t="shared" si="2"/>
        <v>80.9604</v>
      </c>
      <c r="L250" s="8">
        <f t="shared" si="3"/>
        <v>0.8200783288</v>
      </c>
      <c r="M250" s="8">
        <f t="shared" si="4"/>
        <v>0.2460234986</v>
      </c>
      <c r="N250" s="8">
        <f t="shared" si="5"/>
        <v>0.04920469973</v>
      </c>
      <c r="O250" s="8">
        <f t="shared" si="6"/>
        <v>0.1619208</v>
      </c>
      <c r="P250" s="8">
        <f t="shared" si="7"/>
        <v>0.2428812</v>
      </c>
      <c r="Q250" s="8">
        <f t="shared" si="8"/>
        <v>0.0809604</v>
      </c>
      <c r="R250" s="57"/>
      <c r="S250" s="57"/>
      <c r="T250" s="57"/>
      <c r="U250" s="57"/>
      <c r="V250" s="57"/>
      <c r="W250" s="57"/>
      <c r="X250" s="57"/>
      <c r="Y250" s="57"/>
      <c r="Z250" s="17"/>
    </row>
    <row r="251" ht="34.5" customHeight="1">
      <c r="A251" s="54" t="s">
        <v>284</v>
      </c>
      <c r="B251" s="5" t="s">
        <v>285</v>
      </c>
      <c r="C251" s="5" t="s">
        <v>286</v>
      </c>
      <c r="D251" s="5" t="s">
        <v>296</v>
      </c>
      <c r="E251" s="5">
        <v>45.0</v>
      </c>
      <c r="F251" s="58">
        <v>9.26</v>
      </c>
      <c r="G251" s="5">
        <v>1.0</v>
      </c>
      <c r="H251" s="58">
        <v>100.0</v>
      </c>
      <c r="I251" s="58">
        <v>100.0</v>
      </c>
      <c r="J251" s="7">
        <f t="shared" si="1"/>
        <v>44.9163</v>
      </c>
      <c r="K251" s="7">
        <f t="shared" si="2"/>
        <v>40.833</v>
      </c>
      <c r="L251" s="8">
        <f t="shared" si="3"/>
        <v>0.4136128082</v>
      </c>
      <c r="M251" s="8">
        <f t="shared" si="4"/>
        <v>0.1240838425</v>
      </c>
      <c r="N251" s="8">
        <f t="shared" si="5"/>
        <v>0.02481676849</v>
      </c>
      <c r="O251" s="8">
        <f t="shared" si="6"/>
        <v>0.081666</v>
      </c>
      <c r="P251" s="8">
        <f t="shared" si="7"/>
        <v>0.122499</v>
      </c>
      <c r="Q251" s="8">
        <f t="shared" si="8"/>
        <v>0.040833</v>
      </c>
      <c r="R251" s="57"/>
      <c r="S251" s="57"/>
      <c r="T251" s="57"/>
      <c r="U251" s="57"/>
      <c r="V251" s="57"/>
      <c r="W251" s="57"/>
      <c r="X251" s="57"/>
      <c r="Y251" s="57"/>
      <c r="Z251" s="17"/>
    </row>
    <row r="252" ht="34.5" customHeight="1">
      <c r="A252" s="54" t="s">
        <v>284</v>
      </c>
      <c r="B252" s="5" t="s">
        <v>285</v>
      </c>
      <c r="C252" s="5" t="s">
        <v>286</v>
      </c>
      <c r="D252" s="5" t="s">
        <v>297</v>
      </c>
      <c r="E252" s="5">
        <v>27.0</v>
      </c>
      <c r="F252" s="58">
        <v>23.06</v>
      </c>
      <c r="G252" s="5">
        <v>1.0</v>
      </c>
      <c r="H252" s="58">
        <v>100.0</v>
      </c>
      <c r="I252" s="58">
        <v>100.0</v>
      </c>
      <c r="J252" s="7">
        <f t="shared" si="1"/>
        <v>22.85118</v>
      </c>
      <c r="K252" s="7">
        <f t="shared" si="2"/>
        <v>20.7738</v>
      </c>
      <c r="L252" s="8">
        <f t="shared" si="3"/>
        <v>0.2104256301</v>
      </c>
      <c r="M252" s="8">
        <f t="shared" si="4"/>
        <v>0.06312768904</v>
      </c>
      <c r="N252" s="8">
        <f t="shared" si="5"/>
        <v>0.01262553781</v>
      </c>
      <c r="O252" s="8">
        <f t="shared" si="6"/>
        <v>0.0415476</v>
      </c>
      <c r="P252" s="8">
        <f t="shared" si="7"/>
        <v>0.0623214</v>
      </c>
      <c r="Q252" s="8">
        <f t="shared" si="8"/>
        <v>0.0207738</v>
      </c>
      <c r="R252" s="57"/>
      <c r="S252" s="57"/>
      <c r="T252" s="57"/>
      <c r="U252" s="57"/>
      <c r="V252" s="57"/>
      <c r="W252" s="57"/>
      <c r="X252" s="57"/>
      <c r="Y252" s="57"/>
      <c r="Z252" s="17"/>
    </row>
    <row r="253" ht="34.5" customHeight="1">
      <c r="A253" s="54" t="s">
        <v>284</v>
      </c>
      <c r="B253" s="5" t="s">
        <v>285</v>
      </c>
      <c r="C253" s="5" t="s">
        <v>286</v>
      </c>
      <c r="D253" s="5" t="s">
        <v>298</v>
      </c>
      <c r="E253" s="5">
        <v>135.0</v>
      </c>
      <c r="F253" s="58">
        <v>16.35</v>
      </c>
      <c r="G253" s="5">
        <v>4.0</v>
      </c>
      <c r="H253" s="58">
        <v>89.06</v>
      </c>
      <c r="I253" s="58">
        <v>89.06</v>
      </c>
      <c r="J253" s="7">
        <f t="shared" si="1"/>
        <v>124.22025</v>
      </c>
      <c r="K253" s="7">
        <f t="shared" si="2"/>
        <v>112.9275</v>
      </c>
      <c r="L253" s="8">
        <f t="shared" si="3"/>
        <v>1.143885103</v>
      </c>
      <c r="M253" s="8">
        <f t="shared" si="4"/>
        <v>0.3431655308</v>
      </c>
      <c r="N253" s="8">
        <f t="shared" si="5"/>
        <v>0.06863310616</v>
      </c>
      <c r="O253" s="8">
        <f t="shared" si="6"/>
        <v>0.225855</v>
      </c>
      <c r="P253" s="8">
        <f t="shared" si="7"/>
        <v>0.3387825</v>
      </c>
      <c r="Q253" s="8">
        <f t="shared" si="8"/>
        <v>0.1129275</v>
      </c>
      <c r="R253" s="57"/>
      <c r="S253" s="57"/>
      <c r="T253" s="57"/>
      <c r="U253" s="57"/>
      <c r="V253" s="57"/>
      <c r="W253" s="57"/>
      <c r="X253" s="57"/>
      <c r="Y253" s="57"/>
      <c r="Z253" s="17"/>
    </row>
    <row r="254" ht="34.5" customHeight="1">
      <c r="A254" s="54" t="s">
        <v>284</v>
      </c>
      <c r="B254" s="5" t="s">
        <v>285</v>
      </c>
      <c r="C254" s="5" t="s">
        <v>299</v>
      </c>
      <c r="D254" s="5" t="s">
        <v>300</v>
      </c>
      <c r="E254" s="5">
        <v>46.0</v>
      </c>
      <c r="F254" s="58">
        <v>29.02</v>
      </c>
      <c r="G254" s="5">
        <v>1.0</v>
      </c>
      <c r="H254" s="58">
        <v>100.0</v>
      </c>
      <c r="I254" s="58">
        <v>100.0</v>
      </c>
      <c r="J254" s="7">
        <f t="shared" si="1"/>
        <v>35.91588</v>
      </c>
      <c r="K254" s="7">
        <f t="shared" si="2"/>
        <v>32.6508</v>
      </c>
      <c r="L254" s="8">
        <f t="shared" si="3"/>
        <v>0.3307322283</v>
      </c>
      <c r="M254" s="8">
        <f t="shared" si="4"/>
        <v>0.09921966849</v>
      </c>
      <c r="N254" s="8">
        <f t="shared" si="5"/>
        <v>0.0198439337</v>
      </c>
      <c r="O254" s="8">
        <f t="shared" si="6"/>
        <v>0.0653016</v>
      </c>
      <c r="P254" s="8">
        <f t="shared" si="7"/>
        <v>0.0979524</v>
      </c>
      <c r="Q254" s="8">
        <f t="shared" si="8"/>
        <v>0.0326508</v>
      </c>
      <c r="R254" s="57"/>
      <c r="S254" s="57"/>
      <c r="T254" s="57"/>
      <c r="U254" s="57"/>
      <c r="V254" s="57"/>
      <c r="W254" s="57"/>
      <c r="X254" s="57"/>
      <c r="Y254" s="57"/>
      <c r="Z254" s="17"/>
    </row>
    <row r="255" ht="34.5" customHeight="1">
      <c r="A255" s="54" t="s">
        <v>284</v>
      </c>
      <c r="B255" s="5" t="s">
        <v>285</v>
      </c>
      <c r="C255" s="5" t="s">
        <v>299</v>
      </c>
      <c r="D255" s="5" t="s">
        <v>301</v>
      </c>
      <c r="E255" s="5">
        <v>335.0</v>
      </c>
      <c r="F255" s="58">
        <v>24.4</v>
      </c>
      <c r="G255" s="5">
        <v>7.0</v>
      </c>
      <c r="H255" s="58">
        <v>96.93</v>
      </c>
      <c r="I255" s="58">
        <v>100.0</v>
      </c>
      <c r="J255" s="7">
        <f t="shared" si="1"/>
        <v>278.586</v>
      </c>
      <c r="K255" s="7">
        <f t="shared" si="2"/>
        <v>253.26</v>
      </c>
      <c r="L255" s="8">
        <f t="shared" si="3"/>
        <v>2.565365753</v>
      </c>
      <c r="M255" s="8">
        <f t="shared" si="4"/>
        <v>0.769609726</v>
      </c>
      <c r="N255" s="8">
        <f t="shared" si="5"/>
        <v>0.1539219452</v>
      </c>
      <c r="O255" s="8">
        <f t="shared" si="6"/>
        <v>0.50652</v>
      </c>
      <c r="P255" s="8">
        <f t="shared" si="7"/>
        <v>0.75978</v>
      </c>
      <c r="Q255" s="8">
        <f t="shared" si="8"/>
        <v>0.25326</v>
      </c>
      <c r="R255" s="57"/>
      <c r="S255" s="57"/>
      <c r="T255" s="57"/>
      <c r="U255" s="57"/>
      <c r="V255" s="57"/>
      <c r="W255" s="57"/>
      <c r="X255" s="57"/>
      <c r="Y255" s="57"/>
      <c r="Z255" s="17"/>
    </row>
    <row r="256" ht="34.5" customHeight="1">
      <c r="A256" s="54" t="s">
        <v>284</v>
      </c>
      <c r="B256" s="5" t="s">
        <v>285</v>
      </c>
      <c r="C256" s="5" t="s">
        <v>299</v>
      </c>
      <c r="D256" s="5" t="s">
        <v>302</v>
      </c>
      <c r="E256" s="5">
        <v>53.0</v>
      </c>
      <c r="F256" s="58">
        <v>19.57</v>
      </c>
      <c r="G256" s="5">
        <v>2.0</v>
      </c>
      <c r="H256" s="58">
        <v>100.0</v>
      </c>
      <c r="I256" s="58">
        <v>100.0</v>
      </c>
      <c r="J256" s="7">
        <f t="shared" si="1"/>
        <v>46.89069</v>
      </c>
      <c r="K256" s="7">
        <f t="shared" si="2"/>
        <v>42.6279</v>
      </c>
      <c r="L256" s="8">
        <f t="shared" si="3"/>
        <v>0.4317940251</v>
      </c>
      <c r="M256" s="8">
        <f t="shared" si="4"/>
        <v>0.1295382075</v>
      </c>
      <c r="N256" s="8">
        <f t="shared" si="5"/>
        <v>0.02590764151</v>
      </c>
      <c r="O256" s="8">
        <f t="shared" si="6"/>
        <v>0.0852558</v>
      </c>
      <c r="P256" s="8">
        <f t="shared" si="7"/>
        <v>0.1278837</v>
      </c>
      <c r="Q256" s="8">
        <f t="shared" si="8"/>
        <v>0.0426279</v>
      </c>
      <c r="R256" s="57"/>
      <c r="S256" s="57"/>
      <c r="T256" s="57"/>
      <c r="U256" s="57"/>
      <c r="V256" s="57"/>
      <c r="W256" s="57"/>
      <c r="X256" s="57"/>
      <c r="Y256" s="57"/>
      <c r="Z256" s="17"/>
    </row>
    <row r="257" ht="34.5" customHeight="1">
      <c r="A257" s="54" t="s">
        <v>284</v>
      </c>
      <c r="B257" s="5" t="s">
        <v>285</v>
      </c>
      <c r="C257" s="5" t="s">
        <v>299</v>
      </c>
      <c r="D257" s="5" t="s">
        <v>303</v>
      </c>
      <c r="E257" s="5">
        <v>40.0</v>
      </c>
      <c r="F257" s="58">
        <v>9.61</v>
      </c>
      <c r="G257" s="5">
        <v>2.0</v>
      </c>
      <c r="H257" s="58">
        <v>100.0</v>
      </c>
      <c r="I257" s="58">
        <v>100.0</v>
      </c>
      <c r="J257" s="7">
        <f t="shared" si="1"/>
        <v>39.7716</v>
      </c>
      <c r="K257" s="7">
        <f t="shared" si="2"/>
        <v>36.156</v>
      </c>
      <c r="L257" s="8">
        <f t="shared" si="3"/>
        <v>0.3662377169</v>
      </c>
      <c r="M257" s="8">
        <f t="shared" si="4"/>
        <v>0.1098713151</v>
      </c>
      <c r="N257" s="8">
        <f t="shared" si="5"/>
        <v>0.02197426301</v>
      </c>
      <c r="O257" s="8">
        <f t="shared" si="6"/>
        <v>0.072312</v>
      </c>
      <c r="P257" s="8">
        <f t="shared" si="7"/>
        <v>0.108468</v>
      </c>
      <c r="Q257" s="8">
        <f t="shared" si="8"/>
        <v>0.036156</v>
      </c>
      <c r="R257" s="57"/>
      <c r="S257" s="57"/>
      <c r="T257" s="57"/>
      <c r="U257" s="57"/>
      <c r="V257" s="57"/>
      <c r="W257" s="57"/>
      <c r="X257" s="57"/>
      <c r="Y257" s="57"/>
      <c r="Z257" s="17"/>
    </row>
    <row r="258" ht="34.5" customHeight="1">
      <c r="A258" s="54" t="s">
        <v>284</v>
      </c>
      <c r="B258" s="5" t="s">
        <v>285</v>
      </c>
      <c r="C258" s="5" t="s">
        <v>299</v>
      </c>
      <c r="D258" s="5" t="s">
        <v>304</v>
      </c>
      <c r="E258" s="5">
        <v>41.0</v>
      </c>
      <c r="F258" s="58">
        <v>14.15</v>
      </c>
      <c r="G258" s="5">
        <v>1.0</v>
      </c>
      <c r="H258" s="58">
        <v>100.0</v>
      </c>
      <c r="I258" s="58">
        <v>100.0</v>
      </c>
      <c r="J258" s="7">
        <f t="shared" si="1"/>
        <v>38.71835</v>
      </c>
      <c r="K258" s="7">
        <f t="shared" si="2"/>
        <v>35.1985</v>
      </c>
      <c r="L258" s="8">
        <f t="shared" si="3"/>
        <v>0.3565388394</v>
      </c>
      <c r="M258" s="8">
        <f t="shared" si="4"/>
        <v>0.1069616518</v>
      </c>
      <c r="N258" s="8">
        <f t="shared" si="5"/>
        <v>0.02139233037</v>
      </c>
      <c r="O258" s="8">
        <f t="shared" si="6"/>
        <v>0.070397</v>
      </c>
      <c r="P258" s="8">
        <f t="shared" si="7"/>
        <v>0.1055955</v>
      </c>
      <c r="Q258" s="8">
        <f t="shared" si="8"/>
        <v>0.0351985</v>
      </c>
      <c r="R258" s="57"/>
      <c r="S258" s="57"/>
      <c r="T258" s="57"/>
      <c r="U258" s="57"/>
      <c r="V258" s="57"/>
      <c r="W258" s="57"/>
      <c r="X258" s="57"/>
      <c r="Y258" s="57"/>
      <c r="Z258" s="17"/>
    </row>
    <row r="259" ht="34.5" customHeight="1">
      <c r="A259" s="54" t="s">
        <v>284</v>
      </c>
      <c r="B259" s="5" t="s">
        <v>285</v>
      </c>
      <c r="C259" s="5" t="s">
        <v>299</v>
      </c>
      <c r="D259" s="5" t="s">
        <v>305</v>
      </c>
      <c r="E259" s="5">
        <v>16.0</v>
      </c>
      <c r="F259" s="58">
        <v>25.25</v>
      </c>
      <c r="G259" s="5">
        <v>1.0</v>
      </c>
      <c r="H259" s="58">
        <v>100.0</v>
      </c>
      <c r="I259" s="58">
        <v>100.0</v>
      </c>
      <c r="J259" s="7">
        <f t="shared" si="1"/>
        <v>13.156</v>
      </c>
      <c r="K259" s="7">
        <f t="shared" si="2"/>
        <v>11.96</v>
      </c>
      <c r="L259" s="8">
        <f t="shared" si="3"/>
        <v>0.1211473364</v>
      </c>
      <c r="M259" s="8">
        <f t="shared" si="4"/>
        <v>0.03634420091</v>
      </c>
      <c r="N259" s="8">
        <f t="shared" si="5"/>
        <v>0.007268840183</v>
      </c>
      <c r="O259" s="8">
        <f t="shared" si="6"/>
        <v>0.02392</v>
      </c>
      <c r="P259" s="8">
        <f t="shared" si="7"/>
        <v>0.03588</v>
      </c>
      <c r="Q259" s="8">
        <f t="shared" si="8"/>
        <v>0.01196</v>
      </c>
      <c r="R259" s="57"/>
      <c r="S259" s="57"/>
      <c r="T259" s="57"/>
      <c r="U259" s="57"/>
      <c r="V259" s="57"/>
      <c r="W259" s="57"/>
      <c r="X259" s="57"/>
      <c r="Y259" s="57"/>
      <c r="Z259" s="17"/>
    </row>
    <row r="260" ht="34.5" customHeight="1">
      <c r="A260" s="54" t="s">
        <v>284</v>
      </c>
      <c r="B260" s="5" t="s">
        <v>285</v>
      </c>
      <c r="C260" s="5" t="s">
        <v>299</v>
      </c>
      <c r="D260" s="5" t="s">
        <v>306</v>
      </c>
      <c r="E260" s="5">
        <v>59.0</v>
      </c>
      <c r="F260" s="58">
        <v>17.21</v>
      </c>
      <c r="G260" s="5">
        <v>2.0</v>
      </c>
      <c r="H260" s="58">
        <v>100.0</v>
      </c>
      <c r="I260" s="58">
        <v>100.0</v>
      </c>
      <c r="J260" s="7">
        <f t="shared" si="1"/>
        <v>53.73071</v>
      </c>
      <c r="K260" s="7">
        <f t="shared" si="2"/>
        <v>48.8461</v>
      </c>
      <c r="L260" s="8">
        <f t="shared" si="3"/>
        <v>0.4947805107</v>
      </c>
      <c r="M260" s="8">
        <f t="shared" si="4"/>
        <v>0.1484341532</v>
      </c>
      <c r="N260" s="8">
        <f t="shared" si="5"/>
        <v>0.02968683064</v>
      </c>
      <c r="O260" s="8">
        <f t="shared" si="6"/>
        <v>0.0976922</v>
      </c>
      <c r="P260" s="8">
        <f t="shared" si="7"/>
        <v>0.1465383</v>
      </c>
      <c r="Q260" s="8">
        <f t="shared" si="8"/>
        <v>0.0488461</v>
      </c>
      <c r="R260" s="57"/>
      <c r="S260" s="57"/>
      <c r="T260" s="57"/>
      <c r="U260" s="57"/>
      <c r="V260" s="57"/>
      <c r="W260" s="57"/>
      <c r="X260" s="57"/>
      <c r="Y260" s="57"/>
      <c r="Z260" s="17"/>
    </row>
    <row r="261" ht="34.5" customHeight="1">
      <c r="A261" s="54" t="s">
        <v>284</v>
      </c>
      <c r="B261" s="5" t="s">
        <v>285</v>
      </c>
      <c r="C261" s="5" t="s">
        <v>299</v>
      </c>
      <c r="D261" s="5" t="s">
        <v>307</v>
      </c>
      <c r="E261" s="5">
        <v>272.0</v>
      </c>
      <c r="F261" s="58">
        <v>16.22</v>
      </c>
      <c r="G261" s="5">
        <v>9.0</v>
      </c>
      <c r="H261" s="58">
        <v>91.27</v>
      </c>
      <c r="I261" s="58">
        <v>100.0</v>
      </c>
      <c r="J261" s="7">
        <f t="shared" si="1"/>
        <v>250.66976</v>
      </c>
      <c r="K261" s="7">
        <f t="shared" si="2"/>
        <v>227.8816</v>
      </c>
      <c r="L261" s="8">
        <f t="shared" si="3"/>
        <v>2.308298399</v>
      </c>
      <c r="M261" s="8">
        <f t="shared" si="4"/>
        <v>0.6924895196</v>
      </c>
      <c r="N261" s="8">
        <f t="shared" si="5"/>
        <v>0.1384979039</v>
      </c>
      <c r="O261" s="8">
        <f t="shared" si="6"/>
        <v>0.4557632</v>
      </c>
      <c r="P261" s="8">
        <f t="shared" si="7"/>
        <v>0.6836448</v>
      </c>
      <c r="Q261" s="8">
        <f t="shared" si="8"/>
        <v>0.2278816</v>
      </c>
      <c r="R261" s="57"/>
      <c r="S261" s="57"/>
      <c r="T261" s="57"/>
      <c r="U261" s="57"/>
      <c r="V261" s="57"/>
      <c r="W261" s="57"/>
      <c r="X261" s="57"/>
      <c r="Y261" s="57"/>
      <c r="Z261" s="17"/>
    </row>
    <row r="262" ht="34.5" customHeight="1">
      <c r="A262" s="54" t="s">
        <v>284</v>
      </c>
      <c r="B262" s="5" t="s">
        <v>285</v>
      </c>
      <c r="C262" s="5" t="s">
        <v>299</v>
      </c>
      <c r="D262" s="5" t="s">
        <v>308</v>
      </c>
      <c r="E262" s="5">
        <v>88.0</v>
      </c>
      <c r="F262" s="58">
        <v>13.88</v>
      </c>
      <c r="G262" s="5">
        <v>2.0</v>
      </c>
      <c r="H262" s="58">
        <v>100.0</v>
      </c>
      <c r="I262" s="58">
        <v>100.0</v>
      </c>
      <c r="J262" s="7">
        <f t="shared" si="1"/>
        <v>83.36416</v>
      </c>
      <c r="K262" s="7">
        <f t="shared" si="2"/>
        <v>75.7856</v>
      </c>
      <c r="L262" s="8">
        <f t="shared" si="3"/>
        <v>0.7676608341</v>
      </c>
      <c r="M262" s="8">
        <f t="shared" si="4"/>
        <v>0.2302982502</v>
      </c>
      <c r="N262" s="8">
        <f t="shared" si="5"/>
        <v>0.04605965005</v>
      </c>
      <c r="O262" s="8">
        <f t="shared" si="6"/>
        <v>0.1515712</v>
      </c>
      <c r="P262" s="8">
        <f t="shared" si="7"/>
        <v>0.2273568</v>
      </c>
      <c r="Q262" s="8">
        <f t="shared" si="8"/>
        <v>0.0757856</v>
      </c>
      <c r="R262" s="57"/>
      <c r="S262" s="57"/>
      <c r="T262" s="57"/>
      <c r="U262" s="57"/>
      <c r="V262" s="57"/>
      <c r="W262" s="57"/>
      <c r="X262" s="57"/>
      <c r="Y262" s="57"/>
      <c r="Z262" s="17"/>
    </row>
    <row r="263" ht="34.5" customHeight="1">
      <c r="A263" s="54" t="s">
        <v>284</v>
      </c>
      <c r="B263" s="5" t="s">
        <v>285</v>
      </c>
      <c r="C263" s="5" t="s">
        <v>299</v>
      </c>
      <c r="D263" s="5" t="s">
        <v>309</v>
      </c>
      <c r="E263" s="5">
        <v>241.0</v>
      </c>
      <c r="F263" s="58">
        <v>25.35</v>
      </c>
      <c r="G263" s="5">
        <v>9.0</v>
      </c>
      <c r="H263" s="58">
        <v>100.0</v>
      </c>
      <c r="I263" s="58">
        <v>100.0</v>
      </c>
      <c r="J263" s="7">
        <f t="shared" si="1"/>
        <v>197.89715</v>
      </c>
      <c r="K263" s="7">
        <f t="shared" si="2"/>
        <v>179.9065</v>
      </c>
      <c r="L263" s="8">
        <f t="shared" si="3"/>
        <v>1.822340575</v>
      </c>
      <c r="M263" s="8">
        <f t="shared" si="4"/>
        <v>0.5467021724</v>
      </c>
      <c r="N263" s="8">
        <f t="shared" si="5"/>
        <v>0.1093404345</v>
      </c>
      <c r="O263" s="8">
        <f t="shared" si="6"/>
        <v>0.359813</v>
      </c>
      <c r="P263" s="8">
        <f t="shared" si="7"/>
        <v>0.5397195</v>
      </c>
      <c r="Q263" s="8">
        <f t="shared" si="8"/>
        <v>0.1799065</v>
      </c>
      <c r="R263" s="57"/>
      <c r="S263" s="57"/>
      <c r="T263" s="57"/>
      <c r="U263" s="57"/>
      <c r="V263" s="57"/>
      <c r="W263" s="57"/>
      <c r="X263" s="57"/>
      <c r="Y263" s="57"/>
      <c r="Z263" s="17"/>
    </row>
    <row r="264" ht="34.5" customHeight="1">
      <c r="A264" s="54" t="s">
        <v>284</v>
      </c>
      <c r="B264" s="5" t="s">
        <v>285</v>
      </c>
      <c r="C264" s="5" t="s">
        <v>299</v>
      </c>
      <c r="D264" s="5" t="s">
        <v>310</v>
      </c>
      <c r="E264" s="5">
        <v>91.0</v>
      </c>
      <c r="F264" s="58">
        <v>22.76</v>
      </c>
      <c r="G264" s="5">
        <v>6.0</v>
      </c>
      <c r="H264" s="58">
        <v>100.0</v>
      </c>
      <c r="I264" s="58">
        <v>100.0</v>
      </c>
      <c r="J264" s="7">
        <f t="shared" si="1"/>
        <v>77.31724</v>
      </c>
      <c r="K264" s="7">
        <f t="shared" si="2"/>
        <v>70.2884</v>
      </c>
      <c r="L264" s="8">
        <f t="shared" si="3"/>
        <v>0.7119776286</v>
      </c>
      <c r="M264" s="8">
        <f t="shared" si="4"/>
        <v>0.2135932886</v>
      </c>
      <c r="N264" s="8">
        <f t="shared" si="5"/>
        <v>0.04271865772</v>
      </c>
      <c r="O264" s="8">
        <f t="shared" si="6"/>
        <v>0.1405768</v>
      </c>
      <c r="P264" s="8">
        <f t="shared" si="7"/>
        <v>0.2108652</v>
      </c>
      <c r="Q264" s="8">
        <f t="shared" si="8"/>
        <v>0.0702884</v>
      </c>
      <c r="R264" s="57"/>
      <c r="S264" s="57"/>
      <c r="T264" s="57"/>
      <c r="U264" s="57"/>
      <c r="V264" s="57"/>
      <c r="W264" s="57"/>
      <c r="X264" s="57"/>
      <c r="Y264" s="57"/>
      <c r="Z264" s="17"/>
    </row>
    <row r="265" ht="34.5" customHeight="1">
      <c r="A265" s="54" t="s">
        <v>284</v>
      </c>
      <c r="B265" s="5" t="s">
        <v>285</v>
      </c>
      <c r="C265" s="5" t="s">
        <v>299</v>
      </c>
      <c r="D265" s="5" t="s">
        <v>285</v>
      </c>
      <c r="E265" s="5">
        <v>2428.0</v>
      </c>
      <c r="F265" s="58">
        <v>40.87</v>
      </c>
      <c r="G265" s="5">
        <v>31.0</v>
      </c>
      <c r="H265" s="58">
        <v>33.18</v>
      </c>
      <c r="I265" s="58">
        <v>41.97</v>
      </c>
      <c r="J265" s="7">
        <f t="shared" si="1"/>
        <v>1579.24404</v>
      </c>
      <c r="K265" s="7">
        <f t="shared" si="2"/>
        <v>1435.6764</v>
      </c>
      <c r="L265" s="8">
        <f t="shared" si="3"/>
        <v>14.542506</v>
      </c>
      <c r="M265" s="8">
        <f t="shared" si="4"/>
        <v>4.3627518</v>
      </c>
      <c r="N265" s="8">
        <f t="shared" si="5"/>
        <v>0.87255036</v>
      </c>
      <c r="O265" s="8">
        <f t="shared" si="6"/>
        <v>2.8713528</v>
      </c>
      <c r="P265" s="8">
        <f t="shared" si="7"/>
        <v>4.3070292</v>
      </c>
      <c r="Q265" s="8">
        <f t="shared" si="8"/>
        <v>1.4356764</v>
      </c>
      <c r="R265" s="57"/>
      <c r="S265" s="57"/>
      <c r="T265" s="57"/>
      <c r="U265" s="57"/>
      <c r="V265" s="57"/>
      <c r="W265" s="57"/>
      <c r="X265" s="57"/>
      <c r="Y265" s="57"/>
      <c r="Z265" s="17"/>
    </row>
    <row r="266" ht="34.5" customHeight="1">
      <c r="A266" s="54" t="s">
        <v>284</v>
      </c>
      <c r="B266" s="5" t="s">
        <v>285</v>
      </c>
      <c r="C266" s="5" t="s">
        <v>299</v>
      </c>
      <c r="D266" s="5" t="s">
        <v>311</v>
      </c>
      <c r="E266" s="5">
        <v>230.0</v>
      </c>
      <c r="F266" s="58">
        <v>27.2</v>
      </c>
      <c r="G266" s="5">
        <v>9.0</v>
      </c>
      <c r="H266" s="58">
        <v>100.0</v>
      </c>
      <c r="I266" s="58">
        <v>100.0</v>
      </c>
      <c r="J266" s="7">
        <f t="shared" si="1"/>
        <v>184.184</v>
      </c>
      <c r="K266" s="7">
        <f t="shared" si="2"/>
        <v>167.44</v>
      </c>
      <c r="L266" s="8">
        <f t="shared" si="3"/>
        <v>1.696062709</v>
      </c>
      <c r="M266" s="8">
        <f t="shared" si="4"/>
        <v>0.5088188128</v>
      </c>
      <c r="N266" s="8">
        <f t="shared" si="5"/>
        <v>0.1017637626</v>
      </c>
      <c r="O266" s="8">
        <f t="shared" si="6"/>
        <v>0.33488</v>
      </c>
      <c r="P266" s="8">
        <f t="shared" si="7"/>
        <v>0.50232</v>
      </c>
      <c r="Q266" s="8">
        <f t="shared" si="8"/>
        <v>0.16744</v>
      </c>
      <c r="R266" s="57"/>
      <c r="S266" s="57"/>
      <c r="T266" s="57"/>
      <c r="U266" s="57"/>
      <c r="V266" s="57"/>
      <c r="W266" s="57"/>
      <c r="X266" s="57"/>
      <c r="Y266" s="57"/>
      <c r="Z266" s="17"/>
    </row>
    <row r="267" ht="34.5" customHeight="1">
      <c r="A267" s="54" t="s">
        <v>284</v>
      </c>
      <c r="B267" s="5" t="s">
        <v>285</v>
      </c>
      <c r="C267" s="5" t="s">
        <v>299</v>
      </c>
      <c r="D267" s="5" t="s">
        <v>312</v>
      </c>
      <c r="E267" s="5">
        <v>11.0</v>
      </c>
      <c r="F267" s="58">
        <v>11.08</v>
      </c>
      <c r="G267" s="5">
        <v>1.0</v>
      </c>
      <c r="H267" s="58">
        <v>100.0</v>
      </c>
      <c r="I267" s="58">
        <v>100.0</v>
      </c>
      <c r="J267" s="7">
        <f t="shared" si="1"/>
        <v>10.75932</v>
      </c>
      <c r="K267" s="7">
        <f t="shared" si="2"/>
        <v>9.7812</v>
      </c>
      <c r="L267" s="8">
        <f t="shared" si="3"/>
        <v>0.09907745205</v>
      </c>
      <c r="M267" s="8">
        <f t="shared" si="4"/>
        <v>0.02972323562</v>
      </c>
      <c r="N267" s="8">
        <f t="shared" si="5"/>
        <v>0.005944647123</v>
      </c>
      <c r="O267" s="8">
        <f t="shared" si="6"/>
        <v>0.0195624</v>
      </c>
      <c r="P267" s="8">
        <f t="shared" si="7"/>
        <v>0.0293436</v>
      </c>
      <c r="Q267" s="8">
        <f t="shared" si="8"/>
        <v>0.0097812</v>
      </c>
      <c r="R267" s="57"/>
      <c r="S267" s="57"/>
      <c r="T267" s="57"/>
      <c r="U267" s="57"/>
      <c r="V267" s="57"/>
      <c r="W267" s="57"/>
      <c r="X267" s="57"/>
      <c r="Y267" s="57"/>
      <c r="Z267" s="17"/>
    </row>
    <row r="268" ht="34.5" customHeight="1">
      <c r="A268" s="54" t="s">
        <v>284</v>
      </c>
      <c r="B268" s="5" t="s">
        <v>285</v>
      </c>
      <c r="C268" s="5" t="s">
        <v>299</v>
      </c>
      <c r="D268" s="5" t="s">
        <v>313</v>
      </c>
      <c r="E268" s="5">
        <v>45.0</v>
      </c>
      <c r="F268" s="58">
        <v>53.05</v>
      </c>
      <c r="G268" s="5">
        <v>1.0</v>
      </c>
      <c r="H268" s="58">
        <v>100.0</v>
      </c>
      <c r="I268" s="58">
        <v>100.0</v>
      </c>
      <c r="J268" s="7">
        <f t="shared" si="1"/>
        <v>23.24025</v>
      </c>
      <c r="K268" s="7">
        <f t="shared" si="2"/>
        <v>21.1275</v>
      </c>
      <c r="L268" s="8">
        <f t="shared" si="3"/>
        <v>0.2140083904</v>
      </c>
      <c r="M268" s="8">
        <f t="shared" si="4"/>
        <v>0.06420251712</v>
      </c>
      <c r="N268" s="8">
        <f t="shared" si="5"/>
        <v>0.01284050342</v>
      </c>
      <c r="O268" s="8">
        <f t="shared" si="6"/>
        <v>0.042255</v>
      </c>
      <c r="P268" s="8">
        <f t="shared" si="7"/>
        <v>0.0633825</v>
      </c>
      <c r="Q268" s="8">
        <f t="shared" si="8"/>
        <v>0.0211275</v>
      </c>
      <c r="R268" s="57"/>
      <c r="S268" s="57"/>
      <c r="T268" s="57"/>
      <c r="U268" s="57"/>
      <c r="V268" s="57"/>
      <c r="W268" s="57"/>
      <c r="X268" s="57"/>
      <c r="Y268" s="57"/>
      <c r="Z268" s="17"/>
    </row>
    <row r="269" ht="34.5" customHeight="1">
      <c r="A269" s="54" t="s">
        <v>284</v>
      </c>
      <c r="B269" s="5" t="s">
        <v>285</v>
      </c>
      <c r="C269" s="5" t="s">
        <v>299</v>
      </c>
      <c r="D269" s="5" t="s">
        <v>314</v>
      </c>
      <c r="E269" s="5">
        <v>184.0</v>
      </c>
      <c r="F269" s="58">
        <v>23.36</v>
      </c>
      <c r="G269" s="5">
        <v>5.0</v>
      </c>
      <c r="H269" s="58">
        <v>66.1</v>
      </c>
      <c r="I269" s="58">
        <v>80.47</v>
      </c>
      <c r="J269" s="7">
        <f t="shared" si="1"/>
        <v>155.11936</v>
      </c>
      <c r="K269" s="7">
        <f t="shared" si="2"/>
        <v>141.0176</v>
      </c>
      <c r="L269" s="8">
        <f t="shared" si="3"/>
        <v>1.428420286</v>
      </c>
      <c r="M269" s="8">
        <f t="shared" si="4"/>
        <v>0.4285260858</v>
      </c>
      <c r="N269" s="8">
        <f t="shared" si="5"/>
        <v>0.08570521717</v>
      </c>
      <c r="O269" s="8">
        <f t="shared" si="6"/>
        <v>0.2820352</v>
      </c>
      <c r="P269" s="8">
        <f t="shared" si="7"/>
        <v>0.4230528</v>
      </c>
      <c r="Q269" s="8">
        <f t="shared" si="8"/>
        <v>0.1410176</v>
      </c>
      <c r="R269" s="57"/>
      <c r="S269" s="57"/>
      <c r="T269" s="57"/>
      <c r="U269" s="57"/>
      <c r="V269" s="57"/>
      <c r="W269" s="57"/>
      <c r="X269" s="57"/>
      <c r="Y269" s="57"/>
      <c r="Z269" s="17"/>
    </row>
    <row r="270" ht="34.5" customHeight="1">
      <c r="A270" s="54" t="s">
        <v>284</v>
      </c>
      <c r="B270" s="5" t="s">
        <v>285</v>
      </c>
      <c r="C270" s="5" t="s">
        <v>299</v>
      </c>
      <c r="D270" s="5" t="s">
        <v>315</v>
      </c>
      <c r="E270" s="5">
        <v>31.0</v>
      </c>
      <c r="F270" s="58">
        <v>17.41</v>
      </c>
      <c r="G270" s="5">
        <v>1.0</v>
      </c>
      <c r="H270" s="58">
        <v>100.0</v>
      </c>
      <c r="I270" s="58">
        <v>100.0</v>
      </c>
      <c r="J270" s="7">
        <f t="shared" si="1"/>
        <v>28.16319</v>
      </c>
      <c r="K270" s="7">
        <f t="shared" si="2"/>
        <v>25.6029</v>
      </c>
      <c r="L270" s="8">
        <f t="shared" si="3"/>
        <v>0.2593413995</v>
      </c>
      <c r="M270" s="8">
        <f t="shared" si="4"/>
        <v>0.07780241986</v>
      </c>
      <c r="N270" s="8">
        <f t="shared" si="5"/>
        <v>0.01556048397</v>
      </c>
      <c r="O270" s="8">
        <f t="shared" si="6"/>
        <v>0.0512058</v>
      </c>
      <c r="P270" s="8">
        <f t="shared" si="7"/>
        <v>0.0768087</v>
      </c>
      <c r="Q270" s="8">
        <f t="shared" si="8"/>
        <v>0.0256029</v>
      </c>
      <c r="R270" s="57"/>
      <c r="S270" s="57"/>
      <c r="T270" s="57"/>
      <c r="U270" s="57"/>
      <c r="V270" s="57"/>
      <c r="W270" s="57"/>
      <c r="X270" s="57"/>
      <c r="Y270" s="57"/>
      <c r="Z270" s="17"/>
    </row>
    <row r="271" ht="34.5" customHeight="1">
      <c r="A271" s="54" t="s">
        <v>284</v>
      </c>
      <c r="B271" s="5" t="s">
        <v>285</v>
      </c>
      <c r="C271" s="5" t="s">
        <v>299</v>
      </c>
      <c r="D271" s="5" t="s">
        <v>316</v>
      </c>
      <c r="E271" s="5">
        <v>89.0</v>
      </c>
      <c r="F271" s="58">
        <v>15.59</v>
      </c>
      <c r="G271" s="5">
        <v>4.0</v>
      </c>
      <c r="H271" s="58">
        <v>100.0</v>
      </c>
      <c r="I271" s="58">
        <v>100.0</v>
      </c>
      <c r="J271" s="7">
        <f t="shared" si="1"/>
        <v>82.63739</v>
      </c>
      <c r="K271" s="7">
        <f t="shared" si="2"/>
        <v>75.1249</v>
      </c>
      <c r="L271" s="8">
        <f t="shared" si="3"/>
        <v>0.7609683554</v>
      </c>
      <c r="M271" s="8">
        <f t="shared" si="4"/>
        <v>0.2282905066</v>
      </c>
      <c r="N271" s="8">
        <f t="shared" si="5"/>
        <v>0.04565810132</v>
      </c>
      <c r="O271" s="8">
        <f t="shared" si="6"/>
        <v>0.1502498</v>
      </c>
      <c r="P271" s="8">
        <f t="shared" si="7"/>
        <v>0.2253747</v>
      </c>
      <c r="Q271" s="8">
        <f t="shared" si="8"/>
        <v>0.0751249</v>
      </c>
      <c r="R271" s="57"/>
      <c r="S271" s="57"/>
      <c r="T271" s="57"/>
      <c r="U271" s="57"/>
      <c r="V271" s="57"/>
      <c r="W271" s="57"/>
      <c r="X271" s="57"/>
      <c r="Y271" s="57"/>
      <c r="Z271" s="17"/>
    </row>
    <row r="272" ht="34.5" customHeight="1">
      <c r="A272" s="54" t="s">
        <v>284</v>
      </c>
      <c r="B272" s="5" t="s">
        <v>285</v>
      </c>
      <c r="C272" s="5" t="s">
        <v>299</v>
      </c>
      <c r="D272" s="5" t="s">
        <v>317</v>
      </c>
      <c r="E272" s="5">
        <v>83.0</v>
      </c>
      <c r="F272" s="58">
        <v>14.27</v>
      </c>
      <c r="G272" s="5">
        <v>3.0</v>
      </c>
      <c r="H272" s="58">
        <v>100.0</v>
      </c>
      <c r="I272" s="58">
        <v>100.0</v>
      </c>
      <c r="J272" s="7">
        <f t="shared" si="1"/>
        <v>78.27149</v>
      </c>
      <c r="K272" s="7">
        <f t="shared" si="2"/>
        <v>71.1559</v>
      </c>
      <c r="L272" s="8">
        <f t="shared" si="3"/>
        <v>0.7207648623</v>
      </c>
      <c r="M272" s="8">
        <f t="shared" si="4"/>
        <v>0.2162294587</v>
      </c>
      <c r="N272" s="8">
        <f t="shared" si="5"/>
        <v>0.04324589174</v>
      </c>
      <c r="O272" s="8">
        <f t="shared" si="6"/>
        <v>0.1423118</v>
      </c>
      <c r="P272" s="8">
        <f t="shared" si="7"/>
        <v>0.2134677</v>
      </c>
      <c r="Q272" s="8">
        <f t="shared" si="8"/>
        <v>0.0711559</v>
      </c>
      <c r="R272" s="57"/>
      <c r="S272" s="57"/>
      <c r="T272" s="57"/>
      <c r="U272" s="57"/>
      <c r="V272" s="57"/>
      <c r="W272" s="57"/>
      <c r="X272" s="57"/>
      <c r="Y272" s="57"/>
      <c r="Z272" s="17"/>
    </row>
    <row r="273" ht="34.5" customHeight="1">
      <c r="A273" s="54" t="s">
        <v>284</v>
      </c>
      <c r="B273" s="5" t="s">
        <v>285</v>
      </c>
      <c r="C273" s="5" t="s">
        <v>318</v>
      </c>
      <c r="D273" s="5" t="s">
        <v>319</v>
      </c>
      <c r="E273" s="5">
        <v>92.0</v>
      </c>
      <c r="F273" s="58">
        <v>15.58</v>
      </c>
      <c r="G273" s="5">
        <v>3.0</v>
      </c>
      <c r="H273" s="6">
        <v>84.17</v>
      </c>
      <c r="I273" s="6">
        <v>84.17</v>
      </c>
      <c r="J273" s="7">
        <f t="shared" si="1"/>
        <v>85.43304</v>
      </c>
      <c r="K273" s="7">
        <f t="shared" si="2"/>
        <v>77.6664</v>
      </c>
      <c r="L273" s="8">
        <f t="shared" si="3"/>
        <v>0.7867121644</v>
      </c>
      <c r="M273" s="8">
        <f t="shared" si="4"/>
        <v>0.2360136493</v>
      </c>
      <c r="N273" s="8">
        <f t="shared" si="5"/>
        <v>0.04720272986</v>
      </c>
      <c r="O273" s="8">
        <f t="shared" si="6"/>
        <v>0.1553328</v>
      </c>
      <c r="P273" s="8">
        <f t="shared" si="7"/>
        <v>0.2329992</v>
      </c>
      <c r="Q273" s="8">
        <f t="shared" si="8"/>
        <v>0.0776664</v>
      </c>
      <c r="R273" s="57"/>
      <c r="S273" s="57"/>
      <c r="T273" s="57"/>
      <c r="U273" s="57"/>
      <c r="V273" s="57"/>
      <c r="W273" s="57"/>
      <c r="X273" s="57"/>
      <c r="Y273" s="57"/>
      <c r="Z273" s="17"/>
    </row>
    <row r="274" ht="34.5" customHeight="1">
      <c r="A274" s="54" t="s">
        <v>284</v>
      </c>
      <c r="B274" s="5" t="s">
        <v>285</v>
      </c>
      <c r="C274" s="5" t="s">
        <v>318</v>
      </c>
      <c r="D274" s="5" t="s">
        <v>320</v>
      </c>
      <c r="E274" s="5">
        <v>41.0</v>
      </c>
      <c r="F274" s="58">
        <v>27.4</v>
      </c>
      <c r="G274" s="5">
        <v>2.0</v>
      </c>
      <c r="H274" s="6">
        <v>100.0</v>
      </c>
      <c r="I274" s="6">
        <v>100.0</v>
      </c>
      <c r="J274" s="7">
        <f t="shared" si="1"/>
        <v>32.7426</v>
      </c>
      <c r="K274" s="7">
        <f t="shared" si="2"/>
        <v>29.766</v>
      </c>
      <c r="L274" s="8">
        <f t="shared" si="3"/>
        <v>0.3015110046</v>
      </c>
      <c r="M274" s="8">
        <f t="shared" si="4"/>
        <v>0.09045330137</v>
      </c>
      <c r="N274" s="8">
        <f t="shared" si="5"/>
        <v>0.01809066027</v>
      </c>
      <c r="O274" s="8">
        <f t="shared" si="6"/>
        <v>0.059532</v>
      </c>
      <c r="P274" s="8">
        <f t="shared" si="7"/>
        <v>0.089298</v>
      </c>
      <c r="Q274" s="8">
        <f t="shared" si="8"/>
        <v>0.029766</v>
      </c>
      <c r="R274" s="57"/>
      <c r="S274" s="57"/>
      <c r="T274" s="57"/>
      <c r="U274" s="57"/>
      <c r="V274" s="57"/>
      <c r="W274" s="57"/>
      <c r="X274" s="57"/>
      <c r="Y274" s="57"/>
      <c r="Z274" s="17"/>
    </row>
    <row r="275" ht="34.5" customHeight="1">
      <c r="A275" s="54" t="s">
        <v>284</v>
      </c>
      <c r="B275" s="5" t="s">
        <v>285</v>
      </c>
      <c r="C275" s="5" t="s">
        <v>318</v>
      </c>
      <c r="D275" s="5" t="s">
        <v>321</v>
      </c>
      <c r="E275" s="5">
        <v>29.0</v>
      </c>
      <c r="F275" s="58">
        <v>12.02</v>
      </c>
      <c r="G275" s="5">
        <v>1.0</v>
      </c>
      <c r="H275" s="6">
        <v>100.0</v>
      </c>
      <c r="I275" s="6">
        <v>100.0</v>
      </c>
      <c r="J275" s="7">
        <f t="shared" si="1"/>
        <v>28.06562</v>
      </c>
      <c r="K275" s="7">
        <f t="shared" si="2"/>
        <v>25.5142</v>
      </c>
      <c r="L275" s="8">
        <f t="shared" si="3"/>
        <v>0.2584429239</v>
      </c>
      <c r="M275" s="8">
        <f t="shared" si="4"/>
        <v>0.07753287717</v>
      </c>
      <c r="N275" s="8">
        <f t="shared" si="5"/>
        <v>0.01550657543</v>
      </c>
      <c r="O275" s="8">
        <f t="shared" si="6"/>
        <v>0.0510284</v>
      </c>
      <c r="P275" s="8">
        <f t="shared" si="7"/>
        <v>0.0765426</v>
      </c>
      <c r="Q275" s="8">
        <f t="shared" si="8"/>
        <v>0.0255142</v>
      </c>
      <c r="R275" s="57"/>
      <c r="S275" s="57"/>
      <c r="T275" s="57"/>
      <c r="U275" s="57"/>
      <c r="V275" s="57"/>
      <c r="W275" s="57"/>
      <c r="X275" s="57"/>
      <c r="Y275" s="57"/>
      <c r="Z275" s="17"/>
    </row>
    <row r="276" ht="34.5" customHeight="1">
      <c r="A276" s="54" t="s">
        <v>284</v>
      </c>
      <c r="B276" s="5" t="s">
        <v>285</v>
      </c>
      <c r="C276" s="5" t="s">
        <v>318</v>
      </c>
      <c r="D276" s="5" t="s">
        <v>322</v>
      </c>
      <c r="E276" s="5">
        <v>125.0</v>
      </c>
      <c r="F276" s="58">
        <v>33.63</v>
      </c>
      <c r="G276" s="5">
        <v>4.0</v>
      </c>
      <c r="H276" s="6">
        <v>97.81</v>
      </c>
      <c r="I276" s="6">
        <v>100.0</v>
      </c>
      <c r="J276" s="7">
        <f t="shared" si="1"/>
        <v>91.25875</v>
      </c>
      <c r="K276" s="7">
        <f t="shared" si="2"/>
        <v>82.9625</v>
      </c>
      <c r="L276" s="8">
        <f t="shared" si="3"/>
        <v>0.8403583524</v>
      </c>
      <c r="M276" s="8">
        <f t="shared" si="4"/>
        <v>0.2521075057</v>
      </c>
      <c r="N276" s="8">
        <f t="shared" si="5"/>
        <v>0.05042150114</v>
      </c>
      <c r="O276" s="8">
        <f t="shared" si="6"/>
        <v>0.165925</v>
      </c>
      <c r="P276" s="8">
        <f t="shared" si="7"/>
        <v>0.2488875</v>
      </c>
      <c r="Q276" s="8">
        <f t="shared" si="8"/>
        <v>0.0829625</v>
      </c>
      <c r="R276" s="57"/>
      <c r="S276" s="57"/>
      <c r="T276" s="57"/>
      <c r="U276" s="57"/>
      <c r="V276" s="57"/>
      <c r="W276" s="57"/>
      <c r="X276" s="57"/>
      <c r="Y276" s="57"/>
      <c r="Z276" s="17"/>
    </row>
    <row r="277" ht="34.5" customHeight="1">
      <c r="A277" s="54" t="s">
        <v>284</v>
      </c>
      <c r="B277" s="5" t="s">
        <v>285</v>
      </c>
      <c r="C277" s="5" t="s">
        <v>318</v>
      </c>
      <c r="D277" s="5" t="s">
        <v>323</v>
      </c>
      <c r="E277" s="5">
        <v>342.0</v>
      </c>
      <c r="F277" s="58">
        <v>20.84</v>
      </c>
      <c r="G277" s="5">
        <v>11.0</v>
      </c>
      <c r="H277" s="6">
        <v>92.91</v>
      </c>
      <c r="I277" s="6">
        <v>99.78</v>
      </c>
      <c r="J277" s="7">
        <f t="shared" si="1"/>
        <v>297.79992</v>
      </c>
      <c r="K277" s="7">
        <f t="shared" si="2"/>
        <v>270.7272</v>
      </c>
      <c r="L277" s="8">
        <f t="shared" si="3"/>
        <v>2.742297589</v>
      </c>
      <c r="M277" s="8">
        <f t="shared" si="4"/>
        <v>0.8226892767</v>
      </c>
      <c r="N277" s="8">
        <f t="shared" si="5"/>
        <v>0.1645378553</v>
      </c>
      <c r="O277" s="8">
        <f t="shared" si="6"/>
        <v>0.5414544</v>
      </c>
      <c r="P277" s="8">
        <f t="shared" si="7"/>
        <v>0.8121816</v>
      </c>
      <c r="Q277" s="8">
        <f t="shared" si="8"/>
        <v>0.2707272</v>
      </c>
      <c r="R277" s="57"/>
      <c r="S277" s="57"/>
      <c r="T277" s="57"/>
      <c r="U277" s="57"/>
      <c r="V277" s="57"/>
      <c r="W277" s="57"/>
      <c r="X277" s="57"/>
      <c r="Y277" s="57"/>
      <c r="Z277" s="17"/>
    </row>
    <row r="278" ht="34.5" customHeight="1">
      <c r="A278" s="54" t="s">
        <v>284</v>
      </c>
      <c r="B278" s="5" t="s">
        <v>285</v>
      </c>
      <c r="C278" s="5" t="s">
        <v>324</v>
      </c>
      <c r="D278" s="5" t="s">
        <v>325</v>
      </c>
      <c r="E278" s="5">
        <v>32.0</v>
      </c>
      <c r="F278" s="58">
        <v>6.83</v>
      </c>
      <c r="G278" s="5">
        <v>2.0</v>
      </c>
      <c r="H278" s="58">
        <v>100.0</v>
      </c>
      <c r="I278" s="58">
        <v>100.0</v>
      </c>
      <c r="J278" s="7">
        <f t="shared" si="1"/>
        <v>32.79584</v>
      </c>
      <c r="K278" s="7">
        <f t="shared" si="2"/>
        <v>29.8144</v>
      </c>
      <c r="L278" s="8">
        <f t="shared" si="3"/>
        <v>0.3020012664</v>
      </c>
      <c r="M278" s="8">
        <f t="shared" si="4"/>
        <v>0.09060037991</v>
      </c>
      <c r="N278" s="8">
        <f t="shared" si="5"/>
        <v>0.01812007598</v>
      </c>
      <c r="O278" s="8">
        <f t="shared" si="6"/>
        <v>0.0596288</v>
      </c>
      <c r="P278" s="8">
        <f t="shared" si="7"/>
        <v>0.0894432</v>
      </c>
      <c r="Q278" s="8">
        <f t="shared" si="8"/>
        <v>0.0298144</v>
      </c>
      <c r="R278" s="57"/>
      <c r="S278" s="57"/>
      <c r="T278" s="57"/>
      <c r="U278" s="57"/>
      <c r="V278" s="57"/>
      <c r="W278" s="57"/>
      <c r="X278" s="57"/>
      <c r="Y278" s="57"/>
      <c r="Z278" s="17"/>
    </row>
    <row r="279" ht="34.5" customHeight="1">
      <c r="A279" s="54" t="s">
        <v>284</v>
      </c>
      <c r="B279" s="5" t="s">
        <v>285</v>
      </c>
      <c r="C279" s="5" t="s">
        <v>324</v>
      </c>
      <c r="D279" s="5" t="s">
        <v>326</v>
      </c>
      <c r="E279" s="5">
        <v>36.0</v>
      </c>
      <c r="F279" s="58">
        <v>5.72</v>
      </c>
      <c r="G279" s="5">
        <v>3.0</v>
      </c>
      <c r="H279" s="58">
        <v>100.0</v>
      </c>
      <c r="I279" s="58">
        <v>100.0</v>
      </c>
      <c r="J279" s="7">
        <f t="shared" si="1"/>
        <v>37.33488</v>
      </c>
      <c r="K279" s="7">
        <f t="shared" si="2"/>
        <v>33.9408</v>
      </c>
      <c r="L279" s="8">
        <f t="shared" si="3"/>
        <v>0.3437991233</v>
      </c>
      <c r="M279" s="8">
        <f t="shared" si="4"/>
        <v>0.103139737</v>
      </c>
      <c r="N279" s="8">
        <f t="shared" si="5"/>
        <v>0.0206279474</v>
      </c>
      <c r="O279" s="8">
        <f t="shared" si="6"/>
        <v>0.0678816</v>
      </c>
      <c r="P279" s="8">
        <f t="shared" si="7"/>
        <v>0.1018224</v>
      </c>
      <c r="Q279" s="8">
        <f t="shared" si="8"/>
        <v>0.0339408</v>
      </c>
      <c r="R279" s="57"/>
      <c r="S279" s="57"/>
      <c r="T279" s="57"/>
      <c r="U279" s="57"/>
      <c r="V279" s="57"/>
      <c r="W279" s="57"/>
      <c r="X279" s="57"/>
      <c r="Y279" s="57"/>
      <c r="Z279" s="17"/>
    </row>
    <row r="280" ht="34.5" customHeight="1">
      <c r="A280" s="54" t="s">
        <v>284</v>
      </c>
      <c r="B280" s="5" t="s">
        <v>285</v>
      </c>
      <c r="C280" s="5" t="s">
        <v>324</v>
      </c>
      <c r="D280" s="5" t="s">
        <v>327</v>
      </c>
      <c r="E280" s="5">
        <v>40.0</v>
      </c>
      <c r="F280" s="58">
        <v>14.72</v>
      </c>
      <c r="G280" s="5">
        <v>2.0</v>
      </c>
      <c r="H280" s="58">
        <v>100.0</v>
      </c>
      <c r="I280" s="58">
        <v>100.0</v>
      </c>
      <c r="J280" s="7">
        <f t="shared" si="1"/>
        <v>37.5232</v>
      </c>
      <c r="K280" s="7">
        <f t="shared" si="2"/>
        <v>34.112</v>
      </c>
      <c r="L280" s="8">
        <f t="shared" si="3"/>
        <v>0.3455332725</v>
      </c>
      <c r="M280" s="8">
        <f t="shared" si="4"/>
        <v>0.1036599817</v>
      </c>
      <c r="N280" s="8">
        <f t="shared" si="5"/>
        <v>0.02073199635</v>
      </c>
      <c r="O280" s="8">
        <f t="shared" si="6"/>
        <v>0.068224</v>
      </c>
      <c r="P280" s="8">
        <f t="shared" si="7"/>
        <v>0.102336</v>
      </c>
      <c r="Q280" s="8">
        <f t="shared" si="8"/>
        <v>0.034112</v>
      </c>
      <c r="R280" s="57"/>
      <c r="S280" s="57"/>
      <c r="T280" s="57"/>
      <c r="U280" s="57"/>
      <c r="V280" s="57"/>
      <c r="W280" s="57"/>
      <c r="X280" s="57"/>
      <c r="Y280" s="57"/>
      <c r="Z280" s="17"/>
    </row>
    <row r="281" ht="34.5" customHeight="1">
      <c r="A281" s="54" t="s">
        <v>284</v>
      </c>
      <c r="B281" s="5" t="s">
        <v>285</v>
      </c>
      <c r="C281" s="5" t="s">
        <v>324</v>
      </c>
      <c r="D281" s="5" t="s">
        <v>328</v>
      </c>
      <c r="E281" s="5">
        <v>397.0</v>
      </c>
      <c r="F281" s="58">
        <v>17.38</v>
      </c>
      <c r="G281" s="5">
        <v>13.0</v>
      </c>
      <c r="H281" s="58">
        <v>7.81</v>
      </c>
      <c r="I281" s="58">
        <v>27.29</v>
      </c>
      <c r="J281" s="7">
        <f t="shared" si="1"/>
        <v>360.80154</v>
      </c>
      <c r="K281" s="7">
        <f t="shared" si="2"/>
        <v>328.0014</v>
      </c>
      <c r="L281" s="8">
        <f t="shared" si="3"/>
        <v>3.322449493</v>
      </c>
      <c r="M281" s="8">
        <f t="shared" si="4"/>
        <v>0.9967348479</v>
      </c>
      <c r="N281" s="8">
        <f t="shared" si="5"/>
        <v>0.1993469696</v>
      </c>
      <c r="O281" s="8">
        <f t="shared" si="6"/>
        <v>0.6560028</v>
      </c>
      <c r="P281" s="8">
        <f t="shared" si="7"/>
        <v>0.9840042</v>
      </c>
      <c r="Q281" s="8">
        <f t="shared" si="8"/>
        <v>0.3280014</v>
      </c>
      <c r="R281" s="57"/>
      <c r="S281" s="57"/>
      <c r="T281" s="57"/>
      <c r="U281" s="57"/>
      <c r="V281" s="57"/>
      <c r="W281" s="57"/>
      <c r="X281" s="57"/>
      <c r="Y281" s="57"/>
      <c r="Z281" s="17"/>
    </row>
    <row r="282" ht="34.5" customHeight="1">
      <c r="A282" s="54" t="s">
        <v>284</v>
      </c>
      <c r="B282" s="5" t="s">
        <v>285</v>
      </c>
      <c r="C282" s="5" t="s">
        <v>324</v>
      </c>
      <c r="D282" s="5" t="s">
        <v>329</v>
      </c>
      <c r="E282" s="5">
        <v>297.0</v>
      </c>
      <c r="F282" s="58">
        <v>22.95</v>
      </c>
      <c r="G282" s="5">
        <v>10.0</v>
      </c>
      <c r="H282" s="58">
        <v>69.85</v>
      </c>
      <c r="I282" s="58">
        <v>100.0</v>
      </c>
      <c r="J282" s="7">
        <f t="shared" si="1"/>
        <v>251.72235</v>
      </c>
      <c r="K282" s="7">
        <f t="shared" si="2"/>
        <v>228.8385</v>
      </c>
      <c r="L282" s="8">
        <f t="shared" si="3"/>
        <v>2.317991199</v>
      </c>
      <c r="M282" s="8">
        <f t="shared" si="4"/>
        <v>0.6953973596</v>
      </c>
      <c r="N282" s="8">
        <f t="shared" si="5"/>
        <v>0.1390794719</v>
      </c>
      <c r="O282" s="8">
        <f t="shared" si="6"/>
        <v>0.457677</v>
      </c>
      <c r="P282" s="8">
        <f t="shared" si="7"/>
        <v>0.6865155</v>
      </c>
      <c r="Q282" s="8">
        <f t="shared" si="8"/>
        <v>0.2288385</v>
      </c>
      <c r="R282" s="57"/>
      <c r="S282" s="57"/>
      <c r="T282" s="57"/>
      <c r="U282" s="57"/>
      <c r="V282" s="57"/>
      <c r="W282" s="57"/>
      <c r="X282" s="57"/>
      <c r="Y282" s="57"/>
      <c r="Z282" s="17"/>
    </row>
    <row r="283" ht="34.5" customHeight="1">
      <c r="A283" s="54" t="s">
        <v>284</v>
      </c>
      <c r="B283" s="5" t="s">
        <v>285</v>
      </c>
      <c r="C283" s="5" t="s">
        <v>330</v>
      </c>
      <c r="D283" s="5" t="s">
        <v>331</v>
      </c>
      <c r="E283" s="5">
        <v>86.0</v>
      </c>
      <c r="F283" s="58">
        <v>6.66</v>
      </c>
      <c r="G283" s="5">
        <v>4.0</v>
      </c>
      <c r="H283" s="58">
        <v>100.0</v>
      </c>
      <c r="I283" s="58">
        <v>100.0</v>
      </c>
      <c r="J283" s="7">
        <f t="shared" si="1"/>
        <v>88.29964</v>
      </c>
      <c r="K283" s="7">
        <f t="shared" si="2"/>
        <v>80.2724</v>
      </c>
      <c r="L283" s="8">
        <f t="shared" si="3"/>
        <v>0.8131093181</v>
      </c>
      <c r="M283" s="8">
        <f t="shared" si="4"/>
        <v>0.2439327954</v>
      </c>
      <c r="N283" s="8">
        <f t="shared" si="5"/>
        <v>0.04878655909</v>
      </c>
      <c r="O283" s="8">
        <f t="shared" si="6"/>
        <v>0.1605448</v>
      </c>
      <c r="P283" s="8">
        <f t="shared" si="7"/>
        <v>0.2408172</v>
      </c>
      <c r="Q283" s="8">
        <f t="shared" si="8"/>
        <v>0.0802724</v>
      </c>
      <c r="R283" s="57"/>
      <c r="S283" s="57"/>
      <c r="T283" s="57"/>
      <c r="U283" s="57"/>
      <c r="V283" s="57"/>
      <c r="W283" s="57"/>
      <c r="X283" s="57"/>
      <c r="Y283" s="57"/>
      <c r="Z283" s="17"/>
    </row>
    <row r="284" ht="34.5" customHeight="1">
      <c r="A284" s="54" t="s">
        <v>284</v>
      </c>
      <c r="B284" s="5" t="s">
        <v>285</v>
      </c>
      <c r="C284" s="5" t="s">
        <v>330</v>
      </c>
      <c r="D284" s="5" t="s">
        <v>332</v>
      </c>
      <c r="E284" s="5">
        <v>134.0</v>
      </c>
      <c r="F284" s="58">
        <v>19.97</v>
      </c>
      <c r="G284" s="5">
        <v>8.0</v>
      </c>
      <c r="H284" s="58">
        <v>100.0</v>
      </c>
      <c r="I284" s="58">
        <v>100.0</v>
      </c>
      <c r="J284" s="7">
        <f t="shared" si="1"/>
        <v>117.96422</v>
      </c>
      <c r="K284" s="7">
        <f t="shared" si="2"/>
        <v>107.2402</v>
      </c>
      <c r="L284" s="8">
        <f t="shared" si="3"/>
        <v>1.086276303</v>
      </c>
      <c r="M284" s="8">
        <f t="shared" si="4"/>
        <v>0.3258828909</v>
      </c>
      <c r="N284" s="8">
        <f t="shared" si="5"/>
        <v>0.06517657817</v>
      </c>
      <c r="O284" s="8">
        <f t="shared" si="6"/>
        <v>0.2144804</v>
      </c>
      <c r="P284" s="8">
        <f t="shared" si="7"/>
        <v>0.3217206</v>
      </c>
      <c r="Q284" s="8">
        <f t="shared" si="8"/>
        <v>0.1072402</v>
      </c>
      <c r="R284" s="57"/>
      <c r="S284" s="57"/>
      <c r="T284" s="57"/>
      <c r="U284" s="57"/>
      <c r="V284" s="57"/>
      <c r="W284" s="57"/>
      <c r="X284" s="57"/>
      <c r="Y284" s="57"/>
      <c r="Z284" s="17"/>
    </row>
    <row r="285" ht="34.5" customHeight="1">
      <c r="A285" s="54" t="s">
        <v>284</v>
      </c>
      <c r="B285" s="5" t="s">
        <v>285</v>
      </c>
      <c r="C285" s="5" t="s">
        <v>330</v>
      </c>
      <c r="D285" s="5" t="s">
        <v>333</v>
      </c>
      <c r="E285" s="5">
        <v>149.0</v>
      </c>
      <c r="F285" s="58">
        <v>8.13</v>
      </c>
      <c r="G285" s="5">
        <v>8.0</v>
      </c>
      <c r="H285" s="58">
        <v>100.0</v>
      </c>
      <c r="I285" s="58">
        <v>100.0</v>
      </c>
      <c r="J285" s="7">
        <f t="shared" si="1"/>
        <v>150.57493</v>
      </c>
      <c r="K285" s="7">
        <f t="shared" si="2"/>
        <v>136.8863</v>
      </c>
      <c r="L285" s="8">
        <f t="shared" si="3"/>
        <v>1.386572795</v>
      </c>
      <c r="M285" s="8">
        <f t="shared" si="4"/>
        <v>0.4159718386</v>
      </c>
      <c r="N285" s="8">
        <f t="shared" si="5"/>
        <v>0.08319436772</v>
      </c>
      <c r="O285" s="8">
        <f t="shared" si="6"/>
        <v>0.2737726</v>
      </c>
      <c r="P285" s="8">
        <f t="shared" si="7"/>
        <v>0.4106589</v>
      </c>
      <c r="Q285" s="8">
        <f t="shared" si="8"/>
        <v>0.1368863</v>
      </c>
      <c r="R285" s="57"/>
      <c r="S285" s="57"/>
      <c r="T285" s="57"/>
      <c r="U285" s="57"/>
      <c r="V285" s="57"/>
      <c r="W285" s="57"/>
      <c r="X285" s="57"/>
      <c r="Y285" s="57"/>
      <c r="Z285" s="17"/>
    </row>
    <row r="286" ht="34.5" customHeight="1">
      <c r="A286" s="54" t="s">
        <v>284</v>
      </c>
      <c r="B286" s="25" t="s">
        <v>285</v>
      </c>
      <c r="C286" s="25" t="s">
        <v>330</v>
      </c>
      <c r="D286" s="25" t="s">
        <v>334</v>
      </c>
      <c r="E286" s="5">
        <v>278.0</v>
      </c>
      <c r="F286" s="58">
        <v>24.71</v>
      </c>
      <c r="G286" s="5">
        <v>10.0</v>
      </c>
      <c r="H286" s="58">
        <v>100.0</v>
      </c>
      <c r="I286" s="58">
        <v>100.0</v>
      </c>
      <c r="J286" s="7">
        <f t="shared" si="1"/>
        <v>230.23682</v>
      </c>
      <c r="K286" s="7">
        <f t="shared" si="2"/>
        <v>209.3062</v>
      </c>
      <c r="L286" s="8">
        <f t="shared" si="3"/>
        <v>2.120141189</v>
      </c>
      <c r="M286" s="8">
        <f t="shared" si="4"/>
        <v>0.6360423566</v>
      </c>
      <c r="N286" s="8">
        <f t="shared" si="5"/>
        <v>0.1272084713</v>
      </c>
      <c r="O286" s="8">
        <f t="shared" si="6"/>
        <v>0.4186124</v>
      </c>
      <c r="P286" s="8">
        <f t="shared" si="7"/>
        <v>0.6279186</v>
      </c>
      <c r="Q286" s="8">
        <f t="shared" si="8"/>
        <v>0.2093062</v>
      </c>
      <c r="R286" s="57"/>
      <c r="S286" s="57"/>
      <c r="T286" s="57"/>
      <c r="U286" s="57"/>
      <c r="V286" s="57"/>
      <c r="W286" s="57"/>
      <c r="X286" s="57"/>
      <c r="Y286" s="57"/>
      <c r="Z286" s="17"/>
    </row>
    <row r="287" ht="34.5" customHeight="1">
      <c r="A287" s="54" t="s">
        <v>335</v>
      </c>
      <c r="B287" s="59" t="s">
        <v>336</v>
      </c>
      <c r="C287" s="5" t="s">
        <v>337</v>
      </c>
      <c r="D287" s="59" t="s">
        <v>336</v>
      </c>
      <c r="E287" s="59">
        <v>1974.0</v>
      </c>
      <c r="F287" s="60">
        <v>33.34</v>
      </c>
      <c r="G287" s="5">
        <v>18.0</v>
      </c>
      <c r="H287" s="6">
        <v>77.05</v>
      </c>
      <c r="I287" s="60">
        <v>89.73</v>
      </c>
      <c r="J287" s="7">
        <f t="shared" si="1"/>
        <v>1447.45524</v>
      </c>
      <c r="K287" s="7">
        <f t="shared" si="2"/>
        <v>1315.8684</v>
      </c>
      <c r="L287" s="8">
        <f t="shared" si="3"/>
        <v>13.32892573</v>
      </c>
      <c r="M287" s="8">
        <f t="shared" si="4"/>
        <v>3.998677718</v>
      </c>
      <c r="N287" s="8">
        <f t="shared" si="5"/>
        <v>0.7997355436</v>
      </c>
      <c r="O287" s="8">
        <f t="shared" si="6"/>
        <v>2.6317368</v>
      </c>
      <c r="P287" s="8">
        <f t="shared" si="7"/>
        <v>3.9476052</v>
      </c>
      <c r="Q287" s="8">
        <f t="shared" si="8"/>
        <v>1.3158684</v>
      </c>
      <c r="R287" s="57"/>
      <c r="S287" s="57"/>
      <c r="T287" s="57"/>
      <c r="U287" s="57"/>
      <c r="V287" s="57"/>
      <c r="W287" s="57"/>
      <c r="X287" s="57"/>
      <c r="Y287" s="57"/>
      <c r="Z287" s="61"/>
    </row>
    <row r="288" ht="34.5" customHeight="1">
      <c r="A288" s="54" t="s">
        <v>335</v>
      </c>
      <c r="B288" s="59" t="s">
        <v>336</v>
      </c>
      <c r="C288" s="5" t="s">
        <v>337</v>
      </c>
      <c r="D288" s="59" t="s">
        <v>338</v>
      </c>
      <c r="E288" s="59">
        <v>132.0</v>
      </c>
      <c r="F288" s="60">
        <v>23.42</v>
      </c>
      <c r="G288" s="5">
        <v>5.0</v>
      </c>
      <c r="H288" s="6">
        <v>68.14</v>
      </c>
      <c r="I288" s="60">
        <v>87.89</v>
      </c>
      <c r="J288" s="7">
        <f t="shared" si="1"/>
        <v>111.19416</v>
      </c>
      <c r="K288" s="7">
        <f t="shared" si="2"/>
        <v>101.0856</v>
      </c>
      <c r="L288" s="8">
        <f t="shared" si="3"/>
        <v>1.023934046</v>
      </c>
      <c r="M288" s="8">
        <f t="shared" si="4"/>
        <v>0.3071802137</v>
      </c>
      <c r="N288" s="8">
        <f t="shared" si="5"/>
        <v>0.06143604274</v>
      </c>
      <c r="O288" s="8">
        <f t="shared" si="6"/>
        <v>0.2021712</v>
      </c>
      <c r="P288" s="8">
        <f t="shared" si="7"/>
        <v>0.3032568</v>
      </c>
      <c r="Q288" s="8">
        <f t="shared" si="8"/>
        <v>0.1010856</v>
      </c>
      <c r="R288" s="57"/>
      <c r="S288" s="57"/>
      <c r="T288" s="57"/>
      <c r="U288" s="57"/>
      <c r="V288" s="57"/>
      <c r="W288" s="57"/>
      <c r="X288" s="57"/>
      <c r="Y288" s="57"/>
      <c r="Z288" s="61"/>
    </row>
    <row r="289" ht="34.5" customHeight="1">
      <c r="A289" s="54" t="s">
        <v>335</v>
      </c>
      <c r="B289" s="59" t="s">
        <v>336</v>
      </c>
      <c r="C289" s="5" t="s">
        <v>337</v>
      </c>
      <c r="D289" s="59" t="s">
        <v>339</v>
      </c>
      <c r="E289" s="59">
        <v>33.0</v>
      </c>
      <c r="F289" s="60">
        <v>41.53</v>
      </c>
      <c r="G289" s="5">
        <v>1.0</v>
      </c>
      <c r="H289" s="6">
        <v>100.0</v>
      </c>
      <c r="I289" s="60">
        <v>100.0</v>
      </c>
      <c r="J289" s="7">
        <f t="shared" si="1"/>
        <v>21.22461</v>
      </c>
      <c r="K289" s="7">
        <f t="shared" si="2"/>
        <v>19.2951</v>
      </c>
      <c r="L289" s="8">
        <f t="shared" si="3"/>
        <v>0.1954473219</v>
      </c>
      <c r="M289" s="8">
        <f t="shared" si="4"/>
        <v>0.05863419658</v>
      </c>
      <c r="N289" s="8">
        <f t="shared" si="5"/>
        <v>0.01172683932</v>
      </c>
      <c r="O289" s="8">
        <f t="shared" si="6"/>
        <v>0.0385902</v>
      </c>
      <c r="P289" s="8">
        <f t="shared" si="7"/>
        <v>0.0578853</v>
      </c>
      <c r="Q289" s="8">
        <f t="shared" si="8"/>
        <v>0.0192951</v>
      </c>
      <c r="R289" s="57"/>
      <c r="S289" s="57"/>
      <c r="T289" s="57"/>
      <c r="U289" s="57"/>
      <c r="V289" s="57"/>
      <c r="W289" s="57"/>
      <c r="X289" s="57"/>
      <c r="Y289" s="57"/>
      <c r="Z289" s="61"/>
    </row>
    <row r="290" ht="34.5" customHeight="1">
      <c r="A290" s="54" t="s">
        <v>335</v>
      </c>
      <c r="B290" s="59" t="s">
        <v>336</v>
      </c>
      <c r="C290" s="5" t="s">
        <v>337</v>
      </c>
      <c r="D290" s="59" t="s">
        <v>340</v>
      </c>
      <c r="E290" s="59">
        <v>49.0</v>
      </c>
      <c r="F290" s="60">
        <v>17.07</v>
      </c>
      <c r="G290" s="5">
        <v>1.0</v>
      </c>
      <c r="H290" s="6">
        <v>100.0</v>
      </c>
      <c r="I290" s="60">
        <v>100.0</v>
      </c>
      <c r="J290" s="7">
        <f t="shared" si="1"/>
        <v>44.69927</v>
      </c>
      <c r="K290" s="7">
        <f t="shared" si="2"/>
        <v>40.6357</v>
      </c>
      <c r="L290" s="8">
        <f t="shared" si="3"/>
        <v>0.4116142823</v>
      </c>
      <c r="M290" s="8">
        <f t="shared" si="4"/>
        <v>0.1234842847</v>
      </c>
      <c r="N290" s="8">
        <f t="shared" si="5"/>
        <v>0.02469685694</v>
      </c>
      <c r="O290" s="8">
        <f t="shared" si="6"/>
        <v>0.0812714</v>
      </c>
      <c r="P290" s="8">
        <f t="shared" si="7"/>
        <v>0.1219071</v>
      </c>
      <c r="Q290" s="8">
        <f t="shared" si="8"/>
        <v>0.0406357</v>
      </c>
      <c r="R290" s="57"/>
      <c r="S290" s="57"/>
      <c r="T290" s="57"/>
      <c r="U290" s="57"/>
      <c r="V290" s="57"/>
      <c r="W290" s="57"/>
      <c r="X290" s="57"/>
      <c r="Y290" s="57"/>
      <c r="Z290" s="61"/>
    </row>
    <row r="291" ht="34.5" customHeight="1">
      <c r="A291" s="54" t="s">
        <v>335</v>
      </c>
      <c r="B291" s="59" t="s">
        <v>336</v>
      </c>
      <c r="C291" s="5" t="s">
        <v>337</v>
      </c>
      <c r="D291" s="59" t="s">
        <v>341</v>
      </c>
      <c r="E291" s="59">
        <v>278.0</v>
      </c>
      <c r="F291" s="60">
        <v>30.49</v>
      </c>
      <c r="G291" s="5">
        <v>4.0</v>
      </c>
      <c r="H291" s="6">
        <v>0.0</v>
      </c>
      <c r="I291" s="60">
        <v>62.39</v>
      </c>
      <c r="J291" s="7">
        <f t="shared" si="1"/>
        <v>212.56158</v>
      </c>
      <c r="K291" s="7">
        <f t="shared" si="2"/>
        <v>193.2378</v>
      </c>
      <c r="L291" s="8">
        <f t="shared" si="3"/>
        <v>1.957378324</v>
      </c>
      <c r="M291" s="8">
        <f t="shared" si="4"/>
        <v>0.5872134973</v>
      </c>
      <c r="N291" s="8">
        <f t="shared" si="5"/>
        <v>0.1174426995</v>
      </c>
      <c r="O291" s="8">
        <f t="shared" si="6"/>
        <v>0.3864756</v>
      </c>
      <c r="P291" s="8">
        <f t="shared" si="7"/>
        <v>0.5797134</v>
      </c>
      <c r="Q291" s="8">
        <f t="shared" si="8"/>
        <v>0.1932378</v>
      </c>
      <c r="R291" s="57"/>
      <c r="S291" s="57"/>
      <c r="T291" s="57"/>
      <c r="U291" s="57"/>
      <c r="V291" s="57"/>
      <c r="W291" s="57"/>
      <c r="X291" s="57"/>
      <c r="Y291" s="57"/>
      <c r="Z291" s="61"/>
    </row>
    <row r="292" ht="34.5" customHeight="1">
      <c r="A292" s="54" t="s">
        <v>335</v>
      </c>
      <c r="B292" s="59" t="s">
        <v>336</v>
      </c>
      <c r="C292" s="5" t="s">
        <v>337</v>
      </c>
      <c r="D292" s="59" t="s">
        <v>342</v>
      </c>
      <c r="E292" s="59">
        <v>55.0</v>
      </c>
      <c r="F292" s="60">
        <v>12.72</v>
      </c>
      <c r="G292" s="5">
        <v>1.0</v>
      </c>
      <c r="H292" s="6">
        <v>65.5</v>
      </c>
      <c r="I292" s="60">
        <v>65.5</v>
      </c>
      <c r="J292" s="7">
        <f t="shared" si="1"/>
        <v>52.8044</v>
      </c>
      <c r="K292" s="7">
        <f t="shared" si="2"/>
        <v>48.004</v>
      </c>
      <c r="L292" s="8">
        <f t="shared" si="3"/>
        <v>0.4862505632</v>
      </c>
      <c r="M292" s="8">
        <f t="shared" si="4"/>
        <v>0.1458751689</v>
      </c>
      <c r="N292" s="8">
        <f t="shared" si="5"/>
        <v>0.02917503379</v>
      </c>
      <c r="O292" s="8">
        <f t="shared" si="6"/>
        <v>0.096008</v>
      </c>
      <c r="P292" s="8">
        <f t="shared" si="7"/>
        <v>0.144012</v>
      </c>
      <c r="Q292" s="8">
        <f t="shared" si="8"/>
        <v>0.048004</v>
      </c>
      <c r="R292" s="57"/>
      <c r="S292" s="57"/>
      <c r="T292" s="57"/>
      <c r="U292" s="57"/>
      <c r="V292" s="57"/>
      <c r="W292" s="57"/>
      <c r="X292" s="57"/>
      <c r="Y292" s="57"/>
      <c r="Z292" s="61"/>
    </row>
    <row r="293" ht="34.5" customHeight="1">
      <c r="A293" s="54" t="s">
        <v>335</v>
      </c>
      <c r="B293" s="59" t="s">
        <v>336</v>
      </c>
      <c r="C293" s="5" t="s">
        <v>337</v>
      </c>
      <c r="D293" s="59" t="s">
        <v>343</v>
      </c>
      <c r="E293" s="59">
        <v>10.0</v>
      </c>
      <c r="F293" s="60">
        <v>14.16</v>
      </c>
      <c r="G293" s="5">
        <v>1.0</v>
      </c>
      <c r="H293" s="6">
        <v>100.0</v>
      </c>
      <c r="I293" s="60">
        <v>100.0</v>
      </c>
      <c r="J293" s="7">
        <f t="shared" si="1"/>
        <v>9.4424</v>
      </c>
      <c r="K293" s="7">
        <f t="shared" si="2"/>
        <v>8.584</v>
      </c>
      <c r="L293" s="8">
        <f t="shared" si="3"/>
        <v>0.08695056317</v>
      </c>
      <c r="M293" s="8">
        <f t="shared" si="4"/>
        <v>0.02608516895</v>
      </c>
      <c r="N293" s="8">
        <f t="shared" si="5"/>
        <v>0.00521703379</v>
      </c>
      <c r="O293" s="8">
        <f t="shared" si="6"/>
        <v>0.017168</v>
      </c>
      <c r="P293" s="8">
        <f t="shared" si="7"/>
        <v>0.025752</v>
      </c>
      <c r="Q293" s="8">
        <f t="shared" si="8"/>
        <v>0.008584</v>
      </c>
      <c r="R293" s="57"/>
      <c r="S293" s="57"/>
      <c r="T293" s="57"/>
      <c r="U293" s="57"/>
      <c r="V293" s="57"/>
      <c r="W293" s="57"/>
      <c r="X293" s="57"/>
      <c r="Y293" s="57"/>
      <c r="Z293" s="61"/>
    </row>
    <row r="294" ht="34.5" customHeight="1">
      <c r="A294" s="54" t="s">
        <v>335</v>
      </c>
      <c r="B294" s="59" t="s">
        <v>336</v>
      </c>
      <c r="C294" s="5" t="s">
        <v>337</v>
      </c>
      <c r="D294" s="59" t="s">
        <v>344</v>
      </c>
      <c r="E294" s="59">
        <v>20.0</v>
      </c>
      <c r="F294" s="60">
        <v>15.19</v>
      </c>
      <c r="G294" s="5">
        <v>1.0</v>
      </c>
      <c r="H294" s="6">
        <v>84.13</v>
      </c>
      <c r="I294" s="60">
        <v>100.0</v>
      </c>
      <c r="J294" s="7">
        <f t="shared" si="1"/>
        <v>18.6582</v>
      </c>
      <c r="K294" s="7">
        <f t="shared" si="2"/>
        <v>16.962</v>
      </c>
      <c r="L294" s="8">
        <f t="shared" si="3"/>
        <v>0.1718144749</v>
      </c>
      <c r="M294" s="8">
        <f t="shared" si="4"/>
        <v>0.05154434247</v>
      </c>
      <c r="N294" s="8">
        <f t="shared" si="5"/>
        <v>0.01030886849</v>
      </c>
      <c r="O294" s="8">
        <f t="shared" si="6"/>
        <v>0.033924</v>
      </c>
      <c r="P294" s="8">
        <f t="shared" si="7"/>
        <v>0.050886</v>
      </c>
      <c r="Q294" s="8">
        <f t="shared" si="8"/>
        <v>0.016962</v>
      </c>
      <c r="R294" s="57"/>
      <c r="S294" s="57"/>
      <c r="T294" s="57"/>
      <c r="U294" s="57"/>
      <c r="V294" s="57"/>
      <c r="W294" s="57"/>
      <c r="X294" s="57"/>
      <c r="Y294" s="57"/>
      <c r="Z294" s="61"/>
    </row>
    <row r="295" ht="34.5" customHeight="1">
      <c r="A295" s="54" t="s">
        <v>335</v>
      </c>
      <c r="B295" s="59" t="s">
        <v>336</v>
      </c>
      <c r="C295" s="5" t="s">
        <v>337</v>
      </c>
      <c r="D295" s="59" t="s">
        <v>345</v>
      </c>
      <c r="E295" s="59">
        <v>26.0</v>
      </c>
      <c r="F295" s="60">
        <v>26.51</v>
      </c>
      <c r="G295" s="5">
        <v>2.0</v>
      </c>
      <c r="H295" s="6">
        <v>0.0</v>
      </c>
      <c r="I295" s="60">
        <v>0.0</v>
      </c>
      <c r="J295" s="7">
        <f t="shared" si="1"/>
        <v>21.01814</v>
      </c>
      <c r="K295" s="7">
        <f t="shared" si="2"/>
        <v>19.1074</v>
      </c>
      <c r="L295" s="8">
        <f t="shared" si="3"/>
        <v>0.1935460381</v>
      </c>
      <c r="M295" s="8">
        <f t="shared" si="4"/>
        <v>0.05806381142</v>
      </c>
      <c r="N295" s="8">
        <f t="shared" si="5"/>
        <v>0.01161276228</v>
      </c>
      <c r="O295" s="8">
        <f t="shared" si="6"/>
        <v>0.0382148</v>
      </c>
      <c r="P295" s="8">
        <f t="shared" si="7"/>
        <v>0.0573222</v>
      </c>
      <c r="Q295" s="8">
        <f t="shared" si="8"/>
        <v>0.0191074</v>
      </c>
      <c r="R295" s="57"/>
      <c r="S295" s="57"/>
      <c r="T295" s="57"/>
      <c r="U295" s="57"/>
      <c r="V295" s="57"/>
      <c r="W295" s="57"/>
      <c r="X295" s="57"/>
      <c r="Y295" s="57"/>
      <c r="Z295" s="61"/>
    </row>
    <row r="296" ht="34.5" customHeight="1">
      <c r="A296" s="54" t="s">
        <v>335</v>
      </c>
      <c r="B296" s="59" t="s">
        <v>336</v>
      </c>
      <c r="C296" s="5" t="s">
        <v>337</v>
      </c>
      <c r="D296" s="59" t="s">
        <v>346</v>
      </c>
      <c r="E296" s="59">
        <v>76.0</v>
      </c>
      <c r="F296" s="60">
        <v>12.42</v>
      </c>
      <c r="G296" s="5">
        <v>3.0</v>
      </c>
      <c r="H296" s="6">
        <v>40.97</v>
      </c>
      <c r="I296" s="60">
        <v>100.0</v>
      </c>
      <c r="J296" s="7">
        <f t="shared" si="1"/>
        <v>73.21688</v>
      </c>
      <c r="K296" s="7">
        <f t="shared" si="2"/>
        <v>66.5608</v>
      </c>
      <c r="L296" s="8">
        <f t="shared" si="3"/>
        <v>0.6742193668</v>
      </c>
      <c r="M296" s="8">
        <f t="shared" si="4"/>
        <v>0.20226581</v>
      </c>
      <c r="N296" s="8">
        <f t="shared" si="5"/>
        <v>0.04045316201</v>
      </c>
      <c r="O296" s="8">
        <f t="shared" si="6"/>
        <v>0.1331216</v>
      </c>
      <c r="P296" s="8">
        <f t="shared" si="7"/>
        <v>0.1996824</v>
      </c>
      <c r="Q296" s="8">
        <f t="shared" si="8"/>
        <v>0.0665608</v>
      </c>
      <c r="R296" s="57"/>
      <c r="S296" s="57"/>
      <c r="T296" s="57"/>
      <c r="U296" s="57"/>
      <c r="V296" s="57"/>
      <c r="W296" s="57"/>
      <c r="X296" s="57"/>
      <c r="Y296" s="57"/>
      <c r="Z296" s="61"/>
    </row>
    <row r="297" ht="34.5" customHeight="1">
      <c r="A297" s="54" t="s">
        <v>335</v>
      </c>
      <c r="B297" s="59" t="s">
        <v>336</v>
      </c>
      <c r="C297" s="5" t="s">
        <v>337</v>
      </c>
      <c r="D297" s="59" t="s">
        <v>347</v>
      </c>
      <c r="E297" s="59">
        <v>243.0</v>
      </c>
      <c r="F297" s="60">
        <v>30.02</v>
      </c>
      <c r="G297" s="5">
        <v>5.0</v>
      </c>
      <c r="H297" s="6">
        <v>78.17</v>
      </c>
      <c r="I297" s="60">
        <v>92.11</v>
      </c>
      <c r="J297" s="7">
        <f t="shared" si="1"/>
        <v>187.05654</v>
      </c>
      <c r="K297" s="7">
        <f t="shared" si="2"/>
        <v>170.0514</v>
      </c>
      <c r="L297" s="8">
        <f t="shared" si="3"/>
        <v>1.722514562</v>
      </c>
      <c r="M297" s="8">
        <f t="shared" si="4"/>
        <v>0.5167543685</v>
      </c>
      <c r="N297" s="8">
        <f t="shared" si="5"/>
        <v>0.1033508737</v>
      </c>
      <c r="O297" s="8">
        <f t="shared" si="6"/>
        <v>0.3401028</v>
      </c>
      <c r="P297" s="8">
        <f t="shared" si="7"/>
        <v>0.5101542</v>
      </c>
      <c r="Q297" s="8">
        <f t="shared" si="8"/>
        <v>0.1700514</v>
      </c>
      <c r="R297" s="57"/>
      <c r="S297" s="57"/>
      <c r="T297" s="57"/>
      <c r="U297" s="57"/>
      <c r="V297" s="57"/>
      <c r="W297" s="57"/>
      <c r="X297" s="57"/>
      <c r="Y297" s="57"/>
      <c r="Z297" s="61"/>
    </row>
    <row r="298" ht="34.5" customHeight="1">
      <c r="A298" s="54" t="s">
        <v>335</v>
      </c>
      <c r="B298" s="59" t="s">
        <v>336</v>
      </c>
      <c r="C298" s="5" t="s">
        <v>348</v>
      </c>
      <c r="D298" s="59" t="s">
        <v>349</v>
      </c>
      <c r="E298" s="59">
        <v>553.0</v>
      </c>
      <c r="F298" s="60">
        <v>20.62</v>
      </c>
      <c r="G298" s="59">
        <v>6.0</v>
      </c>
      <c r="H298" s="60">
        <v>90.54</v>
      </c>
      <c r="I298" s="60">
        <v>94.54</v>
      </c>
      <c r="J298" s="7">
        <f t="shared" si="1"/>
        <v>482.86854</v>
      </c>
      <c r="K298" s="7">
        <f t="shared" si="2"/>
        <v>438.9714</v>
      </c>
      <c r="L298" s="8">
        <f t="shared" si="3"/>
        <v>4.446506342</v>
      </c>
      <c r="M298" s="8">
        <f t="shared" si="4"/>
        <v>1.333951903</v>
      </c>
      <c r="N298" s="8">
        <f t="shared" si="5"/>
        <v>0.2667903805</v>
      </c>
      <c r="O298" s="8">
        <f t="shared" si="6"/>
        <v>0.8779428</v>
      </c>
      <c r="P298" s="8">
        <f t="shared" si="7"/>
        <v>1.3169142</v>
      </c>
      <c r="Q298" s="8">
        <f t="shared" si="8"/>
        <v>0.4389714</v>
      </c>
      <c r="R298" s="57"/>
      <c r="S298" s="57"/>
      <c r="T298" s="57"/>
      <c r="U298" s="57"/>
      <c r="V298" s="57"/>
      <c r="W298" s="57"/>
      <c r="X298" s="57"/>
      <c r="Y298" s="57"/>
      <c r="Z298" s="61"/>
    </row>
    <row r="299" ht="34.5" customHeight="1">
      <c r="A299" s="54" t="s">
        <v>335</v>
      </c>
      <c r="B299" s="59" t="s">
        <v>336</v>
      </c>
      <c r="C299" s="5" t="s">
        <v>348</v>
      </c>
      <c r="D299" s="59" t="s">
        <v>350</v>
      </c>
      <c r="E299" s="59">
        <v>202.0</v>
      </c>
      <c r="F299" s="60">
        <v>19.56</v>
      </c>
      <c r="G299" s="62">
        <v>5.0</v>
      </c>
      <c r="H299" s="63">
        <v>82.12</v>
      </c>
      <c r="I299" s="60">
        <v>100.0</v>
      </c>
      <c r="J299" s="7">
        <f t="shared" si="1"/>
        <v>178.73768</v>
      </c>
      <c r="K299" s="7">
        <f t="shared" si="2"/>
        <v>162.4888</v>
      </c>
      <c r="L299" s="8">
        <f t="shared" si="3"/>
        <v>1.645910143</v>
      </c>
      <c r="M299" s="8">
        <f t="shared" si="4"/>
        <v>0.4937730429</v>
      </c>
      <c r="N299" s="8">
        <f t="shared" si="5"/>
        <v>0.09875460858</v>
      </c>
      <c r="O299" s="8">
        <f t="shared" si="6"/>
        <v>0.3249776</v>
      </c>
      <c r="P299" s="8">
        <f t="shared" si="7"/>
        <v>0.4874664</v>
      </c>
      <c r="Q299" s="8">
        <f t="shared" si="8"/>
        <v>0.1624888</v>
      </c>
      <c r="R299" s="57"/>
      <c r="S299" s="57"/>
      <c r="T299" s="57"/>
      <c r="U299" s="57"/>
      <c r="V299" s="57"/>
      <c r="W299" s="57"/>
      <c r="X299" s="57"/>
      <c r="Y299" s="57"/>
      <c r="Z299" s="61"/>
    </row>
    <row r="300" ht="34.5" customHeight="1">
      <c r="A300" s="54" t="s">
        <v>335</v>
      </c>
      <c r="B300" s="59" t="s">
        <v>336</v>
      </c>
      <c r="C300" s="5" t="s">
        <v>348</v>
      </c>
      <c r="D300" s="59" t="s">
        <v>351</v>
      </c>
      <c r="E300" s="59">
        <v>50.0</v>
      </c>
      <c r="F300" s="60">
        <v>11.52</v>
      </c>
      <c r="G300" s="62">
        <v>1.0</v>
      </c>
      <c r="H300" s="63">
        <v>100.0</v>
      </c>
      <c r="I300" s="60">
        <v>100.0</v>
      </c>
      <c r="J300" s="7">
        <f t="shared" si="1"/>
        <v>48.664</v>
      </c>
      <c r="K300" s="7">
        <f t="shared" si="2"/>
        <v>44.24</v>
      </c>
      <c r="L300" s="8">
        <f t="shared" si="3"/>
        <v>0.4481235921</v>
      </c>
      <c r="M300" s="8">
        <f t="shared" si="4"/>
        <v>0.1344370776</v>
      </c>
      <c r="N300" s="8">
        <f t="shared" si="5"/>
        <v>0.02688741553</v>
      </c>
      <c r="O300" s="8">
        <f t="shared" si="6"/>
        <v>0.08848</v>
      </c>
      <c r="P300" s="8">
        <f t="shared" si="7"/>
        <v>0.13272</v>
      </c>
      <c r="Q300" s="8">
        <f t="shared" si="8"/>
        <v>0.04424</v>
      </c>
      <c r="R300" s="57"/>
      <c r="S300" s="57"/>
      <c r="T300" s="57"/>
      <c r="U300" s="57"/>
      <c r="V300" s="57"/>
      <c r="W300" s="57"/>
      <c r="X300" s="57"/>
      <c r="Y300" s="57"/>
      <c r="Z300" s="61"/>
    </row>
    <row r="301" ht="34.5" customHeight="1">
      <c r="A301" s="54" t="s">
        <v>335</v>
      </c>
      <c r="B301" s="59" t="s">
        <v>336</v>
      </c>
      <c r="C301" s="5" t="s">
        <v>348</v>
      </c>
      <c r="D301" s="59" t="s">
        <v>352</v>
      </c>
      <c r="E301" s="59">
        <v>199.0</v>
      </c>
      <c r="F301" s="60">
        <v>26.15</v>
      </c>
      <c r="G301" s="62">
        <v>4.0</v>
      </c>
      <c r="H301" s="63">
        <v>100.0</v>
      </c>
      <c r="I301" s="60">
        <v>100.0</v>
      </c>
      <c r="J301" s="7">
        <f t="shared" si="1"/>
        <v>161.65765</v>
      </c>
      <c r="K301" s="7">
        <f t="shared" si="2"/>
        <v>146.9615</v>
      </c>
      <c r="L301" s="8">
        <f t="shared" si="3"/>
        <v>1.488628284</v>
      </c>
      <c r="M301" s="8">
        <f t="shared" si="4"/>
        <v>0.4465884852</v>
      </c>
      <c r="N301" s="8">
        <f t="shared" si="5"/>
        <v>0.08931769703</v>
      </c>
      <c r="O301" s="8">
        <f t="shared" si="6"/>
        <v>0.293923</v>
      </c>
      <c r="P301" s="8">
        <f t="shared" si="7"/>
        <v>0.4408845</v>
      </c>
      <c r="Q301" s="8">
        <f t="shared" si="8"/>
        <v>0.1469615</v>
      </c>
      <c r="R301" s="57"/>
      <c r="S301" s="57"/>
      <c r="T301" s="57"/>
      <c r="U301" s="57"/>
      <c r="V301" s="57"/>
      <c r="W301" s="57"/>
      <c r="X301" s="57"/>
      <c r="Y301" s="57"/>
      <c r="Z301" s="61"/>
    </row>
    <row r="302" ht="34.5" customHeight="1">
      <c r="A302" s="54" t="s">
        <v>335</v>
      </c>
      <c r="B302" s="59" t="s">
        <v>336</v>
      </c>
      <c r="C302" s="5" t="s">
        <v>348</v>
      </c>
      <c r="D302" s="59" t="s">
        <v>353</v>
      </c>
      <c r="E302" s="59">
        <v>46.0</v>
      </c>
      <c r="F302" s="60">
        <v>12.11</v>
      </c>
      <c r="G302" s="62">
        <v>1.0</v>
      </c>
      <c r="H302" s="63">
        <v>100.0</v>
      </c>
      <c r="I302" s="60">
        <v>100.0</v>
      </c>
      <c r="J302" s="7">
        <f t="shared" si="1"/>
        <v>44.47234</v>
      </c>
      <c r="K302" s="7">
        <f t="shared" si="2"/>
        <v>40.4294</v>
      </c>
      <c r="L302" s="8">
        <f t="shared" si="3"/>
        <v>0.4095245921</v>
      </c>
      <c r="M302" s="8">
        <f t="shared" si="4"/>
        <v>0.1228573776</v>
      </c>
      <c r="N302" s="8">
        <f t="shared" si="5"/>
        <v>0.02457147553</v>
      </c>
      <c r="O302" s="8">
        <f t="shared" si="6"/>
        <v>0.0808588</v>
      </c>
      <c r="P302" s="8">
        <f t="shared" si="7"/>
        <v>0.1212882</v>
      </c>
      <c r="Q302" s="8">
        <f t="shared" si="8"/>
        <v>0.0404294</v>
      </c>
      <c r="R302" s="57"/>
      <c r="S302" s="57"/>
      <c r="T302" s="57"/>
      <c r="U302" s="57"/>
      <c r="V302" s="57"/>
      <c r="W302" s="57"/>
      <c r="X302" s="57"/>
      <c r="Y302" s="57"/>
      <c r="Z302" s="61"/>
    </row>
    <row r="303" ht="34.5" customHeight="1">
      <c r="A303" s="54" t="s">
        <v>335</v>
      </c>
      <c r="B303" s="59" t="s">
        <v>336</v>
      </c>
      <c r="C303" s="5" t="s">
        <v>348</v>
      </c>
      <c r="D303" s="59" t="s">
        <v>354</v>
      </c>
      <c r="E303" s="59">
        <v>36.0</v>
      </c>
      <c r="F303" s="60">
        <v>5.72</v>
      </c>
      <c r="G303" s="62">
        <v>2.0</v>
      </c>
      <c r="H303" s="63">
        <v>86.39</v>
      </c>
      <c r="I303" s="60">
        <v>86.39</v>
      </c>
      <c r="J303" s="7">
        <f t="shared" si="1"/>
        <v>37.33488</v>
      </c>
      <c r="K303" s="7">
        <f t="shared" si="2"/>
        <v>33.9408</v>
      </c>
      <c r="L303" s="8">
        <f t="shared" si="3"/>
        <v>0.3437991233</v>
      </c>
      <c r="M303" s="8">
        <f t="shared" si="4"/>
        <v>0.103139737</v>
      </c>
      <c r="N303" s="8">
        <f t="shared" si="5"/>
        <v>0.0206279474</v>
      </c>
      <c r="O303" s="8">
        <f t="shared" si="6"/>
        <v>0.0678816</v>
      </c>
      <c r="P303" s="8">
        <f t="shared" si="7"/>
        <v>0.1018224</v>
      </c>
      <c r="Q303" s="8">
        <f t="shared" si="8"/>
        <v>0.0339408</v>
      </c>
      <c r="R303" s="57"/>
      <c r="S303" s="57"/>
      <c r="T303" s="57"/>
      <c r="U303" s="57"/>
      <c r="V303" s="57"/>
      <c r="W303" s="57"/>
      <c r="X303" s="57"/>
      <c r="Y303" s="57"/>
      <c r="Z303" s="61"/>
    </row>
    <row r="304" ht="34.5" customHeight="1">
      <c r="A304" s="54" t="s">
        <v>335</v>
      </c>
      <c r="B304" s="59" t="s">
        <v>336</v>
      </c>
      <c r="C304" s="5" t="s">
        <v>348</v>
      </c>
      <c r="D304" s="59" t="s">
        <v>355</v>
      </c>
      <c r="E304" s="59">
        <v>222.0</v>
      </c>
      <c r="F304" s="60">
        <v>15.96</v>
      </c>
      <c r="G304" s="62">
        <v>6.0</v>
      </c>
      <c r="H304" s="63">
        <v>70.02</v>
      </c>
      <c r="I304" s="60">
        <v>85.34</v>
      </c>
      <c r="J304" s="7">
        <f t="shared" si="1"/>
        <v>205.22568</v>
      </c>
      <c r="K304" s="7">
        <f t="shared" si="2"/>
        <v>186.5688</v>
      </c>
      <c r="L304" s="8">
        <f t="shared" si="3"/>
        <v>1.889825516</v>
      </c>
      <c r="M304" s="8">
        <f t="shared" si="4"/>
        <v>0.5669476548</v>
      </c>
      <c r="N304" s="8">
        <f t="shared" si="5"/>
        <v>0.113389531</v>
      </c>
      <c r="O304" s="8">
        <f t="shared" si="6"/>
        <v>0.3731376</v>
      </c>
      <c r="P304" s="8">
        <f t="shared" si="7"/>
        <v>0.5597064</v>
      </c>
      <c r="Q304" s="8">
        <f t="shared" si="8"/>
        <v>0.1865688</v>
      </c>
      <c r="R304" s="57"/>
      <c r="S304" s="57"/>
      <c r="T304" s="57"/>
      <c r="U304" s="57"/>
      <c r="V304" s="57"/>
      <c r="W304" s="57"/>
      <c r="X304" s="57"/>
      <c r="Y304" s="57"/>
      <c r="Z304" s="61"/>
    </row>
    <row r="305" ht="34.5" customHeight="1">
      <c r="A305" s="54" t="s">
        <v>335</v>
      </c>
      <c r="B305" s="59" t="s">
        <v>336</v>
      </c>
      <c r="C305" s="5" t="s">
        <v>348</v>
      </c>
      <c r="D305" s="59" t="s">
        <v>356</v>
      </c>
      <c r="E305" s="59">
        <v>25.0</v>
      </c>
      <c r="F305" s="60">
        <v>12.94</v>
      </c>
      <c r="G305" s="62">
        <v>1.0</v>
      </c>
      <c r="H305" s="63">
        <v>100.0</v>
      </c>
      <c r="I305" s="60">
        <v>100.0</v>
      </c>
      <c r="J305" s="7">
        <f t="shared" si="1"/>
        <v>23.9415</v>
      </c>
      <c r="K305" s="7">
        <f t="shared" si="2"/>
        <v>21.765</v>
      </c>
      <c r="L305" s="8">
        <f t="shared" si="3"/>
        <v>0.2204658676</v>
      </c>
      <c r="M305" s="8">
        <f t="shared" si="4"/>
        <v>0.06613976027</v>
      </c>
      <c r="N305" s="8">
        <f t="shared" si="5"/>
        <v>0.01322795205</v>
      </c>
      <c r="O305" s="8">
        <f t="shared" si="6"/>
        <v>0.04353</v>
      </c>
      <c r="P305" s="8">
        <f t="shared" si="7"/>
        <v>0.065295</v>
      </c>
      <c r="Q305" s="8">
        <f t="shared" si="8"/>
        <v>0.021765</v>
      </c>
      <c r="R305" s="57"/>
      <c r="S305" s="57"/>
      <c r="T305" s="57"/>
      <c r="U305" s="57"/>
      <c r="V305" s="57"/>
      <c r="W305" s="57"/>
      <c r="X305" s="57"/>
      <c r="Y305" s="57"/>
      <c r="Z305" s="61"/>
    </row>
    <row r="306" ht="34.5" customHeight="1">
      <c r="A306" s="54" t="s">
        <v>335</v>
      </c>
      <c r="B306" s="59" t="s">
        <v>336</v>
      </c>
      <c r="C306" s="5" t="s">
        <v>348</v>
      </c>
      <c r="D306" s="59" t="s">
        <v>357</v>
      </c>
      <c r="E306" s="59">
        <v>51.0</v>
      </c>
      <c r="F306" s="60">
        <v>28.27</v>
      </c>
      <c r="G306" s="62">
        <v>2.0</v>
      </c>
      <c r="H306" s="63">
        <v>100.0</v>
      </c>
      <c r="I306" s="60">
        <v>100.0</v>
      </c>
      <c r="J306" s="7">
        <f t="shared" si="1"/>
        <v>40.24053</v>
      </c>
      <c r="K306" s="7">
        <f t="shared" si="2"/>
        <v>36.5823</v>
      </c>
      <c r="L306" s="8">
        <f t="shared" si="3"/>
        <v>0.3705558699</v>
      </c>
      <c r="M306" s="8">
        <f t="shared" si="4"/>
        <v>0.111166761</v>
      </c>
      <c r="N306" s="8">
        <f t="shared" si="5"/>
        <v>0.02223335219</v>
      </c>
      <c r="O306" s="8">
        <f t="shared" si="6"/>
        <v>0.0731646</v>
      </c>
      <c r="P306" s="8">
        <f t="shared" si="7"/>
        <v>0.1097469</v>
      </c>
      <c r="Q306" s="8">
        <f t="shared" si="8"/>
        <v>0.0365823</v>
      </c>
      <c r="R306" s="57"/>
      <c r="S306" s="57"/>
      <c r="T306" s="57"/>
      <c r="U306" s="57"/>
      <c r="V306" s="57"/>
      <c r="W306" s="57"/>
      <c r="X306" s="57"/>
      <c r="Y306" s="57"/>
      <c r="Z306" s="61"/>
    </row>
    <row r="307" ht="34.5" customHeight="1">
      <c r="A307" s="54" t="s">
        <v>335</v>
      </c>
      <c r="B307" s="59" t="s">
        <v>336</v>
      </c>
      <c r="C307" s="5" t="s">
        <v>348</v>
      </c>
      <c r="D307" s="59" t="s">
        <v>358</v>
      </c>
      <c r="E307" s="59">
        <v>235.0</v>
      </c>
      <c r="F307" s="60">
        <v>21.45</v>
      </c>
      <c r="G307" s="62">
        <v>6.0</v>
      </c>
      <c r="H307" s="63">
        <v>100.0</v>
      </c>
      <c r="I307" s="60">
        <v>100.0</v>
      </c>
      <c r="J307" s="7">
        <f t="shared" si="1"/>
        <v>203.05175</v>
      </c>
      <c r="K307" s="7">
        <f t="shared" si="2"/>
        <v>184.5925</v>
      </c>
      <c r="L307" s="8">
        <f t="shared" si="3"/>
        <v>1.86980683</v>
      </c>
      <c r="M307" s="8">
        <f t="shared" si="4"/>
        <v>0.5609420491</v>
      </c>
      <c r="N307" s="8">
        <f t="shared" si="5"/>
        <v>0.1121884098</v>
      </c>
      <c r="O307" s="8">
        <f t="shared" si="6"/>
        <v>0.369185</v>
      </c>
      <c r="P307" s="8">
        <f t="shared" si="7"/>
        <v>0.5537775</v>
      </c>
      <c r="Q307" s="8">
        <f t="shared" si="8"/>
        <v>0.1845925</v>
      </c>
      <c r="R307" s="57"/>
      <c r="S307" s="57"/>
      <c r="T307" s="57"/>
      <c r="U307" s="57"/>
      <c r="V307" s="57"/>
      <c r="W307" s="57"/>
      <c r="X307" s="57"/>
      <c r="Y307" s="57"/>
      <c r="Z307" s="61"/>
    </row>
    <row r="308" ht="34.5" customHeight="1">
      <c r="A308" s="54" t="s">
        <v>335</v>
      </c>
      <c r="B308" s="59" t="s">
        <v>336</v>
      </c>
      <c r="C308" s="5" t="s">
        <v>348</v>
      </c>
      <c r="D308" s="59" t="s">
        <v>359</v>
      </c>
      <c r="E308" s="59">
        <v>89.0</v>
      </c>
      <c r="F308" s="60">
        <v>23.25</v>
      </c>
      <c r="G308" s="62">
        <v>2.0</v>
      </c>
      <c r="H308" s="63">
        <v>100.0</v>
      </c>
      <c r="I308" s="60">
        <v>100.0</v>
      </c>
      <c r="J308" s="7">
        <f t="shared" si="1"/>
        <v>75.13825</v>
      </c>
      <c r="K308" s="7">
        <f t="shared" si="2"/>
        <v>68.3075</v>
      </c>
      <c r="L308" s="8">
        <f t="shared" si="3"/>
        <v>0.6919123478</v>
      </c>
      <c r="M308" s="8">
        <f t="shared" si="4"/>
        <v>0.2075737043</v>
      </c>
      <c r="N308" s="8">
        <f t="shared" si="5"/>
        <v>0.04151474087</v>
      </c>
      <c r="O308" s="8">
        <f t="shared" si="6"/>
        <v>0.136615</v>
      </c>
      <c r="P308" s="8">
        <f t="shared" si="7"/>
        <v>0.2049225</v>
      </c>
      <c r="Q308" s="8">
        <f t="shared" si="8"/>
        <v>0.0683075</v>
      </c>
      <c r="R308" s="57"/>
      <c r="S308" s="57"/>
      <c r="T308" s="57"/>
      <c r="U308" s="57"/>
      <c r="V308" s="57"/>
      <c r="W308" s="57"/>
      <c r="X308" s="57"/>
      <c r="Y308" s="57"/>
      <c r="Z308" s="61"/>
    </row>
    <row r="309" ht="34.5" customHeight="1">
      <c r="A309" s="54" t="s">
        <v>335</v>
      </c>
      <c r="B309" s="59" t="s">
        <v>336</v>
      </c>
      <c r="C309" s="5" t="s">
        <v>348</v>
      </c>
      <c r="D309" s="59" t="s">
        <v>360</v>
      </c>
      <c r="E309" s="59">
        <v>29.0</v>
      </c>
      <c r="F309" s="60">
        <v>39.77</v>
      </c>
      <c r="G309" s="62">
        <v>1.0</v>
      </c>
      <c r="H309" s="63">
        <v>0.0</v>
      </c>
      <c r="I309" s="60">
        <v>80.24</v>
      </c>
      <c r="J309" s="7">
        <f t="shared" si="1"/>
        <v>19.21337</v>
      </c>
      <c r="K309" s="7">
        <f t="shared" si="2"/>
        <v>17.4667</v>
      </c>
      <c r="L309" s="8">
        <f t="shared" si="3"/>
        <v>0.1769267709</v>
      </c>
      <c r="M309" s="8">
        <f t="shared" si="4"/>
        <v>0.05307803128</v>
      </c>
      <c r="N309" s="8">
        <f t="shared" si="5"/>
        <v>0.01061560626</v>
      </c>
      <c r="O309" s="8">
        <f t="shared" si="6"/>
        <v>0.0349334</v>
      </c>
      <c r="P309" s="8">
        <f t="shared" si="7"/>
        <v>0.0524001</v>
      </c>
      <c r="Q309" s="8">
        <f t="shared" si="8"/>
        <v>0.0174667</v>
      </c>
      <c r="R309" s="57"/>
      <c r="S309" s="57"/>
      <c r="T309" s="57"/>
      <c r="U309" s="57"/>
      <c r="V309" s="57"/>
      <c r="W309" s="57"/>
      <c r="X309" s="57"/>
      <c r="Y309" s="57"/>
      <c r="Z309" s="61"/>
    </row>
    <row r="310" ht="34.5" customHeight="1">
      <c r="A310" s="54" t="s">
        <v>335</v>
      </c>
      <c r="B310" s="59" t="s">
        <v>336</v>
      </c>
      <c r="C310" s="5" t="s">
        <v>361</v>
      </c>
      <c r="D310" s="59" t="s">
        <v>362</v>
      </c>
      <c r="E310" s="59">
        <v>37.0</v>
      </c>
      <c r="F310" s="60">
        <v>12.74</v>
      </c>
      <c r="G310" s="5">
        <v>1.0</v>
      </c>
      <c r="H310" s="6">
        <v>100.0</v>
      </c>
      <c r="I310" s="60">
        <v>100.0</v>
      </c>
      <c r="J310" s="7">
        <f t="shared" si="1"/>
        <v>35.51482</v>
      </c>
      <c r="K310" s="7">
        <f t="shared" si="2"/>
        <v>32.2862</v>
      </c>
      <c r="L310" s="8">
        <f t="shared" si="3"/>
        <v>0.3270390578</v>
      </c>
      <c r="M310" s="8">
        <f t="shared" si="4"/>
        <v>0.09811171735</v>
      </c>
      <c r="N310" s="8">
        <f t="shared" si="5"/>
        <v>0.01962234347</v>
      </c>
      <c r="O310" s="8">
        <f t="shared" si="6"/>
        <v>0.0645724</v>
      </c>
      <c r="P310" s="8">
        <f t="shared" si="7"/>
        <v>0.0968586</v>
      </c>
      <c r="Q310" s="8">
        <f t="shared" si="8"/>
        <v>0.0322862</v>
      </c>
      <c r="R310" s="57"/>
      <c r="S310" s="57"/>
      <c r="T310" s="57"/>
      <c r="U310" s="57"/>
      <c r="V310" s="57"/>
      <c r="W310" s="57"/>
      <c r="X310" s="57"/>
      <c r="Y310" s="57"/>
      <c r="Z310" s="61"/>
    </row>
    <row r="311" ht="34.5" customHeight="1">
      <c r="A311" s="54" t="s">
        <v>335</v>
      </c>
      <c r="B311" s="59" t="s">
        <v>336</v>
      </c>
      <c r="C311" s="5" t="s">
        <v>361</v>
      </c>
      <c r="D311" s="59" t="s">
        <v>363</v>
      </c>
      <c r="E311" s="59">
        <v>130.0</v>
      </c>
      <c r="F311" s="60">
        <v>12.23</v>
      </c>
      <c r="G311" s="5">
        <v>3.0</v>
      </c>
      <c r="H311" s="6">
        <v>75.83</v>
      </c>
      <c r="I311" s="60">
        <v>75.83</v>
      </c>
      <c r="J311" s="7">
        <f t="shared" si="1"/>
        <v>125.5111</v>
      </c>
      <c r="K311" s="7">
        <f t="shared" si="2"/>
        <v>114.101</v>
      </c>
      <c r="L311" s="8">
        <f t="shared" si="3"/>
        <v>1.155771925</v>
      </c>
      <c r="M311" s="8">
        <f t="shared" si="4"/>
        <v>0.3467315776</v>
      </c>
      <c r="N311" s="8">
        <f t="shared" si="5"/>
        <v>0.06934631553</v>
      </c>
      <c r="O311" s="8">
        <f t="shared" si="6"/>
        <v>0.228202</v>
      </c>
      <c r="P311" s="8">
        <f t="shared" si="7"/>
        <v>0.342303</v>
      </c>
      <c r="Q311" s="8">
        <f t="shared" si="8"/>
        <v>0.114101</v>
      </c>
      <c r="R311" s="57"/>
      <c r="S311" s="57"/>
      <c r="T311" s="57"/>
      <c r="U311" s="57"/>
      <c r="V311" s="57"/>
      <c r="W311" s="57"/>
      <c r="X311" s="57"/>
      <c r="Y311" s="57"/>
      <c r="Z311" s="61"/>
    </row>
    <row r="312" ht="34.5" customHeight="1">
      <c r="A312" s="54" t="s">
        <v>335</v>
      </c>
      <c r="B312" s="59" t="s">
        <v>336</v>
      </c>
      <c r="C312" s="5" t="s">
        <v>361</v>
      </c>
      <c r="D312" s="59" t="s">
        <v>364</v>
      </c>
      <c r="E312" s="59">
        <v>66.0</v>
      </c>
      <c r="F312" s="60">
        <v>6.64</v>
      </c>
      <c r="G312" s="5">
        <v>1.0</v>
      </c>
      <c r="H312" s="6">
        <v>93.22</v>
      </c>
      <c r="I312" s="60">
        <v>100.0</v>
      </c>
      <c r="J312" s="7">
        <f t="shared" si="1"/>
        <v>67.77936</v>
      </c>
      <c r="K312" s="7">
        <f t="shared" si="2"/>
        <v>61.6176</v>
      </c>
      <c r="L312" s="8">
        <f t="shared" si="3"/>
        <v>0.6241478356</v>
      </c>
      <c r="M312" s="8">
        <f t="shared" si="4"/>
        <v>0.1872443507</v>
      </c>
      <c r="N312" s="8">
        <f t="shared" si="5"/>
        <v>0.03744887014</v>
      </c>
      <c r="O312" s="8">
        <f t="shared" si="6"/>
        <v>0.1232352</v>
      </c>
      <c r="P312" s="8">
        <f t="shared" si="7"/>
        <v>0.1848528</v>
      </c>
      <c r="Q312" s="8">
        <f t="shared" si="8"/>
        <v>0.0616176</v>
      </c>
      <c r="R312" s="57"/>
      <c r="S312" s="57"/>
      <c r="T312" s="57"/>
      <c r="U312" s="57"/>
      <c r="V312" s="57"/>
      <c r="W312" s="57"/>
      <c r="X312" s="57"/>
      <c r="Y312" s="57"/>
      <c r="Z312" s="61"/>
    </row>
    <row r="313" ht="34.5" customHeight="1">
      <c r="A313" s="54" t="s">
        <v>335</v>
      </c>
      <c r="B313" s="59" t="s">
        <v>336</v>
      </c>
      <c r="C313" s="5" t="s">
        <v>361</v>
      </c>
      <c r="D313" s="59" t="s">
        <v>365</v>
      </c>
      <c r="E313" s="59">
        <v>1209.0</v>
      </c>
      <c r="F313" s="60">
        <v>27.63</v>
      </c>
      <c r="G313" s="5">
        <v>11.0</v>
      </c>
      <c r="H313" s="6">
        <v>55.81</v>
      </c>
      <c r="I313" s="60">
        <v>67.94</v>
      </c>
      <c r="J313" s="7">
        <f t="shared" si="1"/>
        <v>962.44863</v>
      </c>
      <c r="K313" s="7">
        <f t="shared" si="2"/>
        <v>874.9533</v>
      </c>
      <c r="L313" s="8">
        <f t="shared" si="3"/>
        <v>8.862730916</v>
      </c>
      <c r="M313" s="8">
        <f t="shared" si="4"/>
        <v>2.658819275</v>
      </c>
      <c r="N313" s="8">
        <f t="shared" si="5"/>
        <v>0.5317638549</v>
      </c>
      <c r="O313" s="8">
        <f t="shared" si="6"/>
        <v>1.7499066</v>
      </c>
      <c r="P313" s="8">
        <f t="shared" si="7"/>
        <v>2.6248599</v>
      </c>
      <c r="Q313" s="8">
        <f t="shared" si="8"/>
        <v>0.8749533</v>
      </c>
      <c r="R313" s="57"/>
      <c r="S313" s="57"/>
      <c r="T313" s="57"/>
      <c r="U313" s="57"/>
      <c r="V313" s="57"/>
      <c r="W313" s="57"/>
      <c r="X313" s="57"/>
      <c r="Y313" s="57"/>
      <c r="Z313" s="61"/>
    </row>
    <row r="314" ht="34.5" customHeight="1">
      <c r="A314" s="54" t="s">
        <v>335</v>
      </c>
      <c r="B314" s="59" t="s">
        <v>336</v>
      </c>
      <c r="C314" s="5" t="s">
        <v>361</v>
      </c>
      <c r="D314" s="59" t="s">
        <v>366</v>
      </c>
      <c r="E314" s="59">
        <v>62.0</v>
      </c>
      <c r="F314" s="60">
        <v>15.02</v>
      </c>
      <c r="G314" s="5">
        <v>1.0</v>
      </c>
      <c r="H314" s="6">
        <v>60.68</v>
      </c>
      <c r="I314" s="60">
        <v>100.0</v>
      </c>
      <c r="J314" s="7">
        <f t="shared" si="1"/>
        <v>57.95636</v>
      </c>
      <c r="K314" s="7">
        <f t="shared" si="2"/>
        <v>52.6876</v>
      </c>
      <c r="L314" s="8">
        <f t="shared" si="3"/>
        <v>0.5336925084</v>
      </c>
      <c r="M314" s="8">
        <f t="shared" si="4"/>
        <v>0.1601077525</v>
      </c>
      <c r="N314" s="8">
        <f t="shared" si="5"/>
        <v>0.0320215505</v>
      </c>
      <c r="O314" s="8">
        <f t="shared" si="6"/>
        <v>0.1053752</v>
      </c>
      <c r="P314" s="8">
        <f t="shared" si="7"/>
        <v>0.1580628</v>
      </c>
      <c r="Q314" s="8">
        <f t="shared" si="8"/>
        <v>0.0526876</v>
      </c>
      <c r="R314" s="57"/>
      <c r="S314" s="57"/>
      <c r="T314" s="57"/>
      <c r="U314" s="57"/>
      <c r="V314" s="57"/>
      <c r="W314" s="57"/>
      <c r="X314" s="57"/>
      <c r="Y314" s="57"/>
      <c r="Z314" s="61"/>
    </row>
    <row r="315" ht="34.5" customHeight="1">
      <c r="A315" s="54" t="s">
        <v>335</v>
      </c>
      <c r="B315" s="59" t="s">
        <v>336</v>
      </c>
      <c r="C315" s="5" t="s">
        <v>361</v>
      </c>
      <c r="D315" s="59" t="s">
        <v>367</v>
      </c>
      <c r="E315" s="59">
        <v>27.0</v>
      </c>
      <c r="F315" s="60">
        <v>15.68</v>
      </c>
      <c r="G315" s="5">
        <v>1.0</v>
      </c>
      <c r="H315" s="6">
        <v>100.0</v>
      </c>
      <c r="I315" s="60">
        <v>100.0</v>
      </c>
      <c r="J315" s="7">
        <f t="shared" si="1"/>
        <v>25.04304</v>
      </c>
      <c r="K315" s="7">
        <f t="shared" si="2"/>
        <v>22.7664</v>
      </c>
      <c r="L315" s="8">
        <f t="shared" si="3"/>
        <v>0.2306094247</v>
      </c>
      <c r="M315" s="8">
        <f t="shared" si="4"/>
        <v>0.0691828274</v>
      </c>
      <c r="N315" s="8">
        <f t="shared" si="5"/>
        <v>0.01383656548</v>
      </c>
      <c r="O315" s="8">
        <f t="shared" si="6"/>
        <v>0.0455328</v>
      </c>
      <c r="P315" s="8">
        <f t="shared" si="7"/>
        <v>0.0682992</v>
      </c>
      <c r="Q315" s="8">
        <f t="shared" si="8"/>
        <v>0.0227664</v>
      </c>
      <c r="R315" s="57"/>
      <c r="S315" s="57"/>
      <c r="T315" s="57"/>
      <c r="U315" s="57"/>
      <c r="V315" s="57"/>
      <c r="W315" s="57"/>
      <c r="X315" s="57"/>
      <c r="Y315" s="57"/>
      <c r="Z315" s="61"/>
    </row>
    <row r="316" ht="34.5" customHeight="1">
      <c r="A316" s="54" t="s">
        <v>335</v>
      </c>
      <c r="B316" s="59" t="s">
        <v>336</v>
      </c>
      <c r="C316" s="5" t="s">
        <v>361</v>
      </c>
      <c r="D316" s="59" t="s">
        <v>368</v>
      </c>
      <c r="E316" s="59">
        <v>177.0</v>
      </c>
      <c r="F316" s="60">
        <v>14.7</v>
      </c>
      <c r="G316" s="5">
        <v>2.0</v>
      </c>
      <c r="H316" s="6">
        <v>80.49</v>
      </c>
      <c r="I316" s="60">
        <v>93.1</v>
      </c>
      <c r="J316" s="7">
        <f t="shared" si="1"/>
        <v>166.0791</v>
      </c>
      <c r="K316" s="7">
        <f t="shared" si="2"/>
        <v>150.981</v>
      </c>
      <c r="L316" s="8">
        <f t="shared" si="3"/>
        <v>1.529343311</v>
      </c>
      <c r="M316" s="8">
        <f t="shared" si="4"/>
        <v>0.4588029932</v>
      </c>
      <c r="N316" s="8">
        <f t="shared" si="5"/>
        <v>0.09176059863</v>
      </c>
      <c r="O316" s="8">
        <f t="shared" si="6"/>
        <v>0.301962</v>
      </c>
      <c r="P316" s="8">
        <f t="shared" si="7"/>
        <v>0.452943</v>
      </c>
      <c r="Q316" s="8">
        <f t="shared" si="8"/>
        <v>0.150981</v>
      </c>
      <c r="R316" s="57"/>
      <c r="S316" s="57"/>
      <c r="T316" s="57"/>
      <c r="U316" s="57"/>
      <c r="V316" s="57"/>
      <c r="W316" s="57"/>
      <c r="X316" s="57"/>
      <c r="Y316" s="57"/>
      <c r="Z316" s="61"/>
    </row>
    <row r="317" ht="34.5" customHeight="1">
      <c r="A317" s="54" t="s">
        <v>335</v>
      </c>
      <c r="B317" s="59" t="s">
        <v>336</v>
      </c>
      <c r="C317" s="5" t="s">
        <v>361</v>
      </c>
      <c r="D317" s="59" t="s">
        <v>369</v>
      </c>
      <c r="E317" s="59">
        <v>84.0</v>
      </c>
      <c r="F317" s="60">
        <v>30.08</v>
      </c>
      <c r="G317" s="5">
        <v>1.0</v>
      </c>
      <c r="H317" s="6">
        <v>80.07</v>
      </c>
      <c r="I317" s="60">
        <v>82.8</v>
      </c>
      <c r="J317" s="7">
        <f t="shared" si="1"/>
        <v>64.60608</v>
      </c>
      <c r="K317" s="7">
        <f t="shared" si="2"/>
        <v>58.7328</v>
      </c>
      <c r="L317" s="8">
        <f t="shared" si="3"/>
        <v>0.5949266119</v>
      </c>
      <c r="M317" s="8">
        <f t="shared" si="4"/>
        <v>0.1784779836</v>
      </c>
      <c r="N317" s="8">
        <f t="shared" si="5"/>
        <v>0.03569559671</v>
      </c>
      <c r="O317" s="8">
        <f t="shared" si="6"/>
        <v>0.1174656</v>
      </c>
      <c r="P317" s="8">
        <f t="shared" si="7"/>
        <v>0.1761984</v>
      </c>
      <c r="Q317" s="8">
        <f t="shared" si="8"/>
        <v>0.0587328</v>
      </c>
      <c r="R317" s="57"/>
      <c r="S317" s="57"/>
      <c r="T317" s="57"/>
      <c r="U317" s="57"/>
      <c r="V317" s="57"/>
      <c r="W317" s="57"/>
      <c r="X317" s="57"/>
      <c r="Y317" s="57"/>
      <c r="Z317" s="61"/>
    </row>
    <row r="318" ht="34.5" customHeight="1">
      <c r="A318" s="54" t="s">
        <v>335</v>
      </c>
      <c r="B318" s="59" t="s">
        <v>336</v>
      </c>
      <c r="C318" s="5" t="s">
        <v>361</v>
      </c>
      <c r="D318" s="59" t="s">
        <v>370</v>
      </c>
      <c r="E318" s="59">
        <v>47.0</v>
      </c>
      <c r="F318" s="60">
        <v>17.22</v>
      </c>
      <c r="G318" s="5">
        <v>1.0</v>
      </c>
      <c r="H318" s="6">
        <v>100.0</v>
      </c>
      <c r="I318" s="60">
        <v>100.0</v>
      </c>
      <c r="J318" s="7">
        <f t="shared" si="1"/>
        <v>42.79726</v>
      </c>
      <c r="K318" s="7">
        <f t="shared" si="2"/>
        <v>38.9066</v>
      </c>
      <c r="L318" s="8">
        <f t="shared" si="3"/>
        <v>0.3940995784</v>
      </c>
      <c r="M318" s="8">
        <f t="shared" si="4"/>
        <v>0.1182298735</v>
      </c>
      <c r="N318" s="8">
        <f t="shared" si="5"/>
        <v>0.0236459747</v>
      </c>
      <c r="O318" s="8">
        <f t="shared" si="6"/>
        <v>0.0778132</v>
      </c>
      <c r="P318" s="8">
        <f t="shared" si="7"/>
        <v>0.1167198</v>
      </c>
      <c r="Q318" s="8">
        <f t="shared" si="8"/>
        <v>0.0389066</v>
      </c>
      <c r="R318" s="57"/>
      <c r="S318" s="57"/>
      <c r="T318" s="57"/>
      <c r="U318" s="57"/>
      <c r="V318" s="57"/>
      <c r="W318" s="57"/>
      <c r="X318" s="57"/>
      <c r="Y318" s="57"/>
      <c r="Z318" s="61"/>
    </row>
    <row r="319" ht="34.5" customHeight="1">
      <c r="A319" s="54" t="s">
        <v>335</v>
      </c>
      <c r="B319" s="59" t="s">
        <v>336</v>
      </c>
      <c r="C319" s="5" t="s">
        <v>361</v>
      </c>
      <c r="D319" s="59" t="s">
        <v>371</v>
      </c>
      <c r="E319" s="59">
        <v>29.0</v>
      </c>
      <c r="F319" s="60">
        <v>23.19</v>
      </c>
      <c r="G319" s="5">
        <v>1.0</v>
      </c>
      <c r="H319" s="6">
        <v>0.0</v>
      </c>
      <c r="I319" s="60">
        <v>0.0</v>
      </c>
      <c r="J319" s="7">
        <f t="shared" si="1"/>
        <v>24.50239</v>
      </c>
      <c r="K319" s="7">
        <f t="shared" si="2"/>
        <v>22.2749</v>
      </c>
      <c r="L319" s="8">
        <f t="shared" si="3"/>
        <v>0.2256308364</v>
      </c>
      <c r="M319" s="8">
        <f t="shared" si="4"/>
        <v>0.06768925091</v>
      </c>
      <c r="N319" s="8">
        <f t="shared" si="5"/>
        <v>0.01353785018</v>
      </c>
      <c r="O319" s="8">
        <f t="shared" si="6"/>
        <v>0.0445498</v>
      </c>
      <c r="P319" s="8">
        <f t="shared" si="7"/>
        <v>0.0668247</v>
      </c>
      <c r="Q319" s="8">
        <f t="shared" si="8"/>
        <v>0.0222749</v>
      </c>
      <c r="R319" s="57"/>
      <c r="S319" s="57"/>
      <c r="T319" s="57"/>
      <c r="U319" s="57"/>
      <c r="V319" s="57"/>
      <c r="W319" s="57"/>
      <c r="X319" s="57"/>
      <c r="Y319" s="57"/>
      <c r="Z319" s="61"/>
    </row>
    <row r="320" ht="34.5" customHeight="1">
      <c r="A320" s="54" t="s">
        <v>335</v>
      </c>
      <c r="B320" s="59" t="s">
        <v>336</v>
      </c>
      <c r="C320" s="5" t="s">
        <v>361</v>
      </c>
      <c r="D320" s="59" t="s">
        <v>372</v>
      </c>
      <c r="E320" s="59">
        <v>41.0</v>
      </c>
      <c r="F320" s="60">
        <v>10.28</v>
      </c>
      <c r="G320" s="5">
        <v>2.0</v>
      </c>
      <c r="H320" s="6">
        <v>71.65</v>
      </c>
      <c r="I320" s="60">
        <v>71.65</v>
      </c>
      <c r="J320" s="7">
        <f t="shared" si="1"/>
        <v>40.46372</v>
      </c>
      <c r="K320" s="7">
        <f t="shared" si="2"/>
        <v>36.7852</v>
      </c>
      <c r="L320" s="8">
        <f t="shared" si="3"/>
        <v>0.3726111202</v>
      </c>
      <c r="M320" s="8">
        <f t="shared" si="4"/>
        <v>0.1117833361</v>
      </c>
      <c r="N320" s="8">
        <f t="shared" si="5"/>
        <v>0.02235666721</v>
      </c>
      <c r="O320" s="8">
        <f t="shared" si="6"/>
        <v>0.0735704</v>
      </c>
      <c r="P320" s="8">
        <f t="shared" si="7"/>
        <v>0.1103556</v>
      </c>
      <c r="Q320" s="8">
        <f t="shared" si="8"/>
        <v>0.0367852</v>
      </c>
      <c r="R320" s="57"/>
      <c r="S320" s="57"/>
      <c r="T320" s="57"/>
      <c r="U320" s="57"/>
      <c r="V320" s="57"/>
      <c r="W320" s="57"/>
      <c r="X320" s="57"/>
      <c r="Y320" s="57"/>
      <c r="Z320" s="61"/>
    </row>
    <row r="321" ht="34.5" customHeight="1">
      <c r="A321" s="54" t="s">
        <v>335</v>
      </c>
      <c r="B321" s="59" t="s">
        <v>336</v>
      </c>
      <c r="C321" s="5" t="s">
        <v>361</v>
      </c>
      <c r="D321" s="59" t="s">
        <v>373</v>
      </c>
      <c r="E321" s="59">
        <v>17.0</v>
      </c>
      <c r="F321" s="60">
        <v>12.89</v>
      </c>
      <c r="G321" s="5">
        <v>1.0</v>
      </c>
      <c r="H321" s="6">
        <v>100.0</v>
      </c>
      <c r="I321" s="60">
        <v>100.0</v>
      </c>
      <c r="J321" s="7">
        <f t="shared" si="1"/>
        <v>16.28957</v>
      </c>
      <c r="K321" s="7">
        <f t="shared" si="2"/>
        <v>14.8087</v>
      </c>
      <c r="L321" s="8">
        <f t="shared" si="3"/>
        <v>0.1500028896</v>
      </c>
      <c r="M321" s="8">
        <f t="shared" si="4"/>
        <v>0.04500086689</v>
      </c>
      <c r="N321" s="8">
        <f t="shared" si="5"/>
        <v>0.009000173379</v>
      </c>
      <c r="O321" s="8">
        <f t="shared" si="6"/>
        <v>0.0296174</v>
      </c>
      <c r="P321" s="8">
        <f t="shared" si="7"/>
        <v>0.0444261</v>
      </c>
      <c r="Q321" s="8">
        <f t="shared" si="8"/>
        <v>0.0148087</v>
      </c>
      <c r="R321" s="57"/>
      <c r="S321" s="57"/>
      <c r="T321" s="57"/>
      <c r="U321" s="57"/>
      <c r="V321" s="57"/>
      <c r="W321" s="57"/>
      <c r="X321" s="57"/>
      <c r="Y321" s="57"/>
      <c r="Z321" s="61"/>
    </row>
    <row r="322" ht="34.5" customHeight="1">
      <c r="A322" s="54" t="s">
        <v>335</v>
      </c>
      <c r="B322" s="59" t="s">
        <v>336</v>
      </c>
      <c r="C322" s="5" t="s">
        <v>361</v>
      </c>
      <c r="D322" s="59" t="s">
        <v>374</v>
      </c>
      <c r="E322" s="59">
        <v>66.0</v>
      </c>
      <c r="F322" s="60">
        <v>17.23</v>
      </c>
      <c r="G322" s="5">
        <v>1.0</v>
      </c>
      <c r="H322" s="6">
        <v>100.0</v>
      </c>
      <c r="I322" s="60">
        <v>100.0</v>
      </c>
      <c r="J322" s="7">
        <f t="shared" si="1"/>
        <v>60.09102</v>
      </c>
      <c r="K322" s="7">
        <f t="shared" si="2"/>
        <v>54.6282</v>
      </c>
      <c r="L322" s="8">
        <f t="shared" si="3"/>
        <v>0.5533495753</v>
      </c>
      <c r="M322" s="8">
        <f t="shared" si="4"/>
        <v>0.1660048726</v>
      </c>
      <c r="N322" s="8">
        <f t="shared" si="5"/>
        <v>0.03320097452</v>
      </c>
      <c r="O322" s="8">
        <f t="shared" si="6"/>
        <v>0.1092564</v>
      </c>
      <c r="P322" s="8">
        <f t="shared" si="7"/>
        <v>0.1638846</v>
      </c>
      <c r="Q322" s="8">
        <f t="shared" si="8"/>
        <v>0.0546282</v>
      </c>
      <c r="R322" s="57"/>
      <c r="S322" s="57"/>
      <c r="T322" s="57"/>
      <c r="U322" s="57"/>
      <c r="V322" s="57"/>
      <c r="W322" s="57"/>
      <c r="X322" s="57"/>
      <c r="Y322" s="57"/>
      <c r="Z322" s="61"/>
    </row>
    <row r="323" ht="34.5" customHeight="1">
      <c r="A323" s="54" t="s">
        <v>335</v>
      </c>
      <c r="B323" s="59" t="s">
        <v>336</v>
      </c>
      <c r="C323" s="5" t="s">
        <v>361</v>
      </c>
      <c r="D323" s="59" t="s">
        <v>375</v>
      </c>
      <c r="E323" s="59">
        <v>717.0</v>
      </c>
      <c r="F323" s="60">
        <v>19.04</v>
      </c>
      <c r="G323" s="5">
        <v>9.0</v>
      </c>
      <c r="H323" s="6">
        <v>70.73</v>
      </c>
      <c r="I323" s="60">
        <v>80.95</v>
      </c>
      <c r="J323" s="7">
        <f t="shared" si="1"/>
        <v>638.53152</v>
      </c>
      <c r="K323" s="7">
        <f t="shared" si="2"/>
        <v>580.4832</v>
      </c>
      <c r="L323" s="8">
        <f t="shared" si="3"/>
        <v>5.879932566</v>
      </c>
      <c r="M323" s="8">
        <f t="shared" si="4"/>
        <v>1.76397977</v>
      </c>
      <c r="N323" s="8">
        <f t="shared" si="5"/>
        <v>0.352795954</v>
      </c>
      <c r="O323" s="8">
        <f t="shared" si="6"/>
        <v>1.1609664</v>
      </c>
      <c r="P323" s="8">
        <f t="shared" si="7"/>
        <v>1.7414496</v>
      </c>
      <c r="Q323" s="8">
        <f t="shared" si="8"/>
        <v>0.5804832</v>
      </c>
      <c r="R323" s="57"/>
      <c r="S323" s="57"/>
      <c r="T323" s="57"/>
      <c r="U323" s="57"/>
      <c r="V323" s="57"/>
      <c r="W323" s="57"/>
      <c r="X323" s="57"/>
      <c r="Y323" s="57"/>
      <c r="Z323" s="61"/>
    </row>
    <row r="324" ht="34.5" customHeight="1">
      <c r="A324" s="54" t="s">
        <v>335</v>
      </c>
      <c r="B324" s="59" t="s">
        <v>336</v>
      </c>
      <c r="C324" s="5" t="s">
        <v>361</v>
      </c>
      <c r="D324" s="59" t="s">
        <v>376</v>
      </c>
      <c r="E324" s="59">
        <v>52.0</v>
      </c>
      <c r="F324" s="60">
        <v>18.28</v>
      </c>
      <c r="G324" s="5">
        <v>1.0</v>
      </c>
      <c r="H324" s="6">
        <v>100.0</v>
      </c>
      <c r="I324" s="60">
        <v>100.0</v>
      </c>
      <c r="J324" s="7">
        <f t="shared" si="1"/>
        <v>46.74384</v>
      </c>
      <c r="K324" s="7">
        <f t="shared" si="2"/>
        <v>42.4944</v>
      </c>
      <c r="L324" s="8">
        <f t="shared" si="3"/>
        <v>0.4304417534</v>
      </c>
      <c r="M324" s="8">
        <f t="shared" si="4"/>
        <v>0.129132526</v>
      </c>
      <c r="N324" s="8">
        <f t="shared" si="5"/>
        <v>0.02582650521</v>
      </c>
      <c r="O324" s="8">
        <f t="shared" si="6"/>
        <v>0.0849888</v>
      </c>
      <c r="P324" s="8">
        <f t="shared" si="7"/>
        <v>0.1274832</v>
      </c>
      <c r="Q324" s="8">
        <f t="shared" si="8"/>
        <v>0.0424944</v>
      </c>
      <c r="R324" s="57"/>
      <c r="S324" s="57"/>
      <c r="T324" s="57"/>
      <c r="U324" s="57"/>
      <c r="V324" s="57"/>
      <c r="W324" s="57"/>
      <c r="X324" s="57"/>
      <c r="Y324" s="57"/>
      <c r="Z324" s="61"/>
    </row>
    <row r="325" ht="34.5" customHeight="1">
      <c r="A325" s="54" t="s">
        <v>335</v>
      </c>
      <c r="B325" s="59" t="s">
        <v>336</v>
      </c>
      <c r="C325" s="5" t="s">
        <v>361</v>
      </c>
      <c r="D325" s="59" t="s">
        <v>377</v>
      </c>
      <c r="E325" s="59">
        <v>44.0</v>
      </c>
      <c r="F325" s="60">
        <v>24.25</v>
      </c>
      <c r="G325" s="5">
        <v>1.0</v>
      </c>
      <c r="H325" s="6">
        <v>100.0</v>
      </c>
      <c r="I325" s="60">
        <v>100.0</v>
      </c>
      <c r="J325" s="7">
        <f t="shared" si="1"/>
        <v>36.663</v>
      </c>
      <c r="K325" s="7">
        <f t="shared" si="2"/>
        <v>33.33</v>
      </c>
      <c r="L325" s="8">
        <f t="shared" si="3"/>
        <v>0.3376121005</v>
      </c>
      <c r="M325" s="8">
        <f t="shared" si="4"/>
        <v>0.1012836301</v>
      </c>
      <c r="N325" s="8">
        <f t="shared" si="5"/>
        <v>0.02025672603</v>
      </c>
      <c r="O325" s="8">
        <f t="shared" si="6"/>
        <v>0.06666</v>
      </c>
      <c r="P325" s="8">
        <f t="shared" si="7"/>
        <v>0.09999</v>
      </c>
      <c r="Q325" s="8">
        <f t="shared" si="8"/>
        <v>0.03333</v>
      </c>
      <c r="R325" s="57"/>
      <c r="S325" s="57"/>
      <c r="T325" s="57"/>
      <c r="U325" s="57"/>
      <c r="V325" s="57"/>
      <c r="W325" s="57"/>
      <c r="X325" s="57"/>
      <c r="Y325" s="57"/>
      <c r="Z325" s="61"/>
    </row>
    <row r="326" ht="34.5" customHeight="1">
      <c r="A326" s="54" t="s">
        <v>335</v>
      </c>
      <c r="B326" s="64" t="s">
        <v>336</v>
      </c>
      <c r="C326" s="25" t="s">
        <v>361</v>
      </c>
      <c r="D326" s="64" t="s">
        <v>378</v>
      </c>
      <c r="E326" s="59">
        <v>11.0</v>
      </c>
      <c r="F326" s="60">
        <v>20.6</v>
      </c>
      <c r="G326" s="5">
        <v>1.0</v>
      </c>
      <c r="H326" s="6">
        <v>100.0</v>
      </c>
      <c r="I326" s="60">
        <v>100.0</v>
      </c>
      <c r="J326" s="7">
        <f t="shared" si="1"/>
        <v>9.6074</v>
      </c>
      <c r="K326" s="7">
        <f t="shared" si="2"/>
        <v>8.734</v>
      </c>
      <c r="L326" s="8">
        <f t="shared" si="3"/>
        <v>0.08846996956</v>
      </c>
      <c r="M326" s="8">
        <f t="shared" si="4"/>
        <v>0.02654099087</v>
      </c>
      <c r="N326" s="8">
        <f t="shared" si="5"/>
        <v>0.005308198174</v>
      </c>
      <c r="O326" s="8">
        <f t="shared" si="6"/>
        <v>0.017468</v>
      </c>
      <c r="P326" s="8">
        <f t="shared" si="7"/>
        <v>0.026202</v>
      </c>
      <c r="Q326" s="8">
        <f t="shared" si="8"/>
        <v>0.008734</v>
      </c>
      <c r="R326" s="57"/>
      <c r="S326" s="57"/>
      <c r="T326" s="57"/>
      <c r="U326" s="57"/>
      <c r="V326" s="57"/>
      <c r="W326" s="57"/>
      <c r="X326" s="57"/>
      <c r="Y326" s="57"/>
      <c r="Z326" s="61"/>
    </row>
    <row r="327" ht="34.5" customHeight="1">
      <c r="A327" s="24" t="s">
        <v>335</v>
      </c>
      <c r="B327" s="65" t="s">
        <v>379</v>
      </c>
      <c r="C327" s="65" t="s">
        <v>380</v>
      </c>
      <c r="D327" s="65" t="s">
        <v>381</v>
      </c>
      <c r="E327" s="65">
        <v>46.0</v>
      </c>
      <c r="F327" s="66">
        <v>38.33</v>
      </c>
      <c r="G327" s="62">
        <v>3.0</v>
      </c>
      <c r="H327" s="63">
        <v>100.0</v>
      </c>
      <c r="I327" s="63">
        <v>100.0</v>
      </c>
      <c r="J327" s="67">
        <v>61.03856</v>
      </c>
      <c r="K327" s="67">
        <v>55.4896</v>
      </c>
      <c r="L327" s="8">
        <f t="shared" si="3"/>
        <v>0.5620750198</v>
      </c>
      <c r="M327" s="8">
        <f t="shared" si="4"/>
        <v>0.1686225059</v>
      </c>
      <c r="N327" s="8">
        <f t="shared" si="5"/>
        <v>0.03372450119</v>
      </c>
      <c r="O327" s="8">
        <f t="shared" si="6"/>
        <v>0.1109792</v>
      </c>
      <c r="P327" s="8">
        <f t="shared" si="7"/>
        <v>0.1664688</v>
      </c>
      <c r="Q327" s="8">
        <f t="shared" si="8"/>
        <v>0.0554896</v>
      </c>
      <c r="R327" s="57"/>
      <c r="S327" s="57"/>
      <c r="T327" s="57"/>
      <c r="U327" s="57"/>
      <c r="V327" s="57"/>
      <c r="W327" s="57"/>
      <c r="X327" s="57"/>
      <c r="Y327" s="57"/>
      <c r="Z327" s="17"/>
    </row>
    <row r="328" ht="34.5" customHeight="1">
      <c r="A328" s="24" t="s">
        <v>335</v>
      </c>
      <c r="B328" s="62" t="s">
        <v>379</v>
      </c>
      <c r="C328" s="65" t="s">
        <v>380</v>
      </c>
      <c r="D328" s="65" t="s">
        <v>380</v>
      </c>
      <c r="E328" s="65">
        <v>1153.0</v>
      </c>
      <c r="F328" s="66">
        <v>40.84</v>
      </c>
      <c r="G328" s="62">
        <v>23.0</v>
      </c>
      <c r="H328" s="63">
        <v>65.11</v>
      </c>
      <c r="I328" s="63">
        <v>97.51</v>
      </c>
      <c r="J328" s="67">
        <v>844.65051</v>
      </c>
      <c r="K328" s="67">
        <v>767.8641</v>
      </c>
      <c r="L328" s="8">
        <f t="shared" si="3"/>
        <v>7.777984148</v>
      </c>
      <c r="M328" s="8">
        <f t="shared" si="4"/>
        <v>2.333395245</v>
      </c>
      <c r="N328" s="8">
        <f t="shared" si="5"/>
        <v>0.4666790489</v>
      </c>
      <c r="O328" s="8">
        <f t="shared" si="6"/>
        <v>1.5357282</v>
      </c>
      <c r="P328" s="8">
        <f t="shared" si="7"/>
        <v>2.3035923</v>
      </c>
      <c r="Q328" s="8">
        <f t="shared" si="8"/>
        <v>0.7678641</v>
      </c>
      <c r="R328" s="57"/>
      <c r="S328" s="57"/>
      <c r="T328" s="57"/>
      <c r="U328" s="57"/>
      <c r="V328" s="57"/>
      <c r="W328" s="57"/>
      <c r="X328" s="57"/>
      <c r="Y328" s="57"/>
      <c r="Z328" s="17"/>
    </row>
    <row r="329" ht="34.5" customHeight="1">
      <c r="A329" s="24" t="s">
        <v>335</v>
      </c>
      <c r="B329" s="62" t="s">
        <v>379</v>
      </c>
      <c r="C329" s="65" t="s">
        <v>380</v>
      </c>
      <c r="D329" s="65" t="s">
        <v>382</v>
      </c>
      <c r="E329" s="65">
        <v>52.0</v>
      </c>
      <c r="F329" s="66">
        <v>45.91</v>
      </c>
      <c r="G329" s="62">
        <v>2.0</v>
      </c>
      <c r="H329" s="63">
        <v>0.0</v>
      </c>
      <c r="I329" s="63">
        <v>100.0</v>
      </c>
      <c r="J329" s="67">
        <v>44.24365</v>
      </c>
      <c r="K329" s="67">
        <v>40.2215</v>
      </c>
      <c r="L329" s="8">
        <f t="shared" si="3"/>
        <v>0.4074186948</v>
      </c>
      <c r="M329" s="8">
        <f t="shared" si="4"/>
        <v>0.1222256084</v>
      </c>
      <c r="N329" s="8">
        <f t="shared" si="5"/>
        <v>0.02444512169</v>
      </c>
      <c r="O329" s="8">
        <f t="shared" si="6"/>
        <v>0.080443</v>
      </c>
      <c r="P329" s="8">
        <f t="shared" si="7"/>
        <v>0.1206645</v>
      </c>
      <c r="Q329" s="8">
        <f t="shared" si="8"/>
        <v>0.0402215</v>
      </c>
      <c r="R329" s="57"/>
      <c r="S329" s="57"/>
      <c r="T329" s="57"/>
      <c r="U329" s="57"/>
      <c r="V329" s="57"/>
      <c r="W329" s="57"/>
      <c r="X329" s="57"/>
      <c r="Y329" s="57"/>
      <c r="Z329" s="17"/>
    </row>
    <row r="330" ht="34.5" customHeight="1">
      <c r="A330" s="24" t="s">
        <v>335</v>
      </c>
      <c r="B330" s="62" t="s">
        <v>379</v>
      </c>
      <c r="C330" s="65" t="s">
        <v>380</v>
      </c>
      <c r="D330" s="65" t="s">
        <v>383</v>
      </c>
      <c r="E330" s="65">
        <v>29.0</v>
      </c>
      <c r="F330" s="66">
        <v>34.41</v>
      </c>
      <c r="G330" s="62">
        <v>1.0</v>
      </c>
      <c r="H330" s="63">
        <v>0.0</v>
      </c>
      <c r="I330" s="63">
        <v>0.0</v>
      </c>
      <c r="J330" s="67">
        <v>22.30767</v>
      </c>
      <c r="K330" s="67">
        <v>20.2797</v>
      </c>
      <c r="L330" s="8">
        <f t="shared" si="3"/>
        <v>0.2054207055</v>
      </c>
      <c r="M330" s="8">
        <f t="shared" si="4"/>
        <v>0.06162621164</v>
      </c>
      <c r="N330" s="8">
        <f t="shared" si="5"/>
        <v>0.01232524233</v>
      </c>
      <c r="O330" s="8">
        <f t="shared" si="6"/>
        <v>0.0405594</v>
      </c>
      <c r="P330" s="8">
        <f t="shared" si="7"/>
        <v>0.0608391</v>
      </c>
      <c r="Q330" s="8">
        <f t="shared" si="8"/>
        <v>0.0202797</v>
      </c>
      <c r="R330" s="57"/>
      <c r="S330" s="57"/>
      <c r="T330" s="57"/>
      <c r="U330" s="57"/>
      <c r="V330" s="57"/>
      <c r="W330" s="57"/>
      <c r="X330" s="57"/>
      <c r="Y330" s="57"/>
      <c r="Z330" s="17"/>
    </row>
    <row r="331" ht="34.5" customHeight="1">
      <c r="A331" s="24" t="s">
        <v>335</v>
      </c>
      <c r="B331" s="62" t="s">
        <v>379</v>
      </c>
      <c r="C331" s="65" t="s">
        <v>380</v>
      </c>
      <c r="D331" s="65" t="s">
        <v>384</v>
      </c>
      <c r="E331" s="65">
        <v>19.0</v>
      </c>
      <c r="F331" s="66">
        <v>26.47</v>
      </c>
      <c r="G331" s="62">
        <v>1.0</v>
      </c>
      <c r="H331" s="63">
        <v>0.0</v>
      </c>
      <c r="I331" s="63">
        <v>100.0</v>
      </c>
      <c r="J331" s="67">
        <v>21.13375</v>
      </c>
      <c r="K331" s="67">
        <v>19.2125</v>
      </c>
      <c r="L331" s="8">
        <f t="shared" si="3"/>
        <v>0.1946106355</v>
      </c>
      <c r="M331" s="8">
        <f t="shared" si="4"/>
        <v>0.05838319064</v>
      </c>
      <c r="N331" s="8">
        <f t="shared" si="5"/>
        <v>0.01167663813</v>
      </c>
      <c r="O331" s="8">
        <f t="shared" si="6"/>
        <v>0.038425</v>
      </c>
      <c r="P331" s="8">
        <f t="shared" si="7"/>
        <v>0.0576375</v>
      </c>
      <c r="Q331" s="8">
        <f t="shared" si="8"/>
        <v>0.0192125</v>
      </c>
      <c r="R331" s="57"/>
      <c r="S331" s="57"/>
      <c r="T331" s="57"/>
      <c r="U331" s="57"/>
      <c r="V331" s="57"/>
      <c r="W331" s="57"/>
      <c r="X331" s="57"/>
      <c r="Y331" s="57"/>
      <c r="Z331" s="17"/>
    </row>
    <row r="332" ht="34.5" customHeight="1">
      <c r="A332" s="24" t="s">
        <v>335</v>
      </c>
      <c r="B332" s="62" t="s">
        <v>379</v>
      </c>
      <c r="C332" s="65" t="s">
        <v>380</v>
      </c>
      <c r="D332" s="65" t="s">
        <v>385</v>
      </c>
      <c r="E332" s="65">
        <v>45.0</v>
      </c>
      <c r="F332" s="66">
        <v>26.64</v>
      </c>
      <c r="G332" s="62">
        <v>2.0</v>
      </c>
      <c r="H332" s="63">
        <v>100.0</v>
      </c>
      <c r="I332" s="63">
        <v>100.0</v>
      </c>
      <c r="J332" s="67">
        <v>40.8683</v>
      </c>
      <c r="K332" s="67">
        <v>37.153</v>
      </c>
      <c r="L332" s="8">
        <f t="shared" si="3"/>
        <v>0.3763367047</v>
      </c>
      <c r="M332" s="8">
        <f t="shared" si="4"/>
        <v>0.1129010114</v>
      </c>
      <c r="N332" s="8">
        <f t="shared" si="5"/>
        <v>0.02258020228</v>
      </c>
      <c r="O332" s="8">
        <f t="shared" si="6"/>
        <v>0.074306</v>
      </c>
      <c r="P332" s="8">
        <f t="shared" si="7"/>
        <v>0.111459</v>
      </c>
      <c r="Q332" s="8">
        <f t="shared" si="8"/>
        <v>0.037153</v>
      </c>
      <c r="R332" s="57"/>
      <c r="S332" s="57"/>
      <c r="T332" s="57"/>
      <c r="U332" s="57"/>
      <c r="V332" s="57"/>
      <c r="W332" s="57"/>
      <c r="X332" s="57"/>
      <c r="Y332" s="57"/>
      <c r="Z332" s="17"/>
    </row>
    <row r="333" ht="34.5" customHeight="1">
      <c r="A333" s="24" t="s">
        <v>335</v>
      </c>
      <c r="B333" s="62" t="s">
        <v>379</v>
      </c>
      <c r="C333" s="65" t="s">
        <v>380</v>
      </c>
      <c r="D333" s="65" t="s">
        <v>386</v>
      </c>
      <c r="E333" s="65">
        <v>100.0</v>
      </c>
      <c r="F333" s="66">
        <v>22.04</v>
      </c>
      <c r="G333" s="62">
        <v>3.0</v>
      </c>
      <c r="H333" s="63">
        <v>43.16</v>
      </c>
      <c r="I333" s="63">
        <v>80.7</v>
      </c>
      <c r="J333" s="67">
        <v>68.77728</v>
      </c>
      <c r="K333" s="67">
        <v>62.5248</v>
      </c>
      <c r="L333" s="8">
        <f t="shared" si="3"/>
        <v>0.6333372055</v>
      </c>
      <c r="M333" s="8">
        <f t="shared" si="4"/>
        <v>0.1900011616</v>
      </c>
      <c r="N333" s="8">
        <f t="shared" si="5"/>
        <v>0.03800023233</v>
      </c>
      <c r="O333" s="8">
        <f t="shared" si="6"/>
        <v>0.1250496</v>
      </c>
      <c r="P333" s="8">
        <f t="shared" si="7"/>
        <v>0.1875744</v>
      </c>
      <c r="Q333" s="8">
        <f t="shared" si="8"/>
        <v>0.0625248</v>
      </c>
      <c r="R333" s="57"/>
      <c r="S333" s="57"/>
      <c r="T333" s="57"/>
      <c r="U333" s="57"/>
      <c r="V333" s="57"/>
      <c r="W333" s="57"/>
      <c r="X333" s="57"/>
      <c r="Y333" s="57"/>
      <c r="Z333" s="17"/>
    </row>
    <row r="334" ht="34.5" customHeight="1">
      <c r="A334" s="24" t="s">
        <v>335</v>
      </c>
      <c r="B334" s="62" t="s">
        <v>379</v>
      </c>
      <c r="C334" s="65" t="s">
        <v>380</v>
      </c>
      <c r="D334" s="65" t="s">
        <v>387</v>
      </c>
      <c r="E334" s="65">
        <v>212.0</v>
      </c>
      <c r="F334" s="66">
        <v>21.95</v>
      </c>
      <c r="G334" s="62">
        <v>5.0</v>
      </c>
      <c r="H334" s="63">
        <v>0.0</v>
      </c>
      <c r="I334" s="63">
        <v>19.66</v>
      </c>
      <c r="J334" s="67">
        <v>169.69425</v>
      </c>
      <c r="K334" s="67">
        <v>154.2675</v>
      </c>
      <c r="L334" s="8">
        <f t="shared" si="3"/>
        <v>1.562633505</v>
      </c>
      <c r="M334" s="8">
        <f t="shared" si="4"/>
        <v>0.4687900514</v>
      </c>
      <c r="N334" s="8">
        <f t="shared" si="5"/>
        <v>0.09375801027</v>
      </c>
      <c r="O334" s="8">
        <f t="shared" si="6"/>
        <v>0.308535</v>
      </c>
      <c r="P334" s="8">
        <f t="shared" si="7"/>
        <v>0.4628025</v>
      </c>
      <c r="Q334" s="8">
        <f t="shared" si="8"/>
        <v>0.1542675</v>
      </c>
      <c r="R334" s="57"/>
      <c r="S334" s="57"/>
      <c r="T334" s="57"/>
      <c r="U334" s="57"/>
      <c r="V334" s="57"/>
      <c r="W334" s="57"/>
      <c r="X334" s="57"/>
      <c r="Y334" s="57"/>
      <c r="Z334" s="17"/>
    </row>
    <row r="335" ht="34.5" customHeight="1">
      <c r="A335" s="24" t="s">
        <v>335</v>
      </c>
      <c r="B335" s="62" t="s">
        <v>379</v>
      </c>
      <c r="C335" s="65" t="s">
        <v>380</v>
      </c>
      <c r="D335" s="65" t="s">
        <v>388</v>
      </c>
      <c r="E335" s="65">
        <v>46.0</v>
      </c>
      <c r="F335" s="66">
        <v>19.05</v>
      </c>
      <c r="G335" s="62">
        <v>1.0</v>
      </c>
      <c r="H335" s="63">
        <v>0.0</v>
      </c>
      <c r="I335" s="63">
        <v>0.0</v>
      </c>
      <c r="J335" s="67">
        <v>28.91658</v>
      </c>
      <c r="K335" s="67">
        <v>26.2878</v>
      </c>
      <c r="L335" s="8">
        <f t="shared" si="3"/>
        <v>0.2662790091</v>
      </c>
      <c r="M335" s="8">
        <f t="shared" si="4"/>
        <v>0.07988370274</v>
      </c>
      <c r="N335" s="8">
        <f t="shared" si="5"/>
        <v>0.01597674055</v>
      </c>
      <c r="O335" s="8">
        <f t="shared" si="6"/>
        <v>0.0525756</v>
      </c>
      <c r="P335" s="8">
        <f t="shared" si="7"/>
        <v>0.0788634</v>
      </c>
      <c r="Q335" s="8">
        <f t="shared" si="8"/>
        <v>0.0262878</v>
      </c>
      <c r="R335" s="57"/>
      <c r="S335" s="57"/>
      <c r="T335" s="57"/>
      <c r="U335" s="57"/>
      <c r="V335" s="57"/>
      <c r="W335" s="57"/>
      <c r="X335" s="57"/>
      <c r="Y335" s="57"/>
      <c r="Z335" s="17"/>
    </row>
    <row r="336" ht="34.5" customHeight="1">
      <c r="A336" s="24" t="s">
        <v>335</v>
      </c>
      <c r="B336" s="62" t="s">
        <v>379</v>
      </c>
      <c r="C336" s="65" t="s">
        <v>380</v>
      </c>
      <c r="D336" s="65" t="s">
        <v>389</v>
      </c>
      <c r="E336" s="65">
        <v>67.0</v>
      </c>
      <c r="F336" s="66">
        <v>23.5</v>
      </c>
      <c r="G336" s="62">
        <v>1.0</v>
      </c>
      <c r="H336" s="63">
        <v>100.0</v>
      </c>
      <c r="I336" s="63">
        <v>100.0</v>
      </c>
      <c r="J336" s="67">
        <v>51.6648</v>
      </c>
      <c r="K336" s="67">
        <v>46.968</v>
      </c>
      <c r="L336" s="8">
        <f t="shared" si="3"/>
        <v>0.4757565297</v>
      </c>
      <c r="M336" s="8">
        <f t="shared" si="4"/>
        <v>0.1427269589</v>
      </c>
      <c r="N336" s="8">
        <f t="shared" si="5"/>
        <v>0.02854539178</v>
      </c>
      <c r="O336" s="8">
        <f t="shared" si="6"/>
        <v>0.093936</v>
      </c>
      <c r="P336" s="8">
        <f t="shared" si="7"/>
        <v>0.140904</v>
      </c>
      <c r="Q336" s="8">
        <f t="shared" si="8"/>
        <v>0.046968</v>
      </c>
      <c r="R336" s="57"/>
      <c r="S336" s="57"/>
      <c r="T336" s="57"/>
      <c r="U336" s="57"/>
      <c r="V336" s="57"/>
      <c r="W336" s="57"/>
      <c r="X336" s="57"/>
      <c r="Y336" s="57"/>
      <c r="Z336" s="17"/>
    </row>
    <row r="337" ht="34.5" customHeight="1">
      <c r="A337" s="24" t="s">
        <v>335</v>
      </c>
      <c r="B337" s="62" t="s">
        <v>379</v>
      </c>
      <c r="C337" s="65" t="s">
        <v>380</v>
      </c>
      <c r="D337" s="65" t="s">
        <v>390</v>
      </c>
      <c r="E337" s="65">
        <v>407.0</v>
      </c>
      <c r="F337" s="66">
        <v>26.43</v>
      </c>
      <c r="G337" s="62">
        <v>5.0</v>
      </c>
      <c r="H337" s="63">
        <v>0.0</v>
      </c>
      <c r="I337" s="63">
        <v>80.39</v>
      </c>
      <c r="J337" s="67">
        <v>351.2124</v>
      </c>
      <c r="K337" s="67">
        <v>319.284</v>
      </c>
      <c r="L337" s="8">
        <f t="shared" si="3"/>
        <v>3.234147671</v>
      </c>
      <c r="M337" s="8">
        <f t="shared" si="4"/>
        <v>0.9702443014</v>
      </c>
      <c r="N337" s="8">
        <f t="shared" si="5"/>
        <v>0.1940488603</v>
      </c>
      <c r="O337" s="8">
        <f t="shared" si="6"/>
        <v>0.638568</v>
      </c>
      <c r="P337" s="8">
        <f t="shared" si="7"/>
        <v>0.957852</v>
      </c>
      <c r="Q337" s="8">
        <f t="shared" si="8"/>
        <v>0.319284</v>
      </c>
      <c r="R337" s="57"/>
      <c r="S337" s="57"/>
      <c r="T337" s="57"/>
      <c r="U337" s="57"/>
      <c r="V337" s="57"/>
      <c r="W337" s="57"/>
      <c r="X337" s="57"/>
      <c r="Y337" s="57"/>
      <c r="Z337" s="17"/>
    </row>
    <row r="338" ht="34.5" customHeight="1">
      <c r="A338" s="24" t="s">
        <v>335</v>
      </c>
      <c r="B338" s="62" t="s">
        <v>379</v>
      </c>
      <c r="C338" s="65" t="s">
        <v>380</v>
      </c>
      <c r="D338" s="65" t="s">
        <v>391</v>
      </c>
      <c r="E338" s="65">
        <v>89.0</v>
      </c>
      <c r="F338" s="66">
        <v>29.19</v>
      </c>
      <c r="G338" s="62">
        <v>3.0</v>
      </c>
      <c r="H338" s="63">
        <v>77.97</v>
      </c>
      <c r="I338" s="63">
        <v>100.0</v>
      </c>
      <c r="J338" s="67">
        <v>107.1972</v>
      </c>
      <c r="K338" s="67">
        <v>97.452</v>
      </c>
      <c r="L338" s="8">
        <f t="shared" si="3"/>
        <v>0.9871279452</v>
      </c>
      <c r="M338" s="8">
        <f t="shared" si="4"/>
        <v>0.2961383836</v>
      </c>
      <c r="N338" s="8">
        <f t="shared" si="5"/>
        <v>0.05922767671</v>
      </c>
      <c r="O338" s="8">
        <f t="shared" si="6"/>
        <v>0.194904</v>
      </c>
      <c r="P338" s="8">
        <f t="shared" si="7"/>
        <v>0.292356</v>
      </c>
      <c r="Q338" s="8">
        <f t="shared" si="8"/>
        <v>0.097452</v>
      </c>
      <c r="R338" s="57"/>
      <c r="S338" s="57"/>
      <c r="T338" s="57"/>
      <c r="U338" s="57"/>
      <c r="V338" s="57"/>
      <c r="W338" s="57"/>
      <c r="X338" s="57"/>
      <c r="Y338" s="57"/>
      <c r="Z338" s="17"/>
    </row>
    <row r="339" ht="34.5" customHeight="1">
      <c r="A339" s="24" t="s">
        <v>335</v>
      </c>
      <c r="B339" s="62" t="s">
        <v>379</v>
      </c>
      <c r="C339" s="65" t="s">
        <v>380</v>
      </c>
      <c r="D339" s="65" t="s">
        <v>392</v>
      </c>
      <c r="E339" s="65">
        <v>56.0</v>
      </c>
      <c r="F339" s="66">
        <v>29.19</v>
      </c>
      <c r="G339" s="62">
        <v>2.0</v>
      </c>
      <c r="H339" s="63">
        <v>0.0</v>
      </c>
      <c r="I339" s="63">
        <v>0.0</v>
      </c>
      <c r="J339" s="67">
        <v>43.94643</v>
      </c>
      <c r="K339" s="67">
        <v>39.9513</v>
      </c>
      <c r="L339" s="8">
        <f t="shared" si="3"/>
        <v>0.4046817374</v>
      </c>
      <c r="M339" s="8">
        <f t="shared" si="4"/>
        <v>0.1214045212</v>
      </c>
      <c r="N339" s="8">
        <f t="shared" si="5"/>
        <v>0.02428090425</v>
      </c>
      <c r="O339" s="8">
        <f t="shared" si="6"/>
        <v>0.0799026</v>
      </c>
      <c r="P339" s="8">
        <f t="shared" si="7"/>
        <v>0.1198539</v>
      </c>
      <c r="Q339" s="8">
        <f t="shared" si="8"/>
        <v>0.0399513</v>
      </c>
      <c r="R339" s="57"/>
      <c r="S339" s="57"/>
      <c r="T339" s="57"/>
      <c r="U339" s="57"/>
      <c r="V339" s="57"/>
      <c r="W339" s="57"/>
      <c r="X339" s="57"/>
      <c r="Y339" s="57"/>
      <c r="Z339" s="17"/>
    </row>
    <row r="340" ht="34.5" customHeight="1">
      <c r="A340" s="24" t="s">
        <v>335</v>
      </c>
      <c r="B340" s="62" t="s">
        <v>379</v>
      </c>
      <c r="C340" s="65" t="s">
        <v>380</v>
      </c>
      <c r="D340" s="65" t="s">
        <v>393</v>
      </c>
      <c r="E340" s="65">
        <v>134.0</v>
      </c>
      <c r="F340" s="66">
        <v>34.42</v>
      </c>
      <c r="G340" s="62">
        <v>4.0</v>
      </c>
      <c r="H340" s="63">
        <v>24.24</v>
      </c>
      <c r="I340" s="63">
        <v>37.83</v>
      </c>
      <c r="J340" s="67">
        <v>106.51014</v>
      </c>
      <c r="K340" s="67">
        <v>96.8274</v>
      </c>
      <c r="L340" s="8">
        <f t="shared" si="3"/>
        <v>0.980801137</v>
      </c>
      <c r="M340" s="8">
        <f t="shared" si="4"/>
        <v>0.2942403411</v>
      </c>
      <c r="N340" s="8">
        <f t="shared" si="5"/>
        <v>0.05884806822</v>
      </c>
      <c r="O340" s="8">
        <f t="shared" si="6"/>
        <v>0.1936548</v>
      </c>
      <c r="P340" s="8">
        <f t="shared" si="7"/>
        <v>0.2904822</v>
      </c>
      <c r="Q340" s="8">
        <f t="shared" si="8"/>
        <v>0.0968274</v>
      </c>
      <c r="R340" s="57"/>
      <c r="S340" s="57"/>
      <c r="T340" s="57"/>
      <c r="U340" s="57"/>
      <c r="V340" s="57"/>
      <c r="W340" s="57"/>
      <c r="X340" s="57"/>
      <c r="Y340" s="57"/>
      <c r="Z340" s="17"/>
    </row>
    <row r="341" ht="34.5" customHeight="1">
      <c r="A341" s="24" t="s">
        <v>335</v>
      </c>
      <c r="B341" s="62" t="s">
        <v>379</v>
      </c>
      <c r="C341" s="65" t="s">
        <v>380</v>
      </c>
      <c r="D341" s="65" t="s">
        <v>394</v>
      </c>
      <c r="E341" s="65">
        <v>102.0</v>
      </c>
      <c r="F341" s="66">
        <v>22.75</v>
      </c>
      <c r="G341" s="62">
        <v>3.0</v>
      </c>
      <c r="H341" s="63">
        <v>0.0</v>
      </c>
      <c r="I341" s="63">
        <v>26.28</v>
      </c>
      <c r="J341" s="67">
        <v>100.37016</v>
      </c>
      <c r="K341" s="67">
        <v>91.2456</v>
      </c>
      <c r="L341" s="8">
        <f t="shared" si="3"/>
        <v>0.9242609863</v>
      </c>
      <c r="M341" s="8">
        <f t="shared" si="4"/>
        <v>0.2772782959</v>
      </c>
      <c r="N341" s="8">
        <f t="shared" si="5"/>
        <v>0.05545565918</v>
      </c>
      <c r="O341" s="8">
        <f t="shared" si="6"/>
        <v>0.1824912</v>
      </c>
      <c r="P341" s="8">
        <f t="shared" si="7"/>
        <v>0.2737368</v>
      </c>
      <c r="Q341" s="8">
        <f t="shared" si="8"/>
        <v>0.0912456</v>
      </c>
      <c r="R341" s="57"/>
      <c r="S341" s="57"/>
      <c r="T341" s="57"/>
      <c r="U341" s="57"/>
      <c r="V341" s="57"/>
      <c r="W341" s="57"/>
      <c r="X341" s="57"/>
      <c r="Y341" s="57"/>
      <c r="Z341" s="17"/>
    </row>
    <row r="342" ht="34.5" customHeight="1">
      <c r="A342" s="24" t="s">
        <v>335</v>
      </c>
      <c r="B342" s="62" t="s">
        <v>379</v>
      </c>
      <c r="C342" s="65" t="s">
        <v>380</v>
      </c>
      <c r="D342" s="65" t="s">
        <v>395</v>
      </c>
      <c r="E342" s="65">
        <v>74.0</v>
      </c>
      <c r="F342" s="66">
        <v>17.71</v>
      </c>
      <c r="G342" s="62">
        <v>3.0</v>
      </c>
      <c r="H342" s="63">
        <v>0.0</v>
      </c>
      <c r="I342" s="63">
        <v>0.0</v>
      </c>
      <c r="J342" s="67">
        <v>37.58832</v>
      </c>
      <c r="K342" s="67">
        <v>34.1712</v>
      </c>
      <c r="L342" s="8">
        <f t="shared" si="3"/>
        <v>0.3461329315</v>
      </c>
      <c r="M342" s="8">
        <f t="shared" si="4"/>
        <v>0.1038398795</v>
      </c>
      <c r="N342" s="8">
        <f t="shared" si="5"/>
        <v>0.02076797589</v>
      </c>
      <c r="O342" s="8">
        <f t="shared" si="6"/>
        <v>0.0683424</v>
      </c>
      <c r="P342" s="8">
        <f t="shared" si="7"/>
        <v>0.1025136</v>
      </c>
      <c r="Q342" s="8">
        <f t="shared" si="8"/>
        <v>0.0341712</v>
      </c>
      <c r="R342" s="57"/>
      <c r="S342" s="57"/>
      <c r="T342" s="57"/>
      <c r="U342" s="57"/>
      <c r="V342" s="57"/>
      <c r="W342" s="57"/>
      <c r="X342" s="57"/>
      <c r="Y342" s="57"/>
      <c r="Z342" s="17"/>
    </row>
    <row r="343" ht="34.5" customHeight="1">
      <c r="A343" s="24" t="s">
        <v>335</v>
      </c>
      <c r="B343" s="62" t="s">
        <v>379</v>
      </c>
      <c r="C343" s="65" t="s">
        <v>380</v>
      </c>
      <c r="D343" s="65" t="s">
        <v>396</v>
      </c>
      <c r="E343" s="65">
        <v>138.0</v>
      </c>
      <c r="F343" s="66">
        <v>37.51</v>
      </c>
      <c r="G343" s="62">
        <v>5.0</v>
      </c>
      <c r="H343" s="63">
        <v>89.15</v>
      </c>
      <c r="I343" s="63">
        <v>100.0</v>
      </c>
      <c r="J343" s="67">
        <v>105.897</v>
      </c>
      <c r="K343" s="67">
        <v>96.27</v>
      </c>
      <c r="L343" s="8">
        <f t="shared" si="3"/>
        <v>0.9751550228</v>
      </c>
      <c r="M343" s="8">
        <f t="shared" si="4"/>
        <v>0.2925465068</v>
      </c>
      <c r="N343" s="8">
        <f t="shared" si="5"/>
        <v>0.05850930137</v>
      </c>
      <c r="O343" s="8">
        <f t="shared" si="6"/>
        <v>0.19254</v>
      </c>
      <c r="P343" s="8">
        <f t="shared" si="7"/>
        <v>0.28881</v>
      </c>
      <c r="Q343" s="8">
        <f t="shared" si="8"/>
        <v>0.09627</v>
      </c>
      <c r="R343" s="57"/>
      <c r="S343" s="57"/>
      <c r="T343" s="57"/>
      <c r="U343" s="57"/>
      <c r="V343" s="57"/>
      <c r="W343" s="57"/>
      <c r="X343" s="57"/>
      <c r="Y343" s="57"/>
      <c r="Z343" s="17"/>
    </row>
    <row r="344" ht="34.5" customHeight="1">
      <c r="A344" s="24" t="s">
        <v>335</v>
      </c>
      <c r="B344" s="62" t="s">
        <v>379</v>
      </c>
      <c r="C344" s="65" t="s">
        <v>380</v>
      </c>
      <c r="D344" s="65" t="s">
        <v>397</v>
      </c>
      <c r="E344" s="65">
        <v>112.0</v>
      </c>
      <c r="F344" s="66">
        <v>28.7</v>
      </c>
      <c r="G344" s="62">
        <v>1.0</v>
      </c>
      <c r="H344" s="63">
        <v>100.0</v>
      </c>
      <c r="I344" s="63">
        <v>100.0</v>
      </c>
      <c r="J344" s="67">
        <v>83.53488</v>
      </c>
      <c r="K344" s="67">
        <v>75.9408</v>
      </c>
      <c r="L344" s="8">
        <f t="shared" si="3"/>
        <v>0.7692329132</v>
      </c>
      <c r="M344" s="8">
        <f t="shared" si="4"/>
        <v>0.230769874</v>
      </c>
      <c r="N344" s="8">
        <f t="shared" si="5"/>
        <v>0.04615397479</v>
      </c>
      <c r="O344" s="8">
        <f t="shared" si="6"/>
        <v>0.1518816</v>
      </c>
      <c r="P344" s="8">
        <f t="shared" si="7"/>
        <v>0.2278224</v>
      </c>
      <c r="Q344" s="8">
        <f t="shared" si="8"/>
        <v>0.0759408</v>
      </c>
      <c r="R344" s="57"/>
      <c r="S344" s="57"/>
      <c r="T344" s="57"/>
      <c r="U344" s="57"/>
      <c r="V344" s="57"/>
      <c r="W344" s="57"/>
      <c r="X344" s="57"/>
      <c r="Y344" s="57"/>
      <c r="Z344" s="17"/>
    </row>
    <row r="345" ht="34.5" customHeight="1">
      <c r="A345" s="24" t="s">
        <v>335</v>
      </c>
      <c r="B345" s="62" t="s">
        <v>379</v>
      </c>
      <c r="C345" s="65" t="s">
        <v>380</v>
      </c>
      <c r="D345" s="65" t="s">
        <v>398</v>
      </c>
      <c r="E345" s="65">
        <v>123.0</v>
      </c>
      <c r="F345" s="66">
        <v>27.89</v>
      </c>
      <c r="G345" s="62">
        <v>5.0</v>
      </c>
      <c r="H345" s="63">
        <v>100.0</v>
      </c>
      <c r="I345" s="63">
        <v>100.0</v>
      </c>
      <c r="J345" s="67">
        <v>85.73389</v>
      </c>
      <c r="K345" s="67">
        <v>77.9399</v>
      </c>
      <c r="L345" s="8">
        <f t="shared" si="3"/>
        <v>0.7894825487</v>
      </c>
      <c r="M345" s="8">
        <f t="shared" si="4"/>
        <v>0.2368447646</v>
      </c>
      <c r="N345" s="8">
        <f t="shared" si="5"/>
        <v>0.04736895292</v>
      </c>
      <c r="O345" s="8">
        <f t="shared" si="6"/>
        <v>0.1558798</v>
      </c>
      <c r="P345" s="8">
        <f t="shared" si="7"/>
        <v>0.2338197</v>
      </c>
      <c r="Q345" s="8">
        <f t="shared" si="8"/>
        <v>0.0779399</v>
      </c>
      <c r="R345" s="57"/>
      <c r="S345" s="57"/>
      <c r="T345" s="57"/>
      <c r="U345" s="57"/>
      <c r="V345" s="57"/>
      <c r="W345" s="57"/>
      <c r="X345" s="57"/>
      <c r="Y345" s="57"/>
      <c r="Z345" s="17"/>
    </row>
    <row r="346" ht="34.5" customHeight="1">
      <c r="A346" s="24" t="s">
        <v>335</v>
      </c>
      <c r="B346" s="62" t="s">
        <v>379</v>
      </c>
      <c r="C346" s="65" t="s">
        <v>399</v>
      </c>
      <c r="D346" s="65" t="s">
        <v>400</v>
      </c>
      <c r="E346" s="65">
        <v>10.0</v>
      </c>
      <c r="F346" s="66">
        <v>6.54</v>
      </c>
      <c r="G346" s="62">
        <v>1.0</v>
      </c>
      <c r="H346" s="63">
        <v>100.0</v>
      </c>
      <c r="I346" s="63">
        <v>100.0</v>
      </c>
      <c r="J346" s="67">
        <v>15.5298</v>
      </c>
      <c r="K346" s="67">
        <v>14.118</v>
      </c>
      <c r="L346" s="8">
        <f t="shared" si="3"/>
        <v>0.1430065297</v>
      </c>
      <c r="M346" s="8">
        <f t="shared" si="4"/>
        <v>0.0429019589</v>
      </c>
      <c r="N346" s="8">
        <f t="shared" si="5"/>
        <v>0.008580391781</v>
      </c>
      <c r="O346" s="8">
        <f t="shared" si="6"/>
        <v>0.028236</v>
      </c>
      <c r="P346" s="8">
        <f t="shared" si="7"/>
        <v>0.042354</v>
      </c>
      <c r="Q346" s="8">
        <f t="shared" si="8"/>
        <v>0.014118</v>
      </c>
      <c r="R346" s="57"/>
      <c r="S346" s="57"/>
      <c r="T346" s="57"/>
      <c r="U346" s="57"/>
      <c r="V346" s="57"/>
      <c r="W346" s="57"/>
      <c r="X346" s="57"/>
      <c r="Y346" s="57"/>
      <c r="Z346" s="17"/>
    </row>
    <row r="347" ht="34.5" customHeight="1">
      <c r="A347" s="24" t="s">
        <v>335</v>
      </c>
      <c r="B347" s="62" t="s">
        <v>379</v>
      </c>
      <c r="C347" s="65" t="s">
        <v>399</v>
      </c>
      <c r="D347" s="65" t="s">
        <v>401</v>
      </c>
      <c r="E347" s="65">
        <v>24.0</v>
      </c>
      <c r="F347" s="66">
        <v>7.98</v>
      </c>
      <c r="G347" s="62">
        <v>1.0</v>
      </c>
      <c r="H347" s="63">
        <v>0.0</v>
      </c>
      <c r="I347" s="63">
        <v>0.0</v>
      </c>
      <c r="J347" s="67">
        <v>37.26492</v>
      </c>
      <c r="K347" s="67">
        <v>33.8772</v>
      </c>
      <c r="L347" s="8">
        <f t="shared" si="3"/>
        <v>0.343154895</v>
      </c>
      <c r="M347" s="8">
        <f t="shared" si="4"/>
        <v>0.1029464685</v>
      </c>
      <c r="N347" s="8">
        <f t="shared" si="5"/>
        <v>0.0205892937</v>
      </c>
      <c r="O347" s="8">
        <f t="shared" si="6"/>
        <v>0.0677544</v>
      </c>
      <c r="P347" s="8">
        <f t="shared" si="7"/>
        <v>0.1016316</v>
      </c>
      <c r="Q347" s="8">
        <f t="shared" si="8"/>
        <v>0.0338772</v>
      </c>
      <c r="R347" s="57"/>
      <c r="S347" s="57"/>
      <c r="T347" s="57"/>
      <c r="U347" s="57"/>
      <c r="V347" s="57"/>
      <c r="W347" s="57"/>
      <c r="X347" s="57"/>
      <c r="Y347" s="57"/>
      <c r="Z347" s="17"/>
    </row>
    <row r="348" ht="34.5" customHeight="1">
      <c r="A348" s="24" t="s">
        <v>335</v>
      </c>
      <c r="B348" s="62" t="s">
        <v>379</v>
      </c>
      <c r="C348" s="65" t="s">
        <v>399</v>
      </c>
      <c r="D348" s="65" t="s">
        <v>402</v>
      </c>
      <c r="E348" s="65">
        <v>17.0</v>
      </c>
      <c r="F348" s="66">
        <v>6.46</v>
      </c>
      <c r="G348" s="62">
        <v>1.0</v>
      </c>
      <c r="H348" s="63">
        <v>100.0</v>
      </c>
      <c r="I348" s="63">
        <v>100.0</v>
      </c>
      <c r="J348" s="67">
        <v>32.64448</v>
      </c>
      <c r="K348" s="67">
        <v>29.6768</v>
      </c>
      <c r="L348" s="8">
        <f t="shared" si="3"/>
        <v>0.3006074642</v>
      </c>
      <c r="M348" s="8">
        <f t="shared" si="4"/>
        <v>0.09018223927</v>
      </c>
      <c r="N348" s="8">
        <f t="shared" si="5"/>
        <v>0.01803644785</v>
      </c>
      <c r="O348" s="8">
        <f t="shared" si="6"/>
        <v>0.0593536</v>
      </c>
      <c r="P348" s="8">
        <f t="shared" si="7"/>
        <v>0.0890304</v>
      </c>
      <c r="Q348" s="8">
        <f t="shared" si="8"/>
        <v>0.0296768</v>
      </c>
      <c r="R348" s="57"/>
      <c r="S348" s="57"/>
      <c r="T348" s="57"/>
      <c r="U348" s="57"/>
      <c r="V348" s="57"/>
      <c r="W348" s="57"/>
      <c r="X348" s="57"/>
      <c r="Y348" s="57"/>
      <c r="Z348" s="17"/>
    </row>
    <row r="349" ht="34.5" customHeight="1">
      <c r="A349" s="24" t="s">
        <v>335</v>
      </c>
      <c r="B349" s="62" t="s">
        <v>379</v>
      </c>
      <c r="C349" s="65" t="s">
        <v>399</v>
      </c>
      <c r="D349" s="65" t="s">
        <v>399</v>
      </c>
      <c r="E349" s="65">
        <v>361.0</v>
      </c>
      <c r="F349" s="66">
        <v>19.79</v>
      </c>
      <c r="G349" s="62">
        <v>9.0</v>
      </c>
      <c r="H349" s="63">
        <v>96.08</v>
      </c>
      <c r="I349" s="63">
        <v>0.9608</v>
      </c>
      <c r="J349" s="67">
        <v>365.1252</v>
      </c>
      <c r="K349" s="67">
        <v>331.932</v>
      </c>
      <c r="L349" s="8">
        <f t="shared" si="3"/>
        <v>3.362264018</v>
      </c>
      <c r="M349" s="8">
        <f t="shared" si="4"/>
        <v>1.008679205</v>
      </c>
      <c r="N349" s="8">
        <f t="shared" si="5"/>
        <v>0.2017358411</v>
      </c>
      <c r="O349" s="8">
        <f t="shared" si="6"/>
        <v>0.663864</v>
      </c>
      <c r="P349" s="8">
        <f t="shared" si="7"/>
        <v>0.995796</v>
      </c>
      <c r="Q349" s="8">
        <f t="shared" si="8"/>
        <v>0.331932</v>
      </c>
      <c r="R349" s="57"/>
      <c r="S349" s="57"/>
      <c r="T349" s="57"/>
      <c r="U349" s="57"/>
      <c r="V349" s="57"/>
      <c r="W349" s="57"/>
      <c r="X349" s="57"/>
      <c r="Y349" s="57"/>
      <c r="Z349" s="17"/>
    </row>
    <row r="350" ht="34.5" customHeight="1">
      <c r="A350" s="24" t="s">
        <v>335</v>
      </c>
      <c r="B350" s="62" t="s">
        <v>379</v>
      </c>
      <c r="C350" s="65" t="s">
        <v>399</v>
      </c>
      <c r="D350" s="65" t="s">
        <v>403</v>
      </c>
      <c r="E350" s="65">
        <v>14.0</v>
      </c>
      <c r="F350" s="66">
        <v>9.15</v>
      </c>
      <c r="G350" s="62">
        <v>1.0</v>
      </c>
      <c r="H350" s="63">
        <v>0.0</v>
      </c>
      <c r="I350" s="63">
        <v>0.0</v>
      </c>
      <c r="J350" s="67">
        <v>24.60975</v>
      </c>
      <c r="K350" s="67">
        <v>22.3725</v>
      </c>
      <c r="L350" s="8">
        <f t="shared" si="3"/>
        <v>0.2266194635</v>
      </c>
      <c r="M350" s="8">
        <f t="shared" si="4"/>
        <v>0.06798583904</v>
      </c>
      <c r="N350" s="8">
        <f t="shared" si="5"/>
        <v>0.01359716781</v>
      </c>
      <c r="O350" s="8">
        <f t="shared" si="6"/>
        <v>0.044745</v>
      </c>
      <c r="P350" s="8">
        <f t="shared" si="7"/>
        <v>0.0671175</v>
      </c>
      <c r="Q350" s="8">
        <f t="shared" si="8"/>
        <v>0.0223725</v>
      </c>
      <c r="R350" s="57"/>
      <c r="S350" s="57"/>
      <c r="T350" s="57"/>
      <c r="U350" s="57"/>
      <c r="V350" s="57"/>
      <c r="W350" s="57"/>
      <c r="X350" s="57"/>
      <c r="Y350" s="57"/>
      <c r="Z350" s="17"/>
    </row>
    <row r="351" ht="34.5" customHeight="1">
      <c r="A351" s="24" t="s">
        <v>335</v>
      </c>
      <c r="B351" s="62" t="s">
        <v>379</v>
      </c>
      <c r="C351" s="65" t="s">
        <v>399</v>
      </c>
      <c r="D351" s="65" t="s">
        <v>404</v>
      </c>
      <c r="E351" s="65">
        <v>65.0</v>
      </c>
      <c r="F351" s="66">
        <v>12.69</v>
      </c>
      <c r="G351" s="62">
        <v>2.0</v>
      </c>
      <c r="H351" s="63">
        <v>100.0</v>
      </c>
      <c r="I351" s="63">
        <v>100.0</v>
      </c>
      <c r="J351" s="67">
        <v>68.92952</v>
      </c>
      <c r="K351" s="67">
        <v>62.6632</v>
      </c>
      <c r="L351" s="8">
        <f t="shared" si="3"/>
        <v>0.6347391111</v>
      </c>
      <c r="M351" s="8">
        <f t="shared" si="4"/>
        <v>0.1904217333</v>
      </c>
      <c r="N351" s="8">
        <f t="shared" si="5"/>
        <v>0.03808434667</v>
      </c>
      <c r="O351" s="8">
        <f t="shared" si="6"/>
        <v>0.1253264</v>
      </c>
      <c r="P351" s="8">
        <f t="shared" si="7"/>
        <v>0.1879896</v>
      </c>
      <c r="Q351" s="8">
        <f t="shared" si="8"/>
        <v>0.0626632</v>
      </c>
      <c r="R351" s="57"/>
      <c r="S351" s="57"/>
      <c r="T351" s="57"/>
      <c r="U351" s="57"/>
      <c r="V351" s="57"/>
      <c r="W351" s="57"/>
      <c r="X351" s="57"/>
      <c r="Y351" s="57"/>
      <c r="Z351" s="17"/>
    </row>
    <row r="352" ht="34.5" customHeight="1">
      <c r="A352" s="24" t="s">
        <v>335</v>
      </c>
      <c r="B352" s="62" t="s">
        <v>379</v>
      </c>
      <c r="C352" s="65" t="s">
        <v>405</v>
      </c>
      <c r="D352" s="65" t="s">
        <v>406</v>
      </c>
      <c r="E352" s="65">
        <v>37.0</v>
      </c>
      <c r="F352" s="66">
        <v>14.93</v>
      </c>
      <c r="G352" s="62">
        <v>2.0</v>
      </c>
      <c r="H352" s="63">
        <v>100.0</v>
      </c>
      <c r="I352" s="63">
        <v>100.0</v>
      </c>
      <c r="J352" s="67">
        <v>36.575</v>
      </c>
      <c r="K352" s="67">
        <v>33.25</v>
      </c>
      <c r="L352" s="8">
        <f t="shared" si="3"/>
        <v>0.3368017504</v>
      </c>
      <c r="M352" s="8">
        <f t="shared" si="4"/>
        <v>0.1010405251</v>
      </c>
      <c r="N352" s="8">
        <f t="shared" si="5"/>
        <v>0.02020810502</v>
      </c>
      <c r="O352" s="8">
        <f t="shared" si="6"/>
        <v>0.0665</v>
      </c>
      <c r="P352" s="8">
        <f t="shared" si="7"/>
        <v>0.09975</v>
      </c>
      <c r="Q352" s="8">
        <f t="shared" si="8"/>
        <v>0.03325</v>
      </c>
      <c r="R352" s="57"/>
      <c r="S352" s="57"/>
      <c r="T352" s="57"/>
      <c r="U352" s="57"/>
      <c r="V352" s="57"/>
      <c r="W352" s="57"/>
      <c r="X352" s="57"/>
      <c r="Y352" s="57"/>
      <c r="Z352" s="17"/>
    </row>
    <row r="353" ht="34.5" customHeight="1">
      <c r="A353" s="24" t="s">
        <v>335</v>
      </c>
      <c r="B353" s="62" t="s">
        <v>379</v>
      </c>
      <c r="C353" s="65" t="s">
        <v>405</v>
      </c>
      <c r="D353" s="65" t="s">
        <v>407</v>
      </c>
      <c r="E353" s="65">
        <v>19.0</v>
      </c>
      <c r="F353" s="66">
        <v>10.88</v>
      </c>
      <c r="G353" s="62">
        <v>1.0</v>
      </c>
      <c r="H353" s="63">
        <v>100.0</v>
      </c>
      <c r="I353" s="63">
        <v>100.0</v>
      </c>
      <c r="J353" s="67">
        <v>21.15729</v>
      </c>
      <c r="K353" s="67">
        <v>19.2339</v>
      </c>
      <c r="L353" s="8">
        <f t="shared" si="3"/>
        <v>0.1948274041</v>
      </c>
      <c r="M353" s="8">
        <f t="shared" si="4"/>
        <v>0.05844822123</v>
      </c>
      <c r="N353" s="8">
        <f t="shared" si="5"/>
        <v>0.01168964425</v>
      </c>
      <c r="O353" s="8">
        <f t="shared" si="6"/>
        <v>0.0384678</v>
      </c>
      <c r="P353" s="8">
        <f t="shared" si="7"/>
        <v>0.0577017</v>
      </c>
      <c r="Q353" s="8">
        <f t="shared" si="8"/>
        <v>0.0192339</v>
      </c>
      <c r="R353" s="57"/>
      <c r="S353" s="57"/>
      <c r="T353" s="57"/>
      <c r="U353" s="57"/>
      <c r="V353" s="57"/>
      <c r="W353" s="57"/>
      <c r="X353" s="57"/>
      <c r="Y353" s="57"/>
      <c r="Z353" s="17"/>
    </row>
    <row r="354" ht="34.5" customHeight="1">
      <c r="A354" s="24" t="s">
        <v>335</v>
      </c>
      <c r="B354" s="62" t="s">
        <v>379</v>
      </c>
      <c r="C354" s="65" t="s">
        <v>405</v>
      </c>
      <c r="D354" s="65" t="s">
        <v>408</v>
      </c>
      <c r="E354" s="65">
        <v>13.0</v>
      </c>
      <c r="F354" s="66">
        <v>8.76</v>
      </c>
      <c r="G354" s="62">
        <v>1.0</v>
      </c>
      <c r="H354" s="63">
        <v>100.0</v>
      </c>
      <c r="I354" s="63">
        <v>100.0</v>
      </c>
      <c r="J354" s="67">
        <v>18.44964</v>
      </c>
      <c r="K354" s="67">
        <v>16.7724</v>
      </c>
      <c r="L354" s="8">
        <f t="shared" si="3"/>
        <v>0.1698939452</v>
      </c>
      <c r="M354" s="8">
        <f t="shared" si="4"/>
        <v>0.05096818356</v>
      </c>
      <c r="N354" s="8">
        <f t="shared" si="5"/>
        <v>0.01019363671</v>
      </c>
      <c r="O354" s="8">
        <f t="shared" si="6"/>
        <v>0.0335448</v>
      </c>
      <c r="P354" s="8">
        <f t="shared" si="7"/>
        <v>0.0503172</v>
      </c>
      <c r="Q354" s="8">
        <f t="shared" si="8"/>
        <v>0.0167724</v>
      </c>
      <c r="R354" s="57"/>
      <c r="S354" s="57"/>
      <c r="T354" s="57"/>
      <c r="U354" s="57"/>
      <c r="V354" s="57"/>
      <c r="W354" s="57"/>
      <c r="X354" s="57"/>
      <c r="Y354" s="57"/>
      <c r="Z354" s="17"/>
    </row>
    <row r="355" ht="34.5" customHeight="1">
      <c r="A355" s="24" t="s">
        <v>335</v>
      </c>
      <c r="B355" s="62" t="s">
        <v>379</v>
      </c>
      <c r="C355" s="65" t="s">
        <v>405</v>
      </c>
      <c r="D355" s="65" t="s">
        <v>409</v>
      </c>
      <c r="E355" s="65">
        <v>20.0</v>
      </c>
      <c r="F355" s="66">
        <v>11.51</v>
      </c>
      <c r="G355" s="62">
        <v>1.0</v>
      </c>
      <c r="H355" s="63">
        <v>100.0</v>
      </c>
      <c r="I355" s="63">
        <v>100.0</v>
      </c>
      <c r="J355" s="67">
        <v>25.49151</v>
      </c>
      <c r="K355" s="67">
        <v>23.1741</v>
      </c>
      <c r="L355" s="8">
        <f t="shared" si="3"/>
        <v>0.2347391712</v>
      </c>
      <c r="M355" s="8">
        <f t="shared" si="4"/>
        <v>0.07042175137</v>
      </c>
      <c r="N355" s="8">
        <f t="shared" si="5"/>
        <v>0.01408435027</v>
      </c>
      <c r="O355" s="8">
        <f t="shared" si="6"/>
        <v>0.0463482</v>
      </c>
      <c r="P355" s="8">
        <f t="shared" si="7"/>
        <v>0.0695223</v>
      </c>
      <c r="Q355" s="8">
        <f t="shared" si="8"/>
        <v>0.0231741</v>
      </c>
      <c r="R355" s="57"/>
      <c r="S355" s="57"/>
      <c r="T355" s="57"/>
      <c r="U355" s="57"/>
      <c r="V355" s="57"/>
      <c r="W355" s="57"/>
      <c r="X355" s="57"/>
      <c r="Y355" s="57"/>
      <c r="Z355" s="17"/>
    </row>
    <row r="356" ht="34.5" customHeight="1">
      <c r="A356" s="24" t="s">
        <v>335</v>
      </c>
      <c r="B356" s="62" t="s">
        <v>379</v>
      </c>
      <c r="C356" s="65" t="s">
        <v>405</v>
      </c>
      <c r="D356" s="65" t="s">
        <v>405</v>
      </c>
      <c r="E356" s="65">
        <v>497.0</v>
      </c>
      <c r="F356" s="66">
        <v>25.22</v>
      </c>
      <c r="G356" s="62">
        <v>12.0</v>
      </c>
      <c r="H356" s="63">
        <v>7.03</v>
      </c>
      <c r="I356" s="63">
        <v>13.13</v>
      </c>
      <c r="J356" s="67">
        <v>422.64299</v>
      </c>
      <c r="K356" s="67">
        <v>384.2209</v>
      </c>
      <c r="L356" s="8">
        <f t="shared" si="3"/>
        <v>3.891917944</v>
      </c>
      <c r="M356" s="8">
        <f t="shared" si="4"/>
        <v>1.167575383</v>
      </c>
      <c r="N356" s="8">
        <f t="shared" si="5"/>
        <v>0.2335150767</v>
      </c>
      <c r="O356" s="8">
        <f t="shared" si="6"/>
        <v>0.7684418</v>
      </c>
      <c r="P356" s="8">
        <f t="shared" si="7"/>
        <v>1.1526627</v>
      </c>
      <c r="Q356" s="8">
        <f t="shared" si="8"/>
        <v>0.3842209</v>
      </c>
      <c r="R356" s="57"/>
      <c r="S356" s="57"/>
      <c r="T356" s="57"/>
      <c r="U356" s="57"/>
      <c r="V356" s="57"/>
      <c r="W356" s="57"/>
      <c r="X356" s="57"/>
      <c r="Y356" s="57"/>
      <c r="Z356" s="17"/>
    </row>
    <row r="357" ht="34.5" customHeight="1">
      <c r="A357" s="24" t="s">
        <v>335</v>
      </c>
      <c r="B357" s="62" t="s">
        <v>379</v>
      </c>
      <c r="C357" s="65" t="s">
        <v>405</v>
      </c>
      <c r="D357" s="65" t="s">
        <v>410</v>
      </c>
      <c r="E357" s="65">
        <v>17.0</v>
      </c>
      <c r="F357" s="66">
        <v>6.43</v>
      </c>
      <c r="G357" s="62">
        <v>1.0</v>
      </c>
      <c r="H357" s="63">
        <v>70.02</v>
      </c>
      <c r="I357" s="63">
        <v>85.34</v>
      </c>
      <c r="J357" s="67">
        <v>15.90105</v>
      </c>
      <c r="K357" s="67">
        <v>14.4555</v>
      </c>
      <c r="L357" s="8">
        <f t="shared" si="3"/>
        <v>0.1464251941</v>
      </c>
      <c r="M357" s="8">
        <f t="shared" si="4"/>
        <v>0.04392755822</v>
      </c>
      <c r="N357" s="8">
        <f t="shared" si="5"/>
        <v>0.008785511644</v>
      </c>
      <c r="O357" s="8">
        <f t="shared" si="6"/>
        <v>0.028911</v>
      </c>
      <c r="P357" s="8">
        <f t="shared" si="7"/>
        <v>0.0433665</v>
      </c>
      <c r="Q357" s="8">
        <f t="shared" si="8"/>
        <v>0.0144555</v>
      </c>
      <c r="R357" s="57"/>
      <c r="S357" s="57"/>
      <c r="T357" s="57"/>
      <c r="U357" s="57"/>
      <c r="V357" s="57"/>
      <c r="W357" s="57"/>
      <c r="X357" s="57"/>
      <c r="Y357" s="57"/>
      <c r="Z357" s="17"/>
    </row>
    <row r="358" ht="34.5" customHeight="1">
      <c r="A358" s="24" t="s">
        <v>335</v>
      </c>
      <c r="B358" s="62" t="s">
        <v>379</v>
      </c>
      <c r="C358" s="65" t="s">
        <v>405</v>
      </c>
      <c r="D358" s="65" t="s">
        <v>411</v>
      </c>
      <c r="E358" s="65">
        <v>16.0</v>
      </c>
      <c r="F358" s="66">
        <v>15.41</v>
      </c>
      <c r="G358" s="62">
        <v>1.0</v>
      </c>
      <c r="H358" s="63">
        <v>100.0</v>
      </c>
      <c r="I358" s="63">
        <v>100.0</v>
      </c>
      <c r="J358" s="67">
        <v>22.69025</v>
      </c>
      <c r="K358" s="67">
        <v>20.6275</v>
      </c>
      <c r="L358" s="8">
        <f t="shared" si="3"/>
        <v>0.2089437024</v>
      </c>
      <c r="M358" s="8">
        <f t="shared" si="4"/>
        <v>0.06268311073</v>
      </c>
      <c r="N358" s="8">
        <f t="shared" si="5"/>
        <v>0.01253662215</v>
      </c>
      <c r="O358" s="8">
        <f t="shared" si="6"/>
        <v>0.041255</v>
      </c>
      <c r="P358" s="8">
        <f t="shared" si="7"/>
        <v>0.0618825</v>
      </c>
      <c r="Q358" s="8">
        <f t="shared" si="8"/>
        <v>0.0206275</v>
      </c>
      <c r="R358" s="57"/>
      <c r="S358" s="57"/>
      <c r="T358" s="57"/>
      <c r="U358" s="57"/>
      <c r="V358" s="57"/>
      <c r="W358" s="57"/>
      <c r="X358" s="57"/>
      <c r="Y358" s="57"/>
      <c r="Z358" s="17"/>
    </row>
    <row r="359" ht="34.5" customHeight="1">
      <c r="A359" s="24" t="s">
        <v>335</v>
      </c>
      <c r="B359" s="62" t="s">
        <v>379</v>
      </c>
      <c r="C359" s="65" t="s">
        <v>405</v>
      </c>
      <c r="D359" s="65" t="s">
        <v>412</v>
      </c>
      <c r="E359" s="65">
        <v>89.0</v>
      </c>
      <c r="F359" s="66">
        <v>10.97</v>
      </c>
      <c r="G359" s="62">
        <v>3.0</v>
      </c>
      <c r="H359" s="63">
        <v>100.0</v>
      </c>
      <c r="I359" s="63">
        <v>100.0</v>
      </c>
      <c r="J359" s="67">
        <v>77.61039</v>
      </c>
      <c r="K359" s="67">
        <v>70.5549</v>
      </c>
      <c r="L359" s="8">
        <f t="shared" si="3"/>
        <v>0.7146771073</v>
      </c>
      <c r="M359" s="8">
        <f t="shared" si="4"/>
        <v>0.2144031322</v>
      </c>
      <c r="N359" s="8">
        <f t="shared" si="5"/>
        <v>0.04288062644</v>
      </c>
      <c r="O359" s="8">
        <f t="shared" si="6"/>
        <v>0.1411098</v>
      </c>
      <c r="P359" s="8">
        <f t="shared" si="7"/>
        <v>0.2116647</v>
      </c>
      <c r="Q359" s="8">
        <f t="shared" si="8"/>
        <v>0.0705549</v>
      </c>
      <c r="R359" s="57"/>
      <c r="S359" s="57"/>
      <c r="T359" s="57"/>
      <c r="U359" s="57"/>
      <c r="V359" s="57"/>
      <c r="W359" s="57"/>
      <c r="X359" s="57"/>
      <c r="Y359" s="57"/>
      <c r="Z359" s="17"/>
    </row>
    <row r="360" ht="34.5" customHeight="1">
      <c r="A360" s="24" t="s">
        <v>335</v>
      </c>
      <c r="B360" s="62" t="s">
        <v>379</v>
      </c>
      <c r="C360" s="65" t="s">
        <v>405</v>
      </c>
      <c r="D360" s="65" t="s">
        <v>413</v>
      </c>
      <c r="E360" s="65">
        <v>50.0</v>
      </c>
      <c r="F360" s="66">
        <v>11.25</v>
      </c>
      <c r="G360" s="62">
        <v>1.0</v>
      </c>
      <c r="H360" s="63">
        <v>84.6</v>
      </c>
      <c r="I360" s="63">
        <v>100.0</v>
      </c>
      <c r="J360" s="67">
        <v>50.82792</v>
      </c>
      <c r="K360" s="67">
        <v>46.2072</v>
      </c>
      <c r="L360" s="8">
        <f t="shared" si="3"/>
        <v>0.4680501005</v>
      </c>
      <c r="M360" s="8">
        <f t="shared" si="4"/>
        <v>0.1404150301</v>
      </c>
      <c r="N360" s="8">
        <f t="shared" si="5"/>
        <v>0.02808300603</v>
      </c>
      <c r="O360" s="8">
        <f t="shared" si="6"/>
        <v>0.0924144</v>
      </c>
      <c r="P360" s="8">
        <f t="shared" si="7"/>
        <v>0.1386216</v>
      </c>
      <c r="Q360" s="8">
        <f t="shared" si="8"/>
        <v>0.0462072</v>
      </c>
      <c r="R360" s="57"/>
      <c r="S360" s="57"/>
      <c r="T360" s="57"/>
      <c r="U360" s="57"/>
      <c r="V360" s="57"/>
      <c r="W360" s="57"/>
      <c r="X360" s="57"/>
      <c r="Y360" s="57"/>
      <c r="Z360" s="17"/>
    </row>
    <row r="361" ht="34.5" customHeight="1">
      <c r="A361" s="24" t="s">
        <v>335</v>
      </c>
      <c r="B361" s="62" t="s">
        <v>379</v>
      </c>
      <c r="C361" s="65" t="s">
        <v>405</v>
      </c>
      <c r="D361" s="65" t="s">
        <v>414</v>
      </c>
      <c r="E361" s="65">
        <v>36.0</v>
      </c>
      <c r="F361" s="66">
        <v>4.85</v>
      </c>
      <c r="G361" s="62">
        <v>1.0</v>
      </c>
      <c r="H361" s="63">
        <v>74.55</v>
      </c>
      <c r="I361" s="63">
        <v>100.0</v>
      </c>
      <c r="J361" s="67">
        <v>57.13686</v>
      </c>
      <c r="K361" s="67">
        <v>51.9426</v>
      </c>
      <c r="L361" s="8">
        <f t="shared" si="3"/>
        <v>0.5261461233</v>
      </c>
      <c r="M361" s="8">
        <f t="shared" si="4"/>
        <v>0.157843837</v>
      </c>
      <c r="N361" s="8">
        <f t="shared" si="5"/>
        <v>0.0315687674</v>
      </c>
      <c r="O361" s="8">
        <f t="shared" si="6"/>
        <v>0.1038852</v>
      </c>
      <c r="P361" s="8">
        <f t="shared" si="7"/>
        <v>0.1558278</v>
      </c>
      <c r="Q361" s="8">
        <f t="shared" si="8"/>
        <v>0.0519426</v>
      </c>
      <c r="R361" s="57"/>
      <c r="S361" s="57"/>
      <c r="T361" s="57"/>
      <c r="U361" s="57"/>
      <c r="V361" s="57"/>
      <c r="W361" s="57"/>
      <c r="X361" s="57"/>
      <c r="Y361" s="57"/>
      <c r="Z361" s="17"/>
    </row>
    <row r="362" ht="34.5" customHeight="1">
      <c r="A362" s="24" t="s">
        <v>335</v>
      </c>
      <c r="B362" s="62" t="s">
        <v>379</v>
      </c>
      <c r="C362" s="65" t="s">
        <v>405</v>
      </c>
      <c r="D362" s="65" t="s">
        <v>415</v>
      </c>
      <c r="E362" s="65">
        <v>69.0</v>
      </c>
      <c r="F362" s="66">
        <v>24.09</v>
      </c>
      <c r="G362" s="62">
        <v>2.0</v>
      </c>
      <c r="H362" s="63">
        <v>57.42</v>
      </c>
      <c r="I362" s="63">
        <v>100.0</v>
      </c>
      <c r="J362" s="67">
        <v>59.23731</v>
      </c>
      <c r="K362" s="67">
        <v>53.8521</v>
      </c>
      <c r="L362" s="8">
        <f t="shared" si="3"/>
        <v>0.5454881667</v>
      </c>
      <c r="M362" s="8">
        <f t="shared" si="4"/>
        <v>0.16364645</v>
      </c>
      <c r="N362" s="8">
        <f t="shared" si="5"/>
        <v>0.03272929</v>
      </c>
      <c r="O362" s="8">
        <f t="shared" si="6"/>
        <v>0.1077042</v>
      </c>
      <c r="P362" s="8">
        <f t="shared" si="7"/>
        <v>0.1615563</v>
      </c>
      <c r="Q362" s="8">
        <f t="shared" si="8"/>
        <v>0.0538521</v>
      </c>
      <c r="R362" s="57"/>
      <c r="S362" s="57"/>
      <c r="T362" s="57"/>
      <c r="U362" s="57"/>
      <c r="V362" s="57"/>
      <c r="W362" s="57"/>
      <c r="X362" s="57"/>
      <c r="Y362" s="57"/>
      <c r="Z362" s="17"/>
    </row>
    <row r="363" ht="34.5" customHeight="1">
      <c r="A363" s="24" t="s">
        <v>335</v>
      </c>
      <c r="B363" s="62" t="s">
        <v>379</v>
      </c>
      <c r="C363" s="65" t="s">
        <v>405</v>
      </c>
      <c r="D363" s="65" t="s">
        <v>416</v>
      </c>
      <c r="E363" s="65">
        <v>12.0</v>
      </c>
      <c r="F363" s="66">
        <v>11.87</v>
      </c>
      <c r="G363" s="62">
        <v>1.0</v>
      </c>
      <c r="H363" s="63">
        <v>100.0</v>
      </c>
      <c r="I363" s="63">
        <v>100.0</v>
      </c>
      <c r="J363" s="67">
        <v>16.21664</v>
      </c>
      <c r="K363" s="67">
        <v>14.7424</v>
      </c>
      <c r="L363" s="8">
        <f t="shared" si="3"/>
        <v>0.149331312</v>
      </c>
      <c r="M363" s="8">
        <f t="shared" si="4"/>
        <v>0.04479939361</v>
      </c>
      <c r="N363" s="8">
        <f t="shared" si="5"/>
        <v>0.008959878721</v>
      </c>
      <c r="O363" s="8">
        <f t="shared" si="6"/>
        <v>0.0294848</v>
      </c>
      <c r="P363" s="8">
        <f t="shared" si="7"/>
        <v>0.0442272</v>
      </c>
      <c r="Q363" s="8">
        <f t="shared" si="8"/>
        <v>0.0147424</v>
      </c>
      <c r="R363" s="57"/>
      <c r="S363" s="57"/>
      <c r="T363" s="57"/>
      <c r="U363" s="57"/>
      <c r="V363" s="57"/>
      <c r="W363" s="57"/>
      <c r="X363" s="57"/>
      <c r="Y363" s="57"/>
      <c r="Z363" s="17"/>
    </row>
    <row r="364" ht="34.5" customHeight="1">
      <c r="A364" s="24" t="s">
        <v>335</v>
      </c>
      <c r="B364" s="62" t="s">
        <v>379</v>
      </c>
      <c r="C364" s="65" t="s">
        <v>405</v>
      </c>
      <c r="D364" s="65" t="s">
        <v>417</v>
      </c>
      <c r="E364" s="65">
        <v>13.0</v>
      </c>
      <c r="F364" s="66">
        <v>7.24</v>
      </c>
      <c r="G364" s="62">
        <v>1.0</v>
      </c>
      <c r="H364" s="63">
        <v>100.0</v>
      </c>
      <c r="I364" s="63">
        <v>100.0</v>
      </c>
      <c r="J364" s="67">
        <v>13.20176</v>
      </c>
      <c r="K364" s="67">
        <v>12.0016</v>
      </c>
      <c r="L364" s="8">
        <f t="shared" si="3"/>
        <v>0.1215687184</v>
      </c>
      <c r="M364" s="8">
        <f t="shared" si="4"/>
        <v>0.03647061553</v>
      </c>
      <c r="N364" s="8">
        <f t="shared" si="5"/>
        <v>0.007294123105</v>
      </c>
      <c r="O364" s="8">
        <f t="shared" si="6"/>
        <v>0.0240032</v>
      </c>
      <c r="P364" s="8">
        <f t="shared" si="7"/>
        <v>0.0360048</v>
      </c>
      <c r="Q364" s="8">
        <f t="shared" si="8"/>
        <v>0.0120016</v>
      </c>
      <c r="R364" s="57"/>
      <c r="S364" s="57"/>
      <c r="T364" s="57"/>
      <c r="U364" s="57"/>
      <c r="V364" s="57"/>
      <c r="W364" s="57"/>
      <c r="X364" s="57"/>
      <c r="Y364" s="57"/>
      <c r="Z364" s="17"/>
    </row>
    <row r="365" ht="34.5" customHeight="1">
      <c r="A365" s="24" t="s">
        <v>335</v>
      </c>
      <c r="B365" s="62" t="s">
        <v>379</v>
      </c>
      <c r="C365" s="65" t="s">
        <v>405</v>
      </c>
      <c r="D365" s="65" t="s">
        <v>418</v>
      </c>
      <c r="E365" s="65">
        <v>25.0</v>
      </c>
      <c r="F365" s="66">
        <v>9.64</v>
      </c>
      <c r="G365" s="62">
        <v>2.0</v>
      </c>
      <c r="H365" s="63">
        <v>100.0</v>
      </c>
      <c r="I365" s="63">
        <v>100.0</v>
      </c>
      <c r="J365" s="67">
        <v>22.29546</v>
      </c>
      <c r="K365" s="67">
        <v>20.2686</v>
      </c>
      <c r="L365" s="8">
        <f t="shared" si="3"/>
        <v>0.2053082694</v>
      </c>
      <c r="M365" s="8">
        <f t="shared" si="4"/>
        <v>0.06159248082</v>
      </c>
      <c r="N365" s="8">
        <f t="shared" si="5"/>
        <v>0.01231849616</v>
      </c>
      <c r="O365" s="8">
        <f t="shared" si="6"/>
        <v>0.0405372</v>
      </c>
      <c r="P365" s="8">
        <f t="shared" si="7"/>
        <v>0.0608058</v>
      </c>
      <c r="Q365" s="8">
        <f t="shared" si="8"/>
        <v>0.0202686</v>
      </c>
      <c r="R365" s="57"/>
      <c r="S365" s="57"/>
      <c r="T365" s="57"/>
      <c r="U365" s="57"/>
      <c r="V365" s="57"/>
      <c r="W365" s="57"/>
      <c r="X365" s="57"/>
      <c r="Y365" s="57"/>
      <c r="Z365" s="17"/>
    </row>
    <row r="366" ht="34.5" customHeight="1">
      <c r="A366" s="24" t="s">
        <v>335</v>
      </c>
      <c r="B366" s="62" t="s">
        <v>379</v>
      </c>
      <c r="C366" s="65" t="s">
        <v>405</v>
      </c>
      <c r="D366" s="65" t="s">
        <v>419</v>
      </c>
      <c r="E366" s="65">
        <v>96.0</v>
      </c>
      <c r="F366" s="66">
        <v>14.86</v>
      </c>
      <c r="G366" s="62">
        <v>3.0</v>
      </c>
      <c r="H366" s="63">
        <v>100.0</v>
      </c>
      <c r="I366" s="63">
        <v>100.0</v>
      </c>
      <c r="J366" s="67">
        <v>78.21671</v>
      </c>
      <c r="K366" s="67">
        <v>71.1061</v>
      </c>
      <c r="L366" s="8">
        <f t="shared" si="3"/>
        <v>0.7202604193</v>
      </c>
      <c r="M366" s="8">
        <f t="shared" si="4"/>
        <v>0.2160781258</v>
      </c>
      <c r="N366" s="8">
        <f t="shared" si="5"/>
        <v>0.04321562516</v>
      </c>
      <c r="O366" s="8">
        <f t="shared" si="6"/>
        <v>0.1422122</v>
      </c>
      <c r="P366" s="8">
        <f t="shared" si="7"/>
        <v>0.2133183</v>
      </c>
      <c r="Q366" s="8">
        <f t="shared" si="8"/>
        <v>0.0711061</v>
      </c>
      <c r="R366" s="57"/>
      <c r="S366" s="57"/>
      <c r="T366" s="57"/>
      <c r="U366" s="57"/>
      <c r="V366" s="57"/>
      <c r="W366" s="57"/>
      <c r="X366" s="57"/>
      <c r="Y366" s="57"/>
      <c r="Z366" s="17"/>
    </row>
    <row r="367" ht="34.5" customHeight="1">
      <c r="A367" s="24" t="s">
        <v>335</v>
      </c>
      <c r="B367" s="62" t="s">
        <v>379</v>
      </c>
      <c r="C367" s="65" t="s">
        <v>405</v>
      </c>
      <c r="D367" s="65" t="s">
        <v>420</v>
      </c>
      <c r="E367" s="65">
        <v>24.0</v>
      </c>
      <c r="F367" s="66">
        <v>7.77</v>
      </c>
      <c r="G367" s="62">
        <v>1.0</v>
      </c>
      <c r="H367" s="63">
        <v>100.0</v>
      </c>
      <c r="I367" s="63">
        <v>100.0</v>
      </c>
      <c r="J367" s="67">
        <v>17.35173</v>
      </c>
      <c r="K367" s="67">
        <v>15.7743</v>
      </c>
      <c r="L367" s="8">
        <f t="shared" si="3"/>
        <v>0.1597838151</v>
      </c>
      <c r="M367" s="8">
        <f t="shared" si="4"/>
        <v>0.04793514452</v>
      </c>
      <c r="N367" s="8">
        <f t="shared" si="5"/>
        <v>0.009587028904</v>
      </c>
      <c r="O367" s="8">
        <f t="shared" si="6"/>
        <v>0.0315486</v>
      </c>
      <c r="P367" s="8">
        <f t="shared" si="7"/>
        <v>0.0473229</v>
      </c>
      <c r="Q367" s="8">
        <f t="shared" si="8"/>
        <v>0.0157743</v>
      </c>
      <c r="R367" s="57"/>
      <c r="S367" s="57"/>
      <c r="T367" s="57"/>
      <c r="U367" s="57"/>
      <c r="V367" s="57"/>
      <c r="W367" s="57"/>
      <c r="X367" s="57"/>
      <c r="Y367" s="57"/>
      <c r="Z367" s="17"/>
    </row>
    <row r="368" ht="34.5" customHeight="1">
      <c r="A368" s="24" t="s">
        <v>335</v>
      </c>
      <c r="B368" s="62" t="s">
        <v>379</v>
      </c>
      <c r="C368" s="65" t="s">
        <v>421</v>
      </c>
      <c r="D368" s="65" t="s">
        <v>422</v>
      </c>
      <c r="E368" s="65">
        <v>99.0</v>
      </c>
      <c r="F368" s="66">
        <v>11.24</v>
      </c>
      <c r="G368" s="62">
        <v>3.0</v>
      </c>
      <c r="H368" s="63">
        <v>100.0</v>
      </c>
      <c r="I368" s="63">
        <v>100.0</v>
      </c>
      <c r="J368" s="67">
        <v>89.11012</v>
      </c>
      <c r="K368" s="67">
        <v>81.0092</v>
      </c>
      <c r="L368" s="8">
        <f t="shared" si="3"/>
        <v>0.8205726423</v>
      </c>
      <c r="M368" s="8">
        <f t="shared" si="4"/>
        <v>0.2461717927</v>
      </c>
      <c r="N368" s="8">
        <f t="shared" si="5"/>
        <v>0.04923435854</v>
      </c>
      <c r="O368" s="8">
        <f t="shared" si="6"/>
        <v>0.1620184</v>
      </c>
      <c r="P368" s="8">
        <f t="shared" si="7"/>
        <v>0.2430276</v>
      </c>
      <c r="Q368" s="8">
        <f t="shared" si="8"/>
        <v>0.0810092</v>
      </c>
      <c r="R368" s="57"/>
      <c r="S368" s="57"/>
      <c r="T368" s="57"/>
      <c r="U368" s="57"/>
      <c r="V368" s="57"/>
      <c r="W368" s="57"/>
      <c r="X368" s="57"/>
      <c r="Y368" s="57"/>
      <c r="Z368" s="17"/>
    </row>
    <row r="369" ht="34.5" customHeight="1">
      <c r="A369" s="24" t="s">
        <v>335</v>
      </c>
      <c r="B369" s="62" t="s">
        <v>379</v>
      </c>
      <c r="C369" s="65" t="s">
        <v>421</v>
      </c>
      <c r="D369" s="65" t="s">
        <v>421</v>
      </c>
      <c r="E369" s="65">
        <v>672.0</v>
      </c>
      <c r="F369" s="66">
        <v>23.56</v>
      </c>
      <c r="G369" s="62">
        <v>18.0</v>
      </c>
      <c r="H369" s="63">
        <v>100.0</v>
      </c>
      <c r="I369" s="63">
        <v>100.0</v>
      </c>
      <c r="J369" s="67">
        <v>604.3455</v>
      </c>
      <c r="K369" s="67">
        <v>549.405</v>
      </c>
      <c r="L369" s="8">
        <f t="shared" si="3"/>
        <v>5.565129795</v>
      </c>
      <c r="M369" s="8">
        <f t="shared" si="4"/>
        <v>1.669538938</v>
      </c>
      <c r="N369" s="8">
        <f t="shared" si="5"/>
        <v>0.3339077877</v>
      </c>
      <c r="O369" s="8">
        <f t="shared" si="6"/>
        <v>1.09881</v>
      </c>
      <c r="P369" s="8">
        <f t="shared" si="7"/>
        <v>1.648215</v>
      </c>
      <c r="Q369" s="8">
        <f t="shared" si="8"/>
        <v>0.549405</v>
      </c>
      <c r="R369" s="57"/>
      <c r="S369" s="57"/>
      <c r="T369" s="57"/>
      <c r="U369" s="57"/>
      <c r="V369" s="57"/>
      <c r="W369" s="57"/>
      <c r="X369" s="57"/>
      <c r="Y369" s="57"/>
      <c r="Z369" s="17"/>
    </row>
    <row r="370" ht="34.5" customHeight="1">
      <c r="A370" s="24" t="s">
        <v>335</v>
      </c>
      <c r="B370" s="62" t="s">
        <v>379</v>
      </c>
      <c r="C370" s="65" t="s">
        <v>421</v>
      </c>
      <c r="D370" s="65" t="s">
        <v>423</v>
      </c>
      <c r="E370" s="65">
        <v>16.0</v>
      </c>
      <c r="F370" s="66">
        <v>9.42</v>
      </c>
      <c r="G370" s="62">
        <v>1.0</v>
      </c>
      <c r="H370" s="63">
        <v>100.0</v>
      </c>
      <c r="I370" s="63">
        <v>100.0</v>
      </c>
      <c r="J370" s="67">
        <v>18.95839</v>
      </c>
      <c r="K370" s="67">
        <v>17.2349</v>
      </c>
      <c r="L370" s="8">
        <f t="shared" si="3"/>
        <v>0.1745787816</v>
      </c>
      <c r="M370" s="8">
        <f t="shared" si="4"/>
        <v>0.05237363447</v>
      </c>
      <c r="N370" s="8">
        <f t="shared" si="5"/>
        <v>0.01047472689</v>
      </c>
      <c r="O370" s="8">
        <f t="shared" si="6"/>
        <v>0.0344698</v>
      </c>
      <c r="P370" s="8">
        <f t="shared" si="7"/>
        <v>0.0517047</v>
      </c>
      <c r="Q370" s="8">
        <f t="shared" si="8"/>
        <v>0.0172349</v>
      </c>
      <c r="R370" s="57"/>
      <c r="S370" s="57"/>
      <c r="T370" s="57"/>
      <c r="U370" s="57"/>
      <c r="V370" s="57"/>
      <c r="W370" s="57"/>
      <c r="X370" s="57"/>
      <c r="Y370" s="57"/>
      <c r="Z370" s="17"/>
    </row>
    <row r="371" ht="34.5" customHeight="1">
      <c r="A371" s="24" t="s">
        <v>335</v>
      </c>
      <c r="B371" s="62" t="s">
        <v>379</v>
      </c>
      <c r="C371" s="65" t="s">
        <v>421</v>
      </c>
      <c r="D371" s="65" t="s">
        <v>424</v>
      </c>
      <c r="E371" s="65">
        <v>35.0</v>
      </c>
      <c r="F371" s="66">
        <v>9.22</v>
      </c>
      <c r="G371" s="62">
        <v>1.0</v>
      </c>
      <c r="H371" s="63">
        <v>100.0</v>
      </c>
      <c r="I371" s="63">
        <v>100.0</v>
      </c>
      <c r="J371" s="67">
        <v>31.97667</v>
      </c>
      <c r="K371" s="67">
        <v>29.0697</v>
      </c>
      <c r="L371" s="8">
        <f t="shared" si="3"/>
        <v>0.2944579201</v>
      </c>
      <c r="M371" s="8">
        <f t="shared" si="4"/>
        <v>0.08833737603</v>
      </c>
      <c r="N371" s="8">
        <f t="shared" si="5"/>
        <v>0.01766747521</v>
      </c>
      <c r="O371" s="8">
        <f t="shared" si="6"/>
        <v>0.0581394</v>
      </c>
      <c r="P371" s="8">
        <f t="shared" si="7"/>
        <v>0.0872091</v>
      </c>
      <c r="Q371" s="8">
        <f t="shared" si="8"/>
        <v>0.0290697</v>
      </c>
      <c r="R371" s="57"/>
      <c r="S371" s="57"/>
      <c r="T371" s="57"/>
      <c r="U371" s="57"/>
      <c r="V371" s="57"/>
      <c r="W371" s="57"/>
      <c r="X371" s="57"/>
      <c r="Y371" s="57"/>
      <c r="Z371" s="17"/>
    </row>
    <row r="372" ht="34.5" customHeight="1">
      <c r="A372" s="24" t="s">
        <v>335</v>
      </c>
      <c r="B372" s="62" t="s">
        <v>379</v>
      </c>
      <c r="C372" s="65" t="s">
        <v>421</v>
      </c>
      <c r="D372" s="65" t="s">
        <v>425</v>
      </c>
      <c r="E372" s="65">
        <v>34.0</v>
      </c>
      <c r="F372" s="66">
        <v>7.27</v>
      </c>
      <c r="G372" s="62">
        <v>1.0</v>
      </c>
      <c r="H372" s="63">
        <v>92.29</v>
      </c>
      <c r="I372" s="63">
        <v>100.0</v>
      </c>
      <c r="J372" s="67">
        <v>39.70824</v>
      </c>
      <c r="K372" s="67">
        <v>36.0984</v>
      </c>
      <c r="L372" s="8">
        <f t="shared" si="3"/>
        <v>0.3656542648</v>
      </c>
      <c r="M372" s="8">
        <f t="shared" si="4"/>
        <v>0.1096962795</v>
      </c>
      <c r="N372" s="8">
        <f t="shared" si="5"/>
        <v>0.02193925589</v>
      </c>
      <c r="O372" s="8">
        <f t="shared" si="6"/>
        <v>0.0721968</v>
      </c>
      <c r="P372" s="8">
        <f t="shared" si="7"/>
        <v>0.1082952</v>
      </c>
      <c r="Q372" s="8">
        <f t="shared" si="8"/>
        <v>0.0360984</v>
      </c>
      <c r="R372" s="57"/>
      <c r="S372" s="57"/>
      <c r="T372" s="57"/>
      <c r="U372" s="57"/>
      <c r="V372" s="57"/>
      <c r="W372" s="57"/>
      <c r="X372" s="57"/>
      <c r="Y372" s="57"/>
      <c r="Z372" s="17"/>
    </row>
    <row r="373" ht="34.5" customHeight="1">
      <c r="A373" s="24" t="s">
        <v>335</v>
      </c>
      <c r="B373" s="62" t="s">
        <v>379</v>
      </c>
      <c r="C373" s="65" t="s">
        <v>421</v>
      </c>
      <c r="D373" s="65" t="s">
        <v>426</v>
      </c>
      <c r="E373" s="65">
        <v>34.0</v>
      </c>
      <c r="F373" s="66">
        <v>16.86</v>
      </c>
      <c r="G373" s="62">
        <v>1.0</v>
      </c>
      <c r="H373" s="63">
        <v>89.94</v>
      </c>
      <c r="I373" s="63">
        <v>100.0</v>
      </c>
      <c r="J373" s="67">
        <v>36.146</v>
      </c>
      <c r="K373" s="67">
        <v>32.86</v>
      </c>
      <c r="L373" s="8">
        <f t="shared" si="3"/>
        <v>0.3328512938</v>
      </c>
      <c r="M373" s="8">
        <f t="shared" si="4"/>
        <v>0.09985538813</v>
      </c>
      <c r="N373" s="8">
        <f t="shared" si="5"/>
        <v>0.01997107763</v>
      </c>
      <c r="O373" s="8">
        <f t="shared" si="6"/>
        <v>0.06572</v>
      </c>
      <c r="P373" s="8">
        <f t="shared" si="7"/>
        <v>0.09858</v>
      </c>
      <c r="Q373" s="8">
        <f t="shared" si="8"/>
        <v>0.03286</v>
      </c>
      <c r="R373" s="57"/>
      <c r="S373" s="57"/>
      <c r="T373" s="57"/>
      <c r="U373" s="57"/>
      <c r="V373" s="57"/>
      <c r="W373" s="57"/>
      <c r="X373" s="57"/>
      <c r="Y373" s="57"/>
      <c r="Z373" s="17"/>
    </row>
    <row r="374" ht="34.5" customHeight="1">
      <c r="A374" s="24" t="s">
        <v>335</v>
      </c>
      <c r="B374" s="62" t="s">
        <v>379</v>
      </c>
      <c r="C374" s="65" t="s">
        <v>421</v>
      </c>
      <c r="D374" s="65" t="s">
        <v>427</v>
      </c>
      <c r="E374" s="65">
        <v>32.0</v>
      </c>
      <c r="F374" s="66">
        <v>11.95</v>
      </c>
      <c r="G374" s="62">
        <v>1.0</v>
      </c>
      <c r="H374" s="63">
        <v>0.0</v>
      </c>
      <c r="I374" s="63">
        <v>0.0</v>
      </c>
      <c r="J374" s="67">
        <v>25.07934</v>
      </c>
      <c r="K374" s="67">
        <v>22.7994</v>
      </c>
      <c r="L374" s="8">
        <f t="shared" si="3"/>
        <v>0.2309436941</v>
      </c>
      <c r="M374" s="8">
        <f t="shared" si="4"/>
        <v>0.06928310822</v>
      </c>
      <c r="N374" s="8">
        <f t="shared" si="5"/>
        <v>0.01385662164</v>
      </c>
      <c r="O374" s="8">
        <f t="shared" si="6"/>
        <v>0.0455988</v>
      </c>
      <c r="P374" s="8">
        <f t="shared" si="7"/>
        <v>0.0683982</v>
      </c>
      <c r="Q374" s="8">
        <f t="shared" si="8"/>
        <v>0.0227994</v>
      </c>
      <c r="R374" s="57"/>
      <c r="S374" s="57"/>
      <c r="T374" s="57"/>
      <c r="U374" s="57"/>
      <c r="V374" s="57"/>
      <c r="W374" s="57"/>
      <c r="X374" s="57"/>
      <c r="Y374" s="57"/>
      <c r="Z374" s="17"/>
    </row>
    <row r="375" ht="34.5" customHeight="1">
      <c r="A375" s="24" t="s">
        <v>335</v>
      </c>
      <c r="B375" s="62" t="s">
        <v>379</v>
      </c>
      <c r="C375" s="65" t="s">
        <v>421</v>
      </c>
      <c r="D375" s="65" t="s">
        <v>428</v>
      </c>
      <c r="E375" s="65">
        <v>102.0</v>
      </c>
      <c r="F375" s="66">
        <v>17.79</v>
      </c>
      <c r="G375" s="62">
        <v>4.0</v>
      </c>
      <c r="H375" s="63">
        <v>33.3</v>
      </c>
      <c r="I375" s="63">
        <v>66.89</v>
      </c>
      <c r="J375" s="67">
        <v>99.8613</v>
      </c>
      <c r="K375" s="67">
        <v>90.783</v>
      </c>
      <c r="L375" s="8">
        <f t="shared" si="3"/>
        <v>0.919575137</v>
      </c>
      <c r="M375" s="8">
        <f t="shared" si="4"/>
        <v>0.2758725411</v>
      </c>
      <c r="N375" s="8">
        <f t="shared" si="5"/>
        <v>0.05517450822</v>
      </c>
      <c r="O375" s="8">
        <f t="shared" si="6"/>
        <v>0.181566</v>
      </c>
      <c r="P375" s="8">
        <f t="shared" si="7"/>
        <v>0.272349</v>
      </c>
      <c r="Q375" s="8">
        <f t="shared" si="8"/>
        <v>0.090783</v>
      </c>
      <c r="R375" s="57"/>
      <c r="S375" s="57"/>
      <c r="T375" s="57"/>
      <c r="U375" s="57"/>
      <c r="V375" s="57"/>
      <c r="W375" s="57"/>
      <c r="X375" s="57"/>
      <c r="Y375" s="57"/>
      <c r="Z375" s="17"/>
    </row>
    <row r="376" ht="34.5" customHeight="1">
      <c r="A376" s="24" t="s">
        <v>335</v>
      </c>
      <c r="B376" s="62" t="s">
        <v>379</v>
      </c>
      <c r="C376" s="65" t="s">
        <v>421</v>
      </c>
      <c r="D376" s="65" t="s">
        <v>429</v>
      </c>
      <c r="E376" s="65">
        <v>17.0</v>
      </c>
      <c r="F376" s="66">
        <v>9.81</v>
      </c>
      <c r="G376" s="62">
        <v>1.0</v>
      </c>
      <c r="H376" s="63">
        <v>100.0</v>
      </c>
      <c r="I376" s="63">
        <v>100.0</v>
      </c>
      <c r="J376" s="67">
        <v>19.3732</v>
      </c>
      <c r="K376" s="67">
        <v>17.612</v>
      </c>
      <c r="L376" s="8">
        <f t="shared" si="3"/>
        <v>0.1783985693</v>
      </c>
      <c r="M376" s="8">
        <f t="shared" si="4"/>
        <v>0.05351957078</v>
      </c>
      <c r="N376" s="8">
        <f t="shared" si="5"/>
        <v>0.01070391416</v>
      </c>
      <c r="O376" s="8">
        <f t="shared" si="6"/>
        <v>0.035224</v>
      </c>
      <c r="P376" s="8">
        <f t="shared" si="7"/>
        <v>0.052836</v>
      </c>
      <c r="Q376" s="8">
        <f t="shared" si="8"/>
        <v>0.017612</v>
      </c>
      <c r="R376" s="57"/>
      <c r="S376" s="57"/>
      <c r="T376" s="57"/>
      <c r="U376" s="57"/>
      <c r="V376" s="57"/>
      <c r="W376" s="57"/>
      <c r="X376" s="57"/>
      <c r="Y376" s="57"/>
      <c r="Z376" s="17"/>
    </row>
    <row r="377" ht="34.5" customHeight="1">
      <c r="A377" s="24" t="s">
        <v>335</v>
      </c>
      <c r="B377" s="62" t="s">
        <v>379</v>
      </c>
      <c r="C377" s="65" t="s">
        <v>421</v>
      </c>
      <c r="D377" s="65" t="s">
        <v>430</v>
      </c>
      <c r="E377" s="65">
        <v>32.0</v>
      </c>
      <c r="F377" s="66">
        <v>18.95</v>
      </c>
      <c r="G377" s="62">
        <v>1.0</v>
      </c>
      <c r="H377" s="63">
        <v>82.75</v>
      </c>
      <c r="I377" s="63">
        <v>82.75</v>
      </c>
      <c r="J377" s="67">
        <v>36.09804</v>
      </c>
      <c r="K377" s="67">
        <v>32.8164</v>
      </c>
      <c r="L377" s="8">
        <f t="shared" si="3"/>
        <v>0.332409653</v>
      </c>
      <c r="M377" s="8">
        <f t="shared" si="4"/>
        <v>0.09972289589</v>
      </c>
      <c r="N377" s="8">
        <f t="shared" si="5"/>
        <v>0.01994457918</v>
      </c>
      <c r="O377" s="8">
        <f t="shared" si="6"/>
        <v>0.0656328</v>
      </c>
      <c r="P377" s="8">
        <f t="shared" si="7"/>
        <v>0.0984492</v>
      </c>
      <c r="Q377" s="8">
        <f t="shared" si="8"/>
        <v>0.0328164</v>
      </c>
      <c r="R377" s="57"/>
      <c r="S377" s="57"/>
      <c r="T377" s="57"/>
      <c r="U377" s="57"/>
      <c r="V377" s="57"/>
      <c r="W377" s="57"/>
      <c r="X377" s="57"/>
      <c r="Y377" s="57"/>
      <c r="Z377" s="17"/>
    </row>
    <row r="378" ht="34.5" customHeight="1">
      <c r="A378" s="24" t="s">
        <v>335</v>
      </c>
      <c r="B378" s="62" t="s">
        <v>379</v>
      </c>
      <c r="C378" s="65" t="s">
        <v>421</v>
      </c>
      <c r="D378" s="65" t="s">
        <v>431</v>
      </c>
      <c r="E378" s="65">
        <v>33.0</v>
      </c>
      <c r="F378" s="66">
        <v>8.47</v>
      </c>
      <c r="G378" s="62">
        <v>1.0</v>
      </c>
      <c r="H378" s="63">
        <v>0.0</v>
      </c>
      <c r="I378" s="63">
        <v>0.0</v>
      </c>
      <c r="J378" s="67">
        <v>24.1956</v>
      </c>
      <c r="K378" s="67">
        <v>21.996</v>
      </c>
      <c r="L378" s="8">
        <f t="shared" si="3"/>
        <v>0.2228057534</v>
      </c>
      <c r="M378" s="8">
        <f t="shared" si="4"/>
        <v>0.06684172603</v>
      </c>
      <c r="N378" s="8">
        <f t="shared" si="5"/>
        <v>0.01336834521</v>
      </c>
      <c r="O378" s="8">
        <f t="shared" si="6"/>
        <v>0.043992</v>
      </c>
      <c r="P378" s="8">
        <f t="shared" si="7"/>
        <v>0.065988</v>
      </c>
      <c r="Q378" s="8">
        <f t="shared" si="8"/>
        <v>0.021996</v>
      </c>
      <c r="R378" s="57"/>
      <c r="S378" s="57"/>
      <c r="T378" s="57"/>
      <c r="U378" s="57"/>
      <c r="V378" s="57"/>
      <c r="W378" s="57"/>
      <c r="X378" s="57"/>
      <c r="Y378" s="57"/>
      <c r="Z378" s="17"/>
    </row>
    <row r="379" ht="34.5" customHeight="1">
      <c r="A379" s="24" t="s">
        <v>335</v>
      </c>
      <c r="B379" s="62" t="s">
        <v>379</v>
      </c>
      <c r="C379" s="65" t="s">
        <v>421</v>
      </c>
      <c r="D379" s="65" t="s">
        <v>432</v>
      </c>
      <c r="E379" s="65">
        <v>13.0</v>
      </c>
      <c r="F379" s="66">
        <v>11.68</v>
      </c>
      <c r="G379" s="62">
        <v>1.0</v>
      </c>
      <c r="H379" s="63">
        <v>100.0</v>
      </c>
      <c r="I379" s="63">
        <v>100.0</v>
      </c>
      <c r="J379" s="67">
        <v>18.19345</v>
      </c>
      <c r="K379" s="67">
        <v>16.5395</v>
      </c>
      <c r="L379" s="8">
        <f t="shared" si="3"/>
        <v>0.1675348135</v>
      </c>
      <c r="M379" s="8">
        <f t="shared" si="4"/>
        <v>0.05026044406</v>
      </c>
      <c r="N379" s="8">
        <f t="shared" si="5"/>
        <v>0.01005208881</v>
      </c>
      <c r="O379" s="8">
        <f t="shared" si="6"/>
        <v>0.033079</v>
      </c>
      <c r="P379" s="8">
        <f t="shared" si="7"/>
        <v>0.0496185</v>
      </c>
      <c r="Q379" s="8">
        <f t="shared" si="8"/>
        <v>0.0165395</v>
      </c>
      <c r="R379" s="57"/>
      <c r="S379" s="57"/>
      <c r="T379" s="57"/>
      <c r="U379" s="57"/>
      <c r="V379" s="57"/>
      <c r="W379" s="57"/>
      <c r="X379" s="57"/>
      <c r="Y379" s="57"/>
      <c r="Z379" s="17"/>
    </row>
    <row r="380" ht="34.5" customHeight="1">
      <c r="A380" s="24" t="s">
        <v>335</v>
      </c>
      <c r="B380" s="62" t="s">
        <v>379</v>
      </c>
      <c r="C380" s="65" t="s">
        <v>421</v>
      </c>
      <c r="D380" s="65" t="s">
        <v>433</v>
      </c>
      <c r="E380" s="65">
        <v>10.0</v>
      </c>
      <c r="F380" s="66">
        <v>7.99</v>
      </c>
      <c r="G380" s="62">
        <v>1.0</v>
      </c>
      <c r="H380" s="63">
        <v>100.0</v>
      </c>
      <c r="I380" s="63">
        <v>100.0</v>
      </c>
      <c r="J380" s="67">
        <v>15.2922</v>
      </c>
      <c r="K380" s="67">
        <v>13.902</v>
      </c>
      <c r="L380" s="8">
        <f t="shared" si="3"/>
        <v>0.1408185845</v>
      </c>
      <c r="M380" s="8">
        <f t="shared" si="4"/>
        <v>0.04224557534</v>
      </c>
      <c r="N380" s="8">
        <f t="shared" si="5"/>
        <v>0.008449115068</v>
      </c>
      <c r="O380" s="8">
        <f t="shared" si="6"/>
        <v>0.027804</v>
      </c>
      <c r="P380" s="8">
        <f t="shared" si="7"/>
        <v>0.041706</v>
      </c>
      <c r="Q380" s="8">
        <f t="shared" si="8"/>
        <v>0.013902</v>
      </c>
      <c r="R380" s="57"/>
      <c r="S380" s="57"/>
      <c r="T380" s="57"/>
      <c r="U380" s="57"/>
      <c r="V380" s="57"/>
      <c r="W380" s="57"/>
      <c r="X380" s="57"/>
      <c r="Y380" s="57"/>
      <c r="Z380" s="17"/>
    </row>
    <row r="381" ht="34.5" customHeight="1">
      <c r="A381" s="24" t="s">
        <v>335</v>
      </c>
      <c r="B381" s="62" t="s">
        <v>379</v>
      </c>
      <c r="C381" s="65" t="s">
        <v>434</v>
      </c>
      <c r="D381" s="65" t="s">
        <v>435</v>
      </c>
      <c r="E381" s="65">
        <v>365.0</v>
      </c>
      <c r="F381" s="66">
        <v>28.32</v>
      </c>
      <c r="G381" s="62">
        <v>3.0</v>
      </c>
      <c r="H381" s="63">
        <v>39.42</v>
      </c>
      <c r="I381" s="63">
        <v>56.56</v>
      </c>
      <c r="J381" s="67">
        <v>227.8914</v>
      </c>
      <c r="K381" s="67">
        <v>207.174</v>
      </c>
      <c r="L381" s="8">
        <f t="shared" si="3"/>
        <v>2.098543333</v>
      </c>
      <c r="M381" s="8">
        <f t="shared" si="4"/>
        <v>0.629563</v>
      </c>
      <c r="N381" s="8">
        <f t="shared" si="5"/>
        <v>0.1259126</v>
      </c>
      <c r="O381" s="8">
        <f t="shared" si="6"/>
        <v>0.414348</v>
      </c>
      <c r="P381" s="8">
        <f t="shared" si="7"/>
        <v>0.621522</v>
      </c>
      <c r="Q381" s="8">
        <f t="shared" si="8"/>
        <v>0.207174</v>
      </c>
      <c r="R381" s="57"/>
      <c r="S381" s="57"/>
      <c r="T381" s="57"/>
      <c r="U381" s="57"/>
      <c r="V381" s="57"/>
      <c r="W381" s="57"/>
      <c r="X381" s="57"/>
      <c r="Y381" s="57"/>
      <c r="Z381" s="17"/>
    </row>
    <row r="382" ht="34.5" customHeight="1">
      <c r="A382" s="24" t="s">
        <v>335</v>
      </c>
      <c r="B382" s="62" t="s">
        <v>379</v>
      </c>
      <c r="C382" s="65" t="s">
        <v>434</v>
      </c>
      <c r="D382" s="65" t="s">
        <v>436</v>
      </c>
      <c r="E382" s="65">
        <v>95.0</v>
      </c>
      <c r="F382" s="66">
        <v>25.31</v>
      </c>
      <c r="G382" s="62">
        <v>4.0</v>
      </c>
      <c r="H382" s="63">
        <v>0.0</v>
      </c>
      <c r="I382" s="63">
        <v>33.08</v>
      </c>
      <c r="J382" s="67">
        <v>70.80128</v>
      </c>
      <c r="K382" s="67">
        <v>64.3648</v>
      </c>
      <c r="L382" s="8">
        <f t="shared" si="3"/>
        <v>0.6519752572</v>
      </c>
      <c r="M382" s="8">
        <f t="shared" si="4"/>
        <v>0.1955925772</v>
      </c>
      <c r="N382" s="8">
        <f t="shared" si="5"/>
        <v>0.03911851543</v>
      </c>
      <c r="O382" s="8">
        <f t="shared" si="6"/>
        <v>0.1287296</v>
      </c>
      <c r="P382" s="8">
        <f t="shared" si="7"/>
        <v>0.1930944</v>
      </c>
      <c r="Q382" s="8">
        <f t="shared" si="8"/>
        <v>0.0643648</v>
      </c>
      <c r="R382" s="57"/>
      <c r="S382" s="57"/>
      <c r="T382" s="57"/>
      <c r="U382" s="57"/>
      <c r="V382" s="57"/>
      <c r="W382" s="57"/>
      <c r="X382" s="57"/>
      <c r="Y382" s="57"/>
      <c r="Z382" s="17"/>
    </row>
    <row r="383" ht="34.5" customHeight="1">
      <c r="A383" s="24" t="s">
        <v>335</v>
      </c>
      <c r="B383" s="62" t="s">
        <v>379</v>
      </c>
      <c r="C383" s="65" t="s">
        <v>434</v>
      </c>
      <c r="D383" s="65" t="s">
        <v>437</v>
      </c>
      <c r="E383" s="65">
        <v>136.0</v>
      </c>
      <c r="F383" s="66">
        <v>24.94</v>
      </c>
      <c r="G383" s="62">
        <v>3.0</v>
      </c>
      <c r="H383" s="63">
        <v>74.7</v>
      </c>
      <c r="I383" s="63">
        <v>100.0</v>
      </c>
      <c r="J383" s="67">
        <v>94.88875</v>
      </c>
      <c r="K383" s="67">
        <v>86.2625</v>
      </c>
      <c r="L383" s="8">
        <f t="shared" si="3"/>
        <v>0.873785293</v>
      </c>
      <c r="M383" s="8">
        <f t="shared" si="4"/>
        <v>0.2621355879</v>
      </c>
      <c r="N383" s="8">
        <f t="shared" si="5"/>
        <v>0.05242711758</v>
      </c>
      <c r="O383" s="8">
        <f t="shared" si="6"/>
        <v>0.172525</v>
      </c>
      <c r="P383" s="8">
        <f t="shared" si="7"/>
        <v>0.2587875</v>
      </c>
      <c r="Q383" s="8">
        <f t="shared" si="8"/>
        <v>0.0862625</v>
      </c>
      <c r="R383" s="57"/>
      <c r="S383" s="57"/>
      <c r="T383" s="57"/>
      <c r="U383" s="57"/>
      <c r="V383" s="57"/>
      <c r="W383" s="57"/>
      <c r="X383" s="57"/>
      <c r="Y383" s="57"/>
      <c r="Z383" s="17"/>
    </row>
    <row r="384" ht="34.5" customHeight="1">
      <c r="A384" s="24" t="s">
        <v>335</v>
      </c>
      <c r="B384" s="62" t="s">
        <v>379</v>
      </c>
      <c r="C384" s="65" t="s">
        <v>434</v>
      </c>
      <c r="D384" s="65" t="s">
        <v>438</v>
      </c>
      <c r="E384" s="65">
        <v>255.0</v>
      </c>
      <c r="F384" s="66">
        <v>28.95</v>
      </c>
      <c r="G384" s="62">
        <v>5.0</v>
      </c>
      <c r="H384" s="63">
        <v>0.0</v>
      </c>
      <c r="I384" s="63">
        <v>100.0</v>
      </c>
      <c r="J384" s="67">
        <v>191.94208</v>
      </c>
      <c r="K384" s="67">
        <v>174.4928</v>
      </c>
      <c r="L384" s="8">
        <f t="shared" si="3"/>
        <v>1.767503172</v>
      </c>
      <c r="M384" s="8">
        <f t="shared" si="4"/>
        <v>0.5302509516</v>
      </c>
      <c r="N384" s="8">
        <f t="shared" si="5"/>
        <v>0.1060501903</v>
      </c>
      <c r="O384" s="8">
        <f t="shared" si="6"/>
        <v>0.3489856</v>
      </c>
      <c r="P384" s="8">
        <f t="shared" si="7"/>
        <v>0.5234784</v>
      </c>
      <c r="Q384" s="8">
        <f t="shared" si="8"/>
        <v>0.1744928</v>
      </c>
      <c r="R384" s="57"/>
      <c r="S384" s="57"/>
      <c r="T384" s="57"/>
      <c r="U384" s="57"/>
      <c r="V384" s="57"/>
      <c r="W384" s="57"/>
      <c r="X384" s="57"/>
      <c r="Y384" s="57"/>
      <c r="Z384" s="17"/>
    </row>
    <row r="385" ht="34.5" customHeight="1">
      <c r="A385" s="24" t="s">
        <v>335</v>
      </c>
      <c r="B385" s="62" t="s">
        <v>379</v>
      </c>
      <c r="C385" s="65" t="s">
        <v>434</v>
      </c>
      <c r="D385" s="65" t="s">
        <v>439</v>
      </c>
      <c r="E385" s="65">
        <v>129.0</v>
      </c>
      <c r="F385" s="66">
        <v>26.14</v>
      </c>
      <c r="G385" s="62">
        <v>3.0</v>
      </c>
      <c r="H385" s="63">
        <v>83.51</v>
      </c>
      <c r="I385" s="63">
        <v>100.0</v>
      </c>
      <c r="J385" s="67">
        <v>109.63128</v>
      </c>
      <c r="K385" s="67">
        <v>99.6648</v>
      </c>
      <c r="L385" s="8">
        <f t="shared" si="3"/>
        <v>1.009542228</v>
      </c>
      <c r="M385" s="8">
        <f t="shared" si="4"/>
        <v>0.3028626685</v>
      </c>
      <c r="N385" s="8">
        <f t="shared" si="5"/>
        <v>0.0605725337</v>
      </c>
      <c r="O385" s="8">
        <f t="shared" si="6"/>
        <v>0.1993296</v>
      </c>
      <c r="P385" s="8">
        <f t="shared" si="7"/>
        <v>0.2989944</v>
      </c>
      <c r="Q385" s="8">
        <f t="shared" si="8"/>
        <v>0.0996648</v>
      </c>
      <c r="R385" s="57"/>
      <c r="S385" s="57"/>
      <c r="T385" s="57"/>
      <c r="U385" s="57"/>
      <c r="V385" s="57"/>
      <c r="W385" s="57"/>
      <c r="X385" s="57"/>
      <c r="Y385" s="57"/>
      <c r="Z385" s="17"/>
    </row>
    <row r="386" ht="34.5" customHeight="1">
      <c r="A386" s="24" t="s">
        <v>335</v>
      </c>
      <c r="B386" s="62" t="s">
        <v>379</v>
      </c>
      <c r="C386" s="65" t="s">
        <v>434</v>
      </c>
      <c r="D386" s="65" t="s">
        <v>440</v>
      </c>
      <c r="E386" s="65">
        <v>76.0</v>
      </c>
      <c r="F386" s="66">
        <v>24.18</v>
      </c>
      <c r="G386" s="62">
        <v>4.0</v>
      </c>
      <c r="H386" s="63">
        <v>0.0</v>
      </c>
      <c r="I386" s="63">
        <v>0.0</v>
      </c>
      <c r="J386" s="67">
        <v>71.1348</v>
      </c>
      <c r="K386" s="67">
        <v>64.668</v>
      </c>
      <c r="L386" s="8">
        <f t="shared" si="3"/>
        <v>0.655046484</v>
      </c>
      <c r="M386" s="8">
        <f t="shared" si="4"/>
        <v>0.1965139452</v>
      </c>
      <c r="N386" s="8">
        <f t="shared" si="5"/>
        <v>0.03930278904</v>
      </c>
      <c r="O386" s="8">
        <f t="shared" si="6"/>
        <v>0.129336</v>
      </c>
      <c r="P386" s="8">
        <f t="shared" si="7"/>
        <v>0.194004</v>
      </c>
      <c r="Q386" s="8">
        <f t="shared" si="8"/>
        <v>0.064668</v>
      </c>
      <c r="R386" s="57"/>
      <c r="S386" s="57"/>
      <c r="T386" s="57"/>
      <c r="U386" s="57"/>
      <c r="V386" s="57"/>
      <c r="W386" s="57"/>
      <c r="X386" s="57"/>
      <c r="Y386" s="57"/>
      <c r="Z386" s="17"/>
    </row>
    <row r="387" ht="34.5" customHeight="1">
      <c r="A387" s="24" t="s">
        <v>335</v>
      </c>
      <c r="B387" s="62" t="s">
        <v>379</v>
      </c>
      <c r="C387" s="65" t="s">
        <v>434</v>
      </c>
      <c r="D387" s="65" t="s">
        <v>441</v>
      </c>
      <c r="E387" s="65">
        <v>85.0</v>
      </c>
      <c r="F387" s="66">
        <v>16.32</v>
      </c>
      <c r="G387" s="62">
        <v>1.0</v>
      </c>
      <c r="H387" s="63">
        <v>100.0</v>
      </c>
      <c r="I387" s="63">
        <v>100.0</v>
      </c>
      <c r="J387" s="67">
        <v>69.31144</v>
      </c>
      <c r="K387" s="67">
        <v>63.0104</v>
      </c>
      <c r="L387" s="8">
        <f t="shared" si="3"/>
        <v>0.6382560304</v>
      </c>
      <c r="M387" s="8">
        <f t="shared" si="4"/>
        <v>0.1914768091</v>
      </c>
      <c r="N387" s="8">
        <f t="shared" si="5"/>
        <v>0.03829536183</v>
      </c>
      <c r="O387" s="8">
        <f t="shared" si="6"/>
        <v>0.1260208</v>
      </c>
      <c r="P387" s="8">
        <f t="shared" si="7"/>
        <v>0.1890312</v>
      </c>
      <c r="Q387" s="8">
        <f t="shared" si="8"/>
        <v>0.0630104</v>
      </c>
      <c r="R387" s="57"/>
      <c r="S387" s="57"/>
      <c r="T387" s="57"/>
      <c r="U387" s="57"/>
      <c r="V387" s="57"/>
      <c r="W387" s="57"/>
      <c r="X387" s="57"/>
      <c r="Y387" s="57"/>
      <c r="Z387" s="17"/>
    </row>
    <row r="388" ht="34.5" customHeight="1">
      <c r="A388" s="24" t="s">
        <v>335</v>
      </c>
      <c r="B388" s="62" t="s">
        <v>379</v>
      </c>
      <c r="C388" s="65" t="s">
        <v>434</v>
      </c>
      <c r="D388" s="52" t="s">
        <v>442</v>
      </c>
      <c r="E388" s="52">
        <v>664.0</v>
      </c>
      <c r="F388" s="68">
        <v>36.85</v>
      </c>
      <c r="G388" s="34">
        <v>5.0</v>
      </c>
      <c r="H388" s="35">
        <v>0.0</v>
      </c>
      <c r="I388" s="35">
        <v>35.4</v>
      </c>
      <c r="J388" s="69">
        <v>507.6786</v>
      </c>
      <c r="K388" s="69">
        <v>461.526</v>
      </c>
      <c r="L388" s="8">
        <f t="shared" si="3"/>
        <v>4.674970365</v>
      </c>
      <c r="M388" s="8">
        <f t="shared" si="4"/>
        <v>1.40249111</v>
      </c>
      <c r="N388" s="8">
        <f t="shared" si="5"/>
        <v>0.2804982219</v>
      </c>
      <c r="O388" s="8">
        <f t="shared" si="6"/>
        <v>0.923052</v>
      </c>
      <c r="P388" s="8">
        <f t="shared" si="7"/>
        <v>1.384578</v>
      </c>
      <c r="Q388" s="8">
        <f t="shared" si="8"/>
        <v>0.461526</v>
      </c>
      <c r="R388" s="57"/>
      <c r="S388" s="57"/>
      <c r="T388" s="57"/>
      <c r="U388" s="57"/>
      <c r="V388" s="57"/>
      <c r="W388" s="57"/>
      <c r="X388" s="57"/>
      <c r="Y388" s="57"/>
      <c r="Z388" s="17"/>
    </row>
    <row r="389" ht="34.5" customHeight="1">
      <c r="A389" s="24" t="s">
        <v>335</v>
      </c>
      <c r="B389" s="62" t="s">
        <v>379</v>
      </c>
      <c r="C389" s="65" t="s">
        <v>434</v>
      </c>
      <c r="D389" s="65" t="s">
        <v>443</v>
      </c>
      <c r="E389" s="65">
        <v>58.0</v>
      </c>
      <c r="F389" s="66">
        <v>13.27</v>
      </c>
      <c r="G389" s="62">
        <v>1.0</v>
      </c>
      <c r="H389" s="63">
        <v>0.0</v>
      </c>
      <c r="I389" s="63">
        <v>100.0</v>
      </c>
      <c r="J389" s="67">
        <v>56.5928</v>
      </c>
      <c r="K389" s="67">
        <v>51.448</v>
      </c>
      <c r="L389" s="8">
        <f t="shared" si="3"/>
        <v>0.5211361339</v>
      </c>
      <c r="M389" s="8">
        <f t="shared" si="4"/>
        <v>0.1563408402</v>
      </c>
      <c r="N389" s="8">
        <f t="shared" si="5"/>
        <v>0.03126816804</v>
      </c>
      <c r="O389" s="8">
        <f t="shared" si="6"/>
        <v>0.102896</v>
      </c>
      <c r="P389" s="8">
        <f t="shared" si="7"/>
        <v>0.154344</v>
      </c>
      <c r="Q389" s="8">
        <f t="shared" si="8"/>
        <v>0.051448</v>
      </c>
      <c r="R389" s="57"/>
      <c r="S389" s="57"/>
      <c r="T389" s="57"/>
      <c r="U389" s="57"/>
      <c r="V389" s="57"/>
      <c r="W389" s="57"/>
      <c r="X389" s="57"/>
      <c r="Y389" s="57"/>
      <c r="Z389" s="17"/>
    </row>
    <row r="390" ht="34.5" customHeight="1">
      <c r="A390" s="24" t="s">
        <v>335</v>
      </c>
      <c r="B390" s="62" t="s">
        <v>379</v>
      </c>
      <c r="C390" s="65" t="s">
        <v>434</v>
      </c>
      <c r="D390" s="65" t="s">
        <v>444</v>
      </c>
      <c r="E390" s="65">
        <v>85.0</v>
      </c>
      <c r="F390" s="66">
        <v>26.18</v>
      </c>
      <c r="G390" s="62">
        <v>2.0</v>
      </c>
      <c r="H390" s="63">
        <v>77.27</v>
      </c>
      <c r="I390" s="63">
        <v>77.27</v>
      </c>
      <c r="J390" s="67">
        <v>66.37136</v>
      </c>
      <c r="K390" s="67">
        <v>60.3376</v>
      </c>
      <c r="L390" s="8">
        <f t="shared" si="3"/>
        <v>0.6111822344</v>
      </c>
      <c r="M390" s="8">
        <f t="shared" si="4"/>
        <v>0.1833546703</v>
      </c>
      <c r="N390" s="8">
        <f t="shared" si="5"/>
        <v>0.03667093406</v>
      </c>
      <c r="O390" s="8">
        <f t="shared" si="6"/>
        <v>0.1206752</v>
      </c>
      <c r="P390" s="8">
        <f t="shared" si="7"/>
        <v>0.1810128</v>
      </c>
      <c r="Q390" s="8">
        <f t="shared" si="8"/>
        <v>0.0603376</v>
      </c>
      <c r="R390" s="57"/>
      <c r="S390" s="57"/>
      <c r="T390" s="57"/>
      <c r="U390" s="57"/>
      <c r="V390" s="57"/>
      <c r="W390" s="57"/>
      <c r="X390" s="57"/>
      <c r="Y390" s="57"/>
      <c r="Z390" s="17"/>
    </row>
    <row r="391" ht="34.5" customHeight="1">
      <c r="A391" s="24" t="s">
        <v>335</v>
      </c>
      <c r="B391" s="62" t="s">
        <v>379</v>
      </c>
      <c r="C391" s="65" t="s">
        <v>434</v>
      </c>
      <c r="D391" s="65" t="s">
        <v>445</v>
      </c>
      <c r="E391" s="65">
        <v>71.0</v>
      </c>
      <c r="F391" s="66">
        <v>23.0</v>
      </c>
      <c r="G391" s="62">
        <v>2.0</v>
      </c>
      <c r="H391" s="63">
        <v>49.48</v>
      </c>
      <c r="I391" s="63">
        <v>100.0</v>
      </c>
      <c r="J391" s="67">
        <v>74.37452</v>
      </c>
      <c r="K391" s="67">
        <v>67.6132</v>
      </c>
      <c r="L391" s="8">
        <f t="shared" si="3"/>
        <v>0.6848795221</v>
      </c>
      <c r="M391" s="8">
        <f t="shared" si="4"/>
        <v>0.2054638566</v>
      </c>
      <c r="N391" s="8">
        <f t="shared" si="5"/>
        <v>0.04109277132</v>
      </c>
      <c r="O391" s="8">
        <f t="shared" si="6"/>
        <v>0.1352264</v>
      </c>
      <c r="P391" s="8">
        <f t="shared" si="7"/>
        <v>0.2028396</v>
      </c>
      <c r="Q391" s="8">
        <f t="shared" si="8"/>
        <v>0.0676132</v>
      </c>
      <c r="R391" s="57"/>
      <c r="S391" s="57"/>
      <c r="T391" s="57"/>
      <c r="U391" s="57"/>
      <c r="V391" s="57"/>
      <c r="W391" s="57"/>
      <c r="X391" s="57"/>
      <c r="Y391" s="57"/>
      <c r="Z391" s="17"/>
    </row>
    <row r="392" ht="34.5" customHeight="1">
      <c r="A392" s="24" t="s">
        <v>335</v>
      </c>
      <c r="B392" s="62" t="s">
        <v>379</v>
      </c>
      <c r="C392" s="65" t="s">
        <v>434</v>
      </c>
      <c r="D392" s="65" t="s">
        <v>446</v>
      </c>
      <c r="E392" s="65">
        <v>210.0</v>
      </c>
      <c r="F392" s="66">
        <v>26.28</v>
      </c>
      <c r="G392" s="62">
        <v>4.0</v>
      </c>
      <c r="H392" s="63">
        <v>48.14</v>
      </c>
      <c r="I392" s="63">
        <v>97.81</v>
      </c>
      <c r="J392" s="67">
        <v>206.2654</v>
      </c>
      <c r="K392" s="67">
        <v>187.514</v>
      </c>
      <c r="L392" s="8">
        <f t="shared" si="3"/>
        <v>1.899399802</v>
      </c>
      <c r="M392" s="8">
        <f t="shared" si="4"/>
        <v>0.5698199406</v>
      </c>
      <c r="N392" s="8">
        <f t="shared" si="5"/>
        <v>0.1139639881</v>
      </c>
      <c r="O392" s="8">
        <f t="shared" si="6"/>
        <v>0.375028</v>
      </c>
      <c r="P392" s="8">
        <f t="shared" si="7"/>
        <v>0.562542</v>
      </c>
      <c r="Q392" s="8">
        <f t="shared" si="8"/>
        <v>0.187514</v>
      </c>
      <c r="R392" s="57"/>
      <c r="S392" s="57"/>
      <c r="T392" s="57"/>
      <c r="U392" s="57"/>
      <c r="V392" s="57"/>
      <c r="W392" s="57"/>
      <c r="X392" s="57"/>
      <c r="Y392" s="57"/>
      <c r="Z392" s="17"/>
    </row>
    <row r="393" ht="34.5" customHeight="1">
      <c r="A393" s="24" t="s">
        <v>335</v>
      </c>
      <c r="B393" s="62" t="s">
        <v>379</v>
      </c>
      <c r="C393" s="65" t="s">
        <v>434</v>
      </c>
      <c r="D393" s="65" t="s">
        <v>447</v>
      </c>
      <c r="E393" s="65">
        <v>54.0</v>
      </c>
      <c r="F393" s="66">
        <v>22.79</v>
      </c>
      <c r="G393" s="62">
        <v>1.0</v>
      </c>
      <c r="H393" s="63">
        <v>0.0</v>
      </c>
      <c r="I393" s="63">
        <v>100.0</v>
      </c>
      <c r="J393" s="67">
        <v>51.67008</v>
      </c>
      <c r="K393" s="67">
        <v>46.9728</v>
      </c>
      <c r="L393" s="8">
        <f t="shared" si="3"/>
        <v>0.4758051507</v>
      </c>
      <c r="M393" s="8">
        <f t="shared" si="4"/>
        <v>0.1427415452</v>
      </c>
      <c r="N393" s="8">
        <f t="shared" si="5"/>
        <v>0.02854830904</v>
      </c>
      <c r="O393" s="8">
        <f t="shared" si="6"/>
        <v>0.0939456</v>
      </c>
      <c r="P393" s="8">
        <f t="shared" si="7"/>
        <v>0.1409184</v>
      </c>
      <c r="Q393" s="8">
        <f t="shared" si="8"/>
        <v>0.0469728</v>
      </c>
      <c r="R393" s="57"/>
      <c r="S393" s="57"/>
      <c r="T393" s="57"/>
      <c r="U393" s="57"/>
      <c r="V393" s="57"/>
      <c r="W393" s="57"/>
      <c r="X393" s="57"/>
      <c r="Y393" s="57"/>
      <c r="Z393" s="17"/>
    </row>
    <row r="394" ht="34.5" customHeight="1">
      <c r="A394" s="24" t="s">
        <v>335</v>
      </c>
      <c r="B394" s="62" t="s">
        <v>379</v>
      </c>
      <c r="C394" s="65" t="s">
        <v>434</v>
      </c>
      <c r="D394" s="65" t="s">
        <v>448</v>
      </c>
      <c r="E394" s="65">
        <v>78.0</v>
      </c>
      <c r="F394" s="66">
        <v>39.39</v>
      </c>
      <c r="G394" s="62">
        <v>1.0</v>
      </c>
      <c r="H394" s="63">
        <v>100.0</v>
      </c>
      <c r="I394" s="63">
        <v>100.0</v>
      </c>
      <c r="J394" s="67">
        <v>53.13616</v>
      </c>
      <c r="K394" s="67">
        <v>48.3056</v>
      </c>
      <c r="L394" s="8">
        <f t="shared" si="3"/>
        <v>0.489305583</v>
      </c>
      <c r="M394" s="8">
        <f t="shared" si="4"/>
        <v>0.1467916749</v>
      </c>
      <c r="N394" s="8">
        <f t="shared" si="5"/>
        <v>0.02935833498</v>
      </c>
      <c r="O394" s="8">
        <f t="shared" si="6"/>
        <v>0.0966112</v>
      </c>
      <c r="P394" s="8">
        <f t="shared" si="7"/>
        <v>0.1449168</v>
      </c>
      <c r="Q394" s="8">
        <f t="shared" si="8"/>
        <v>0.0483056</v>
      </c>
      <c r="R394" s="57"/>
      <c r="S394" s="57"/>
      <c r="T394" s="57"/>
      <c r="U394" s="57"/>
      <c r="V394" s="57"/>
      <c r="W394" s="57"/>
      <c r="X394" s="57"/>
      <c r="Y394" s="57"/>
      <c r="Z394" s="17"/>
    </row>
    <row r="395" ht="34.5" customHeight="1">
      <c r="A395" s="24" t="s">
        <v>335</v>
      </c>
      <c r="B395" s="62" t="s">
        <v>379</v>
      </c>
      <c r="C395" s="65" t="s">
        <v>434</v>
      </c>
      <c r="D395" s="65" t="s">
        <v>449</v>
      </c>
      <c r="E395" s="65">
        <v>120.0</v>
      </c>
      <c r="F395" s="66">
        <v>33.79</v>
      </c>
      <c r="G395" s="62">
        <v>4.0</v>
      </c>
      <c r="H395" s="63">
        <v>0.0</v>
      </c>
      <c r="I395" s="63">
        <v>46.31</v>
      </c>
      <c r="J395" s="67">
        <v>99.37136</v>
      </c>
      <c r="K395" s="67">
        <v>90.3376</v>
      </c>
      <c r="L395" s="8">
        <f t="shared" si="3"/>
        <v>0.9150635129</v>
      </c>
      <c r="M395" s="8">
        <f t="shared" si="4"/>
        <v>0.2745190539</v>
      </c>
      <c r="N395" s="8">
        <f t="shared" si="5"/>
        <v>0.05490381078</v>
      </c>
      <c r="O395" s="8">
        <f t="shared" si="6"/>
        <v>0.1806752</v>
      </c>
      <c r="P395" s="8">
        <f t="shared" si="7"/>
        <v>0.2710128</v>
      </c>
      <c r="Q395" s="8">
        <f t="shared" si="8"/>
        <v>0.0903376</v>
      </c>
      <c r="R395" s="57"/>
      <c r="S395" s="57"/>
      <c r="T395" s="57"/>
      <c r="U395" s="57"/>
      <c r="V395" s="57"/>
      <c r="W395" s="57"/>
      <c r="X395" s="57"/>
      <c r="Y395" s="57"/>
      <c r="Z395" s="17"/>
    </row>
    <row r="396" ht="34.5" customHeight="1">
      <c r="A396" s="24" t="s">
        <v>335</v>
      </c>
      <c r="B396" s="62" t="s">
        <v>379</v>
      </c>
      <c r="C396" s="65" t="s">
        <v>434</v>
      </c>
      <c r="D396" s="65" t="s">
        <v>450</v>
      </c>
      <c r="E396" s="65">
        <v>75.0</v>
      </c>
      <c r="F396" s="66">
        <v>27.38</v>
      </c>
      <c r="G396" s="62">
        <v>1.0</v>
      </c>
      <c r="H396" s="63">
        <v>100.0</v>
      </c>
      <c r="I396" s="63">
        <v>100.0</v>
      </c>
      <c r="J396" s="67">
        <v>64.29852</v>
      </c>
      <c r="K396" s="67">
        <v>58.4532</v>
      </c>
      <c r="L396" s="8">
        <f t="shared" si="3"/>
        <v>0.5920944384</v>
      </c>
      <c r="M396" s="8">
        <f t="shared" si="4"/>
        <v>0.1776283315</v>
      </c>
      <c r="N396" s="8">
        <f t="shared" si="5"/>
        <v>0.0355256663</v>
      </c>
      <c r="O396" s="8">
        <f t="shared" si="6"/>
        <v>0.1169064</v>
      </c>
      <c r="P396" s="8">
        <f t="shared" si="7"/>
        <v>0.1753596</v>
      </c>
      <c r="Q396" s="8">
        <f t="shared" si="8"/>
        <v>0.0584532</v>
      </c>
      <c r="R396" s="57"/>
      <c r="S396" s="57"/>
      <c r="T396" s="57"/>
      <c r="U396" s="57"/>
      <c r="V396" s="57"/>
      <c r="W396" s="57"/>
      <c r="X396" s="57"/>
      <c r="Y396" s="57"/>
      <c r="Z396" s="17"/>
    </row>
    <row r="397" ht="34.5" customHeight="1">
      <c r="A397" s="24" t="s">
        <v>335</v>
      </c>
      <c r="B397" s="62" t="s">
        <v>379</v>
      </c>
      <c r="C397" s="65" t="s">
        <v>434</v>
      </c>
      <c r="D397" s="65" t="s">
        <v>451</v>
      </c>
      <c r="E397" s="65">
        <v>224.0</v>
      </c>
      <c r="F397" s="66">
        <v>33.11</v>
      </c>
      <c r="G397" s="62">
        <v>4.0</v>
      </c>
      <c r="H397" s="63">
        <v>39.74</v>
      </c>
      <c r="I397" s="63">
        <v>39.74</v>
      </c>
      <c r="J397" s="67">
        <v>149.2315</v>
      </c>
      <c r="K397" s="67">
        <v>135.665</v>
      </c>
      <c r="L397" s="8">
        <f t="shared" si="3"/>
        <v>1.374201788</v>
      </c>
      <c r="M397" s="8">
        <f t="shared" si="4"/>
        <v>0.4122605365</v>
      </c>
      <c r="N397" s="8">
        <f t="shared" si="5"/>
        <v>0.08245210731</v>
      </c>
      <c r="O397" s="8">
        <f t="shared" si="6"/>
        <v>0.27133</v>
      </c>
      <c r="P397" s="8">
        <f t="shared" si="7"/>
        <v>0.406995</v>
      </c>
      <c r="Q397" s="8">
        <f t="shared" si="8"/>
        <v>0.135665</v>
      </c>
      <c r="R397" s="57"/>
      <c r="S397" s="57"/>
      <c r="T397" s="57"/>
      <c r="U397" s="57"/>
      <c r="V397" s="57"/>
      <c r="W397" s="57"/>
      <c r="X397" s="57"/>
      <c r="Y397" s="57"/>
      <c r="Z397" s="17"/>
    </row>
    <row r="398" ht="34.5" customHeight="1">
      <c r="A398" s="24" t="s">
        <v>335</v>
      </c>
      <c r="B398" s="62" t="s">
        <v>379</v>
      </c>
      <c r="C398" s="65" t="s">
        <v>434</v>
      </c>
      <c r="D398" s="65" t="s">
        <v>452</v>
      </c>
      <c r="E398" s="65">
        <v>5079.0</v>
      </c>
      <c r="F398" s="66">
        <v>44.69</v>
      </c>
      <c r="G398" s="62">
        <v>29.0</v>
      </c>
      <c r="H398" s="63">
        <v>32.2</v>
      </c>
      <c r="I398" s="63">
        <v>47.64</v>
      </c>
      <c r="J398" s="67">
        <v>3278.05335</v>
      </c>
      <c r="K398" s="67">
        <v>2980.0485</v>
      </c>
      <c r="L398" s="8">
        <f t="shared" si="3"/>
        <v>30.18603161</v>
      </c>
      <c r="M398" s="8">
        <f t="shared" si="4"/>
        <v>9.055809483</v>
      </c>
      <c r="N398" s="8">
        <f t="shared" si="5"/>
        <v>1.811161897</v>
      </c>
      <c r="O398" s="8">
        <f t="shared" si="6"/>
        <v>5.960097</v>
      </c>
      <c r="P398" s="8">
        <f t="shared" si="7"/>
        <v>8.9401455</v>
      </c>
      <c r="Q398" s="8">
        <f t="shared" si="8"/>
        <v>2.9800485</v>
      </c>
      <c r="R398" s="57"/>
      <c r="S398" s="57"/>
      <c r="T398" s="57"/>
      <c r="U398" s="57"/>
      <c r="V398" s="57"/>
      <c r="W398" s="57"/>
      <c r="X398" s="57"/>
      <c r="Y398" s="57"/>
      <c r="Z398" s="17"/>
    </row>
    <row r="399" ht="34.5" customHeight="1">
      <c r="A399" s="24" t="s">
        <v>335</v>
      </c>
      <c r="B399" s="62" t="s">
        <v>379</v>
      </c>
      <c r="C399" s="65" t="s">
        <v>434</v>
      </c>
      <c r="D399" s="65" t="s">
        <v>453</v>
      </c>
      <c r="E399" s="65">
        <v>263.0</v>
      </c>
      <c r="F399" s="66">
        <v>28.66</v>
      </c>
      <c r="G399" s="62">
        <v>8.0</v>
      </c>
      <c r="H399" s="63">
        <v>53.14</v>
      </c>
      <c r="I399" s="63">
        <v>67.01</v>
      </c>
      <c r="J399" s="67">
        <v>223.6696</v>
      </c>
      <c r="K399" s="67">
        <v>203.336</v>
      </c>
      <c r="L399" s="8">
        <f t="shared" si="3"/>
        <v>2.059666788</v>
      </c>
      <c r="M399" s="8">
        <f t="shared" si="4"/>
        <v>0.6179000365</v>
      </c>
      <c r="N399" s="8">
        <f t="shared" si="5"/>
        <v>0.1235800073</v>
      </c>
      <c r="O399" s="8">
        <f t="shared" si="6"/>
        <v>0.406672</v>
      </c>
      <c r="P399" s="8">
        <f t="shared" si="7"/>
        <v>0.610008</v>
      </c>
      <c r="Q399" s="8">
        <f t="shared" si="8"/>
        <v>0.203336</v>
      </c>
      <c r="R399" s="57"/>
      <c r="S399" s="57"/>
      <c r="T399" s="57"/>
      <c r="U399" s="57"/>
      <c r="V399" s="57"/>
      <c r="W399" s="57"/>
      <c r="X399" s="57"/>
      <c r="Y399" s="57"/>
      <c r="Z399" s="17"/>
    </row>
    <row r="400" ht="34.5" customHeight="1">
      <c r="A400" s="24" t="s">
        <v>335</v>
      </c>
      <c r="B400" s="62" t="s">
        <v>379</v>
      </c>
      <c r="C400" s="65" t="s">
        <v>434</v>
      </c>
      <c r="D400" s="65" t="s">
        <v>454</v>
      </c>
      <c r="E400" s="65">
        <v>92.0</v>
      </c>
      <c r="F400" s="66">
        <v>28.47</v>
      </c>
      <c r="G400" s="62">
        <v>2.0</v>
      </c>
      <c r="H400" s="63">
        <v>34.12</v>
      </c>
      <c r="I400" s="63">
        <v>34.12</v>
      </c>
      <c r="J400" s="67">
        <v>84.41444</v>
      </c>
      <c r="K400" s="67">
        <v>76.7404</v>
      </c>
      <c r="L400" s="8">
        <f t="shared" si="3"/>
        <v>0.7773323623</v>
      </c>
      <c r="M400" s="8">
        <f t="shared" si="4"/>
        <v>0.2331997087</v>
      </c>
      <c r="N400" s="8">
        <f t="shared" si="5"/>
        <v>0.04663994174</v>
      </c>
      <c r="O400" s="8">
        <f t="shared" si="6"/>
        <v>0.1534808</v>
      </c>
      <c r="P400" s="8">
        <f t="shared" si="7"/>
        <v>0.2302212</v>
      </c>
      <c r="Q400" s="8">
        <f t="shared" si="8"/>
        <v>0.0767404</v>
      </c>
      <c r="R400" s="57"/>
      <c r="S400" s="57"/>
      <c r="T400" s="57"/>
      <c r="U400" s="57"/>
      <c r="V400" s="57"/>
      <c r="W400" s="57"/>
      <c r="X400" s="57"/>
      <c r="Y400" s="57"/>
      <c r="Z400" s="17"/>
    </row>
    <row r="401" ht="34.5" customHeight="1">
      <c r="A401" s="24" t="s">
        <v>335</v>
      </c>
      <c r="B401" s="62" t="s">
        <v>379</v>
      </c>
      <c r="C401" s="65" t="s">
        <v>455</v>
      </c>
      <c r="D401" s="65" t="s">
        <v>456</v>
      </c>
      <c r="E401" s="65">
        <v>49.0</v>
      </c>
      <c r="F401" s="66">
        <v>16.71</v>
      </c>
      <c r="G401" s="62">
        <v>1.0</v>
      </c>
      <c r="H401" s="63">
        <v>96.86</v>
      </c>
      <c r="I401" s="63">
        <v>100.0</v>
      </c>
      <c r="J401" s="67">
        <v>38.37922</v>
      </c>
      <c r="K401" s="67">
        <v>34.8902</v>
      </c>
      <c r="L401" s="8">
        <f t="shared" si="3"/>
        <v>0.3534159528</v>
      </c>
      <c r="M401" s="8">
        <f t="shared" si="4"/>
        <v>0.1060247858</v>
      </c>
      <c r="N401" s="8">
        <f t="shared" si="5"/>
        <v>0.02120495717</v>
      </c>
      <c r="O401" s="8">
        <f t="shared" si="6"/>
        <v>0.0697804</v>
      </c>
      <c r="P401" s="8">
        <f t="shared" si="7"/>
        <v>0.1046706</v>
      </c>
      <c r="Q401" s="8">
        <f t="shared" si="8"/>
        <v>0.0348902</v>
      </c>
      <c r="R401" s="57"/>
      <c r="S401" s="57"/>
      <c r="T401" s="57"/>
      <c r="U401" s="57"/>
      <c r="V401" s="57"/>
      <c r="W401" s="57"/>
      <c r="X401" s="57"/>
      <c r="Y401" s="57"/>
      <c r="Z401" s="17"/>
    </row>
    <row r="402" ht="34.5" customHeight="1">
      <c r="A402" s="24" t="s">
        <v>335</v>
      </c>
      <c r="B402" s="62" t="s">
        <v>379</v>
      </c>
      <c r="C402" s="65" t="s">
        <v>455</v>
      </c>
      <c r="D402" s="65" t="s">
        <v>457</v>
      </c>
      <c r="E402" s="65">
        <v>90.0</v>
      </c>
      <c r="F402" s="66">
        <v>25.36</v>
      </c>
      <c r="G402" s="62">
        <v>3.0</v>
      </c>
      <c r="H402" s="63">
        <v>48.82</v>
      </c>
      <c r="I402" s="63">
        <v>48.82</v>
      </c>
      <c r="J402" s="67">
        <v>73.8793</v>
      </c>
      <c r="K402" s="67">
        <v>67.163</v>
      </c>
      <c r="L402" s="8">
        <f t="shared" si="3"/>
        <v>0.680319277</v>
      </c>
      <c r="M402" s="8">
        <f t="shared" si="4"/>
        <v>0.2040957831</v>
      </c>
      <c r="N402" s="8">
        <f t="shared" si="5"/>
        <v>0.04081915662</v>
      </c>
      <c r="O402" s="8">
        <f t="shared" si="6"/>
        <v>0.134326</v>
      </c>
      <c r="P402" s="8">
        <f t="shared" si="7"/>
        <v>0.201489</v>
      </c>
      <c r="Q402" s="8">
        <f t="shared" si="8"/>
        <v>0.067163</v>
      </c>
      <c r="R402" s="57"/>
      <c r="S402" s="57"/>
      <c r="T402" s="57"/>
      <c r="U402" s="57"/>
      <c r="V402" s="57"/>
      <c r="W402" s="57"/>
      <c r="X402" s="57"/>
      <c r="Y402" s="57"/>
      <c r="Z402" s="17"/>
    </row>
    <row r="403" ht="34.5" customHeight="1">
      <c r="A403" s="24" t="s">
        <v>335</v>
      </c>
      <c r="B403" s="62" t="s">
        <v>379</v>
      </c>
      <c r="C403" s="65" t="s">
        <v>455</v>
      </c>
      <c r="D403" s="65" t="s">
        <v>458</v>
      </c>
      <c r="E403" s="65">
        <v>424.0</v>
      </c>
      <c r="F403" s="66">
        <v>27.26</v>
      </c>
      <c r="G403" s="62">
        <v>7.0</v>
      </c>
      <c r="H403" s="63">
        <v>18.64</v>
      </c>
      <c r="I403" s="63">
        <v>42.96</v>
      </c>
      <c r="J403" s="67">
        <v>358.34337</v>
      </c>
      <c r="K403" s="67">
        <v>325.7667</v>
      </c>
      <c r="L403" s="8">
        <f t="shared" si="3"/>
        <v>3.299813377</v>
      </c>
      <c r="M403" s="8">
        <f t="shared" si="4"/>
        <v>0.989944013</v>
      </c>
      <c r="N403" s="8">
        <f t="shared" si="5"/>
        <v>0.1979888026</v>
      </c>
      <c r="O403" s="8">
        <f t="shared" si="6"/>
        <v>0.6515334</v>
      </c>
      <c r="P403" s="8">
        <f t="shared" si="7"/>
        <v>0.9773001</v>
      </c>
      <c r="Q403" s="8">
        <f t="shared" si="8"/>
        <v>0.3257667</v>
      </c>
      <c r="R403" s="57"/>
      <c r="S403" s="57"/>
      <c r="T403" s="57"/>
      <c r="U403" s="57"/>
      <c r="V403" s="57"/>
      <c r="W403" s="57"/>
      <c r="X403" s="57"/>
      <c r="Y403" s="57"/>
      <c r="Z403" s="17"/>
    </row>
    <row r="404" ht="34.5" customHeight="1">
      <c r="A404" s="24" t="s">
        <v>335</v>
      </c>
      <c r="B404" s="62" t="s">
        <v>379</v>
      </c>
      <c r="C404" s="65" t="s">
        <v>455</v>
      </c>
      <c r="D404" s="65" t="s">
        <v>459</v>
      </c>
      <c r="E404" s="65">
        <v>70.0</v>
      </c>
      <c r="F404" s="66">
        <v>24.53</v>
      </c>
      <c r="G404" s="62">
        <v>1.0</v>
      </c>
      <c r="H404" s="63">
        <v>93.29</v>
      </c>
      <c r="I404" s="63">
        <v>100.0</v>
      </c>
      <c r="J404" s="67">
        <v>54.23264</v>
      </c>
      <c r="K404" s="67">
        <v>49.3024</v>
      </c>
      <c r="L404" s="8">
        <f t="shared" si="3"/>
        <v>0.4994025449</v>
      </c>
      <c r="M404" s="8">
        <f t="shared" si="4"/>
        <v>0.1498207635</v>
      </c>
      <c r="N404" s="8">
        <f t="shared" si="5"/>
        <v>0.02996415269</v>
      </c>
      <c r="O404" s="8">
        <f t="shared" si="6"/>
        <v>0.0986048</v>
      </c>
      <c r="P404" s="8">
        <f t="shared" si="7"/>
        <v>0.1479072</v>
      </c>
      <c r="Q404" s="8">
        <f t="shared" si="8"/>
        <v>0.0493024</v>
      </c>
      <c r="R404" s="57"/>
      <c r="S404" s="57"/>
      <c r="T404" s="57"/>
      <c r="U404" s="57"/>
      <c r="V404" s="57"/>
      <c r="W404" s="57"/>
      <c r="X404" s="57"/>
      <c r="Y404" s="57"/>
      <c r="Z404" s="17"/>
    </row>
    <row r="405" ht="34.5" customHeight="1">
      <c r="A405" s="24" t="s">
        <v>335</v>
      </c>
      <c r="B405" s="62" t="s">
        <v>379</v>
      </c>
      <c r="C405" s="65" t="s">
        <v>455</v>
      </c>
      <c r="D405" s="65" t="s">
        <v>460</v>
      </c>
      <c r="E405" s="65">
        <v>251.0</v>
      </c>
      <c r="F405" s="66">
        <v>43.55</v>
      </c>
      <c r="G405" s="62">
        <v>4.0</v>
      </c>
      <c r="H405" s="63">
        <v>41.26</v>
      </c>
      <c r="I405" s="63">
        <v>100.0</v>
      </c>
      <c r="J405" s="67">
        <v>173.32161</v>
      </c>
      <c r="K405" s="67">
        <v>157.5651</v>
      </c>
      <c r="L405" s="8">
        <f t="shared" si="3"/>
        <v>1.596036135</v>
      </c>
      <c r="M405" s="8">
        <f t="shared" si="4"/>
        <v>0.4788108404</v>
      </c>
      <c r="N405" s="8">
        <f t="shared" si="5"/>
        <v>0.09576216808</v>
      </c>
      <c r="O405" s="8">
        <f t="shared" si="6"/>
        <v>0.3151302</v>
      </c>
      <c r="P405" s="8">
        <f t="shared" si="7"/>
        <v>0.4726953</v>
      </c>
      <c r="Q405" s="8">
        <f t="shared" si="8"/>
        <v>0.1575651</v>
      </c>
      <c r="R405" s="57"/>
      <c r="S405" s="57"/>
      <c r="T405" s="57"/>
      <c r="U405" s="57"/>
      <c r="V405" s="57"/>
      <c r="W405" s="57"/>
      <c r="X405" s="57"/>
      <c r="Y405" s="57"/>
      <c r="Z405" s="17"/>
    </row>
    <row r="406" ht="34.5" customHeight="1">
      <c r="A406" s="24" t="s">
        <v>335</v>
      </c>
      <c r="B406" s="62" t="s">
        <v>379</v>
      </c>
      <c r="C406" s="65" t="s">
        <v>455</v>
      </c>
      <c r="D406" s="65" t="s">
        <v>461</v>
      </c>
      <c r="E406" s="65">
        <v>62.0</v>
      </c>
      <c r="F406" s="66">
        <v>20.71</v>
      </c>
      <c r="G406" s="62">
        <v>1.0</v>
      </c>
      <c r="H406" s="63">
        <v>66.18</v>
      </c>
      <c r="I406" s="63">
        <v>66.18</v>
      </c>
      <c r="J406" s="67">
        <v>52.23801</v>
      </c>
      <c r="K406" s="67">
        <v>47.4891</v>
      </c>
      <c r="L406" s="8">
        <f t="shared" si="3"/>
        <v>0.4810349475</v>
      </c>
      <c r="M406" s="8">
        <f t="shared" si="4"/>
        <v>0.1443104842</v>
      </c>
      <c r="N406" s="8">
        <f t="shared" si="5"/>
        <v>0.02886209685</v>
      </c>
      <c r="O406" s="8">
        <f t="shared" si="6"/>
        <v>0.0949782</v>
      </c>
      <c r="P406" s="8">
        <f t="shared" si="7"/>
        <v>0.1424673</v>
      </c>
      <c r="Q406" s="8">
        <f t="shared" si="8"/>
        <v>0.0474891</v>
      </c>
      <c r="R406" s="57"/>
      <c r="S406" s="57"/>
      <c r="T406" s="57"/>
      <c r="U406" s="57"/>
      <c r="V406" s="57"/>
      <c r="W406" s="57"/>
      <c r="X406" s="57"/>
      <c r="Y406" s="57"/>
      <c r="Z406" s="17"/>
    </row>
    <row r="407" ht="34.5" customHeight="1">
      <c r="A407" s="24" t="s">
        <v>335</v>
      </c>
      <c r="B407" s="62" t="s">
        <v>379</v>
      </c>
      <c r="C407" s="65" t="s">
        <v>455</v>
      </c>
      <c r="D407" s="65" t="s">
        <v>462</v>
      </c>
      <c r="E407" s="65">
        <v>50.0</v>
      </c>
      <c r="F407" s="66">
        <v>50.68</v>
      </c>
      <c r="G407" s="62">
        <v>2.0</v>
      </c>
      <c r="H407" s="63">
        <v>100.0</v>
      </c>
      <c r="I407" s="63">
        <v>100.0</v>
      </c>
      <c r="J407" s="67">
        <v>21.65031</v>
      </c>
      <c r="K407" s="67">
        <v>19.6821</v>
      </c>
      <c r="L407" s="8">
        <f t="shared" si="3"/>
        <v>0.1993673904</v>
      </c>
      <c r="M407" s="8">
        <f t="shared" si="4"/>
        <v>0.05981021712</v>
      </c>
      <c r="N407" s="8">
        <f t="shared" si="5"/>
        <v>0.01196204342</v>
      </c>
      <c r="O407" s="8">
        <f t="shared" si="6"/>
        <v>0.0393642</v>
      </c>
      <c r="P407" s="8">
        <f t="shared" si="7"/>
        <v>0.0590463</v>
      </c>
      <c r="Q407" s="8">
        <f t="shared" si="8"/>
        <v>0.0196821</v>
      </c>
      <c r="R407" s="57"/>
      <c r="S407" s="57"/>
      <c r="T407" s="57"/>
      <c r="U407" s="57"/>
      <c r="V407" s="57"/>
      <c r="W407" s="57"/>
      <c r="X407" s="57"/>
      <c r="Y407" s="57"/>
      <c r="Z407" s="17"/>
    </row>
    <row r="408" ht="34.5" customHeight="1">
      <c r="A408" s="24" t="s">
        <v>335</v>
      </c>
      <c r="B408" s="62" t="s">
        <v>379</v>
      </c>
      <c r="C408" s="65" t="s">
        <v>455</v>
      </c>
      <c r="D408" s="65" t="s">
        <v>463</v>
      </c>
      <c r="E408" s="65">
        <v>50.0</v>
      </c>
      <c r="F408" s="66">
        <v>23.16</v>
      </c>
      <c r="G408" s="62">
        <v>1.0</v>
      </c>
      <c r="H408" s="63">
        <v>56.94</v>
      </c>
      <c r="I408" s="63">
        <v>100.0</v>
      </c>
      <c r="J408" s="67">
        <v>56.4828</v>
      </c>
      <c r="K408" s="67">
        <v>51.348</v>
      </c>
      <c r="L408" s="8">
        <f t="shared" si="3"/>
        <v>0.5201231963</v>
      </c>
      <c r="M408" s="8">
        <f t="shared" si="4"/>
        <v>0.1560369589</v>
      </c>
      <c r="N408" s="8">
        <f t="shared" si="5"/>
        <v>0.03120739178</v>
      </c>
      <c r="O408" s="8">
        <f t="shared" si="6"/>
        <v>0.102696</v>
      </c>
      <c r="P408" s="8">
        <f t="shared" si="7"/>
        <v>0.154044</v>
      </c>
      <c r="Q408" s="8">
        <f t="shared" si="8"/>
        <v>0.051348</v>
      </c>
      <c r="R408" s="57"/>
      <c r="S408" s="57"/>
      <c r="T408" s="57"/>
      <c r="U408" s="57"/>
      <c r="V408" s="57"/>
      <c r="W408" s="57"/>
      <c r="X408" s="57"/>
      <c r="Y408" s="57"/>
      <c r="Z408" s="17"/>
    </row>
    <row r="409" ht="34.5" customHeight="1">
      <c r="A409" s="24" t="s">
        <v>335</v>
      </c>
      <c r="B409" s="62" t="s">
        <v>379</v>
      </c>
      <c r="C409" s="65" t="s">
        <v>455</v>
      </c>
      <c r="D409" s="65" t="s">
        <v>464</v>
      </c>
      <c r="E409" s="65">
        <v>61.0</v>
      </c>
      <c r="F409" s="66">
        <v>14.8</v>
      </c>
      <c r="G409" s="62">
        <v>1.0</v>
      </c>
      <c r="H409" s="63">
        <v>0.0</v>
      </c>
      <c r="I409" s="63">
        <v>47.55</v>
      </c>
      <c r="J409" s="67">
        <v>75.76998</v>
      </c>
      <c r="K409" s="67">
        <v>68.8818</v>
      </c>
      <c r="L409" s="8">
        <f t="shared" si="3"/>
        <v>0.6977296484</v>
      </c>
      <c r="M409" s="8">
        <f t="shared" si="4"/>
        <v>0.2093188945</v>
      </c>
      <c r="N409" s="8">
        <f t="shared" si="5"/>
        <v>0.0418637789</v>
      </c>
      <c r="O409" s="8">
        <f t="shared" si="6"/>
        <v>0.1377636</v>
      </c>
      <c r="P409" s="8">
        <f t="shared" si="7"/>
        <v>0.2066454</v>
      </c>
      <c r="Q409" s="8">
        <f t="shared" si="8"/>
        <v>0.0688818</v>
      </c>
      <c r="R409" s="57"/>
      <c r="S409" s="57"/>
      <c r="T409" s="57"/>
      <c r="U409" s="57"/>
      <c r="V409" s="57"/>
      <c r="W409" s="57"/>
      <c r="X409" s="57"/>
      <c r="Y409" s="57"/>
      <c r="Z409" s="17"/>
    </row>
    <row r="410" ht="34.5" customHeight="1">
      <c r="A410" s="24" t="s">
        <v>335</v>
      </c>
      <c r="B410" s="62" t="s">
        <v>379</v>
      </c>
      <c r="C410" s="65" t="s">
        <v>455</v>
      </c>
      <c r="D410" s="65" t="s">
        <v>465</v>
      </c>
      <c r="E410" s="65">
        <v>20.0</v>
      </c>
      <c r="F410" s="66">
        <v>16.05</v>
      </c>
      <c r="G410" s="62">
        <v>1.0</v>
      </c>
      <c r="H410" s="63">
        <v>100.0</v>
      </c>
      <c r="I410" s="63">
        <v>100.0</v>
      </c>
      <c r="J410" s="67">
        <v>22.02112</v>
      </c>
      <c r="K410" s="67">
        <v>20.0192</v>
      </c>
      <c r="L410" s="8">
        <f t="shared" si="3"/>
        <v>0.202782003</v>
      </c>
      <c r="M410" s="8">
        <f t="shared" si="4"/>
        <v>0.06083460091</v>
      </c>
      <c r="N410" s="8">
        <f t="shared" si="5"/>
        <v>0.01216692018</v>
      </c>
      <c r="O410" s="8">
        <f t="shared" si="6"/>
        <v>0.0400384</v>
      </c>
      <c r="P410" s="8">
        <f t="shared" si="7"/>
        <v>0.0600576</v>
      </c>
      <c r="Q410" s="8">
        <f t="shared" si="8"/>
        <v>0.0200192</v>
      </c>
      <c r="R410" s="57"/>
      <c r="S410" s="57"/>
      <c r="T410" s="57"/>
      <c r="U410" s="57"/>
      <c r="V410" s="57"/>
      <c r="W410" s="57"/>
      <c r="X410" s="57"/>
      <c r="Y410" s="57"/>
      <c r="Z410" s="17"/>
    </row>
    <row r="411" ht="34.5" customHeight="1">
      <c r="A411" s="24" t="s">
        <v>335</v>
      </c>
      <c r="B411" s="62" t="s">
        <v>379</v>
      </c>
      <c r="C411" s="65" t="s">
        <v>455</v>
      </c>
      <c r="D411" s="65" t="s">
        <v>466</v>
      </c>
      <c r="E411" s="65">
        <v>16.0</v>
      </c>
      <c r="F411" s="66">
        <v>12.31</v>
      </c>
      <c r="G411" s="62">
        <v>1.0</v>
      </c>
      <c r="H411" s="63">
        <v>100.0</v>
      </c>
      <c r="I411" s="63">
        <v>100.0</v>
      </c>
      <c r="J411" s="67">
        <v>24.92204</v>
      </c>
      <c r="K411" s="67">
        <v>22.6564</v>
      </c>
      <c r="L411" s="8">
        <f t="shared" si="3"/>
        <v>0.2294951933</v>
      </c>
      <c r="M411" s="8">
        <f t="shared" si="4"/>
        <v>0.06884855799</v>
      </c>
      <c r="N411" s="8">
        <f t="shared" si="5"/>
        <v>0.0137697116</v>
      </c>
      <c r="O411" s="8">
        <f t="shared" si="6"/>
        <v>0.0453128</v>
      </c>
      <c r="P411" s="8">
        <f t="shared" si="7"/>
        <v>0.0679692</v>
      </c>
      <c r="Q411" s="8">
        <f t="shared" si="8"/>
        <v>0.0226564</v>
      </c>
      <c r="R411" s="57"/>
      <c r="S411" s="57"/>
      <c r="T411" s="57"/>
      <c r="U411" s="57"/>
      <c r="V411" s="57"/>
      <c r="W411" s="57"/>
      <c r="X411" s="57"/>
      <c r="Y411" s="57"/>
      <c r="Z411" s="17"/>
    </row>
    <row r="412" ht="34.5" customHeight="1">
      <c r="A412" s="24" t="s">
        <v>335</v>
      </c>
      <c r="B412" s="62" t="s">
        <v>379</v>
      </c>
      <c r="C412" s="65" t="s">
        <v>467</v>
      </c>
      <c r="D412" s="65" t="s">
        <v>468</v>
      </c>
      <c r="E412" s="65">
        <v>35.0</v>
      </c>
      <c r="F412" s="66">
        <v>11.44</v>
      </c>
      <c r="G412" s="62">
        <v>2.0</v>
      </c>
      <c r="H412" s="63">
        <v>93.78</v>
      </c>
      <c r="I412" s="63">
        <v>100.0</v>
      </c>
      <c r="J412" s="67">
        <v>29.90911</v>
      </c>
      <c r="K412" s="67">
        <v>27.1901</v>
      </c>
      <c r="L412" s="8">
        <f t="shared" si="3"/>
        <v>0.2754187451</v>
      </c>
      <c r="M412" s="8">
        <f t="shared" si="4"/>
        <v>0.08262562352</v>
      </c>
      <c r="N412" s="8">
        <f t="shared" si="5"/>
        <v>0.0165251247</v>
      </c>
      <c r="O412" s="8">
        <f t="shared" si="6"/>
        <v>0.0543802</v>
      </c>
      <c r="P412" s="8">
        <f t="shared" si="7"/>
        <v>0.0815703</v>
      </c>
      <c r="Q412" s="8">
        <f t="shared" si="8"/>
        <v>0.0271901</v>
      </c>
      <c r="R412" s="57"/>
      <c r="S412" s="57"/>
      <c r="T412" s="57"/>
      <c r="U412" s="57"/>
      <c r="V412" s="57"/>
      <c r="W412" s="57"/>
      <c r="X412" s="57"/>
      <c r="Y412" s="57"/>
      <c r="Z412" s="17"/>
    </row>
    <row r="413" ht="34.5" customHeight="1">
      <c r="A413" s="24" t="s">
        <v>335</v>
      </c>
      <c r="B413" s="62" t="s">
        <v>379</v>
      </c>
      <c r="C413" s="65" t="s">
        <v>467</v>
      </c>
      <c r="D413" s="65" t="s">
        <v>469</v>
      </c>
      <c r="E413" s="65">
        <v>53.0</v>
      </c>
      <c r="F413" s="66">
        <v>23.51</v>
      </c>
      <c r="G413" s="62">
        <v>2.0</v>
      </c>
      <c r="H413" s="63">
        <v>100.0</v>
      </c>
      <c r="I413" s="63">
        <v>100.0</v>
      </c>
      <c r="J413" s="67">
        <v>47.02544</v>
      </c>
      <c r="K413" s="67">
        <v>42.7504</v>
      </c>
      <c r="L413" s="8">
        <f t="shared" si="3"/>
        <v>0.4330348737</v>
      </c>
      <c r="M413" s="8">
        <f t="shared" si="4"/>
        <v>0.1299104621</v>
      </c>
      <c r="N413" s="8">
        <f t="shared" si="5"/>
        <v>0.02598209242</v>
      </c>
      <c r="O413" s="8">
        <f t="shared" si="6"/>
        <v>0.0855008</v>
      </c>
      <c r="P413" s="8">
        <f t="shared" si="7"/>
        <v>0.1282512</v>
      </c>
      <c r="Q413" s="8">
        <f t="shared" si="8"/>
        <v>0.0427504</v>
      </c>
      <c r="R413" s="57"/>
      <c r="S413" s="57"/>
      <c r="T413" s="57"/>
      <c r="U413" s="57"/>
      <c r="V413" s="57"/>
      <c r="W413" s="57"/>
      <c r="X413" s="57"/>
      <c r="Y413" s="57"/>
      <c r="Z413" s="17"/>
    </row>
    <row r="414" ht="34.5" customHeight="1">
      <c r="A414" s="24" t="s">
        <v>335</v>
      </c>
      <c r="B414" s="62" t="s">
        <v>379</v>
      </c>
      <c r="C414" s="65" t="s">
        <v>467</v>
      </c>
      <c r="D414" s="65" t="s">
        <v>470</v>
      </c>
      <c r="E414" s="65">
        <v>106.0</v>
      </c>
      <c r="F414" s="66">
        <v>17.26</v>
      </c>
      <c r="G414" s="62">
        <v>5.0</v>
      </c>
      <c r="H414" s="63">
        <v>100.0</v>
      </c>
      <c r="I414" s="63">
        <v>100.0</v>
      </c>
      <c r="J414" s="67">
        <v>88.6578</v>
      </c>
      <c r="K414" s="67">
        <v>80.598</v>
      </c>
      <c r="L414" s="8">
        <f t="shared" si="3"/>
        <v>0.8164074429</v>
      </c>
      <c r="M414" s="8">
        <f t="shared" si="4"/>
        <v>0.2449222329</v>
      </c>
      <c r="N414" s="8">
        <f t="shared" si="5"/>
        <v>0.04898444658</v>
      </c>
      <c r="O414" s="8">
        <f t="shared" si="6"/>
        <v>0.161196</v>
      </c>
      <c r="P414" s="8">
        <f t="shared" si="7"/>
        <v>0.241794</v>
      </c>
      <c r="Q414" s="8">
        <f t="shared" si="8"/>
        <v>0.080598</v>
      </c>
      <c r="R414" s="57"/>
      <c r="S414" s="57"/>
      <c r="T414" s="57"/>
      <c r="U414" s="57"/>
      <c r="V414" s="57"/>
      <c r="W414" s="57"/>
      <c r="X414" s="57"/>
      <c r="Y414" s="57"/>
      <c r="Z414" s="17"/>
    </row>
    <row r="415" ht="34.5" customHeight="1">
      <c r="A415" s="24" t="s">
        <v>335</v>
      </c>
      <c r="B415" s="62" t="s">
        <v>379</v>
      </c>
      <c r="C415" s="65" t="s">
        <v>467</v>
      </c>
      <c r="D415" s="65" t="s">
        <v>471</v>
      </c>
      <c r="E415" s="65">
        <v>84.0</v>
      </c>
      <c r="F415" s="66">
        <v>17.11</v>
      </c>
      <c r="G415" s="62">
        <v>3.0</v>
      </c>
      <c r="H415" s="63">
        <v>94.43</v>
      </c>
      <c r="I415" s="63">
        <v>100.0</v>
      </c>
      <c r="J415" s="67">
        <v>79.60249</v>
      </c>
      <c r="K415" s="67">
        <v>72.3659</v>
      </c>
      <c r="L415" s="8">
        <f t="shared" si="3"/>
        <v>0.7330214072</v>
      </c>
      <c r="M415" s="8">
        <f t="shared" si="4"/>
        <v>0.2199064221</v>
      </c>
      <c r="N415" s="8">
        <f t="shared" si="5"/>
        <v>0.04398128443</v>
      </c>
      <c r="O415" s="8">
        <f t="shared" si="6"/>
        <v>0.1447318</v>
      </c>
      <c r="P415" s="8">
        <f t="shared" si="7"/>
        <v>0.2170977</v>
      </c>
      <c r="Q415" s="8">
        <f t="shared" si="8"/>
        <v>0.0723659</v>
      </c>
      <c r="R415" s="57"/>
      <c r="S415" s="57"/>
      <c r="T415" s="57"/>
      <c r="U415" s="57"/>
      <c r="V415" s="57"/>
      <c r="W415" s="57"/>
      <c r="X415" s="57"/>
      <c r="Y415" s="57"/>
      <c r="Z415" s="17"/>
    </row>
    <row r="416" ht="34.5" customHeight="1">
      <c r="A416" s="24" t="s">
        <v>335</v>
      </c>
      <c r="B416" s="62" t="s">
        <v>379</v>
      </c>
      <c r="C416" s="65" t="s">
        <v>467</v>
      </c>
      <c r="D416" s="65" t="s">
        <v>472</v>
      </c>
      <c r="E416" s="65">
        <v>19.0</v>
      </c>
      <c r="F416" s="66">
        <v>19.21</v>
      </c>
      <c r="G416" s="62">
        <v>1.0</v>
      </c>
      <c r="H416" s="63">
        <v>100.0</v>
      </c>
      <c r="I416" s="63">
        <v>100.0</v>
      </c>
      <c r="J416" s="67">
        <v>15.92712</v>
      </c>
      <c r="K416" s="67">
        <v>14.4792</v>
      </c>
      <c r="L416" s="8">
        <f t="shared" si="3"/>
        <v>0.1466652603</v>
      </c>
      <c r="M416" s="8">
        <f t="shared" si="4"/>
        <v>0.04399957808</v>
      </c>
      <c r="N416" s="8">
        <f t="shared" si="5"/>
        <v>0.008799915616</v>
      </c>
      <c r="O416" s="8">
        <f t="shared" si="6"/>
        <v>0.0289584</v>
      </c>
      <c r="P416" s="8">
        <f t="shared" si="7"/>
        <v>0.0434376</v>
      </c>
      <c r="Q416" s="8">
        <f t="shared" si="8"/>
        <v>0.0144792</v>
      </c>
      <c r="R416" s="57"/>
      <c r="S416" s="57"/>
      <c r="T416" s="57"/>
      <c r="U416" s="57"/>
      <c r="V416" s="57"/>
      <c r="W416" s="57"/>
      <c r="X416" s="57"/>
      <c r="Y416" s="57"/>
      <c r="Z416" s="17"/>
    </row>
    <row r="417" ht="34.5" customHeight="1">
      <c r="A417" s="24" t="s">
        <v>335</v>
      </c>
      <c r="B417" s="62" t="s">
        <v>379</v>
      </c>
      <c r="C417" s="65" t="s">
        <v>467</v>
      </c>
      <c r="D417" s="65" t="s">
        <v>473</v>
      </c>
      <c r="E417" s="65">
        <v>33.0</v>
      </c>
      <c r="F417" s="66">
        <v>17.96</v>
      </c>
      <c r="G417" s="62">
        <v>1.0</v>
      </c>
      <c r="H417" s="63">
        <v>100.0</v>
      </c>
      <c r="I417" s="63">
        <v>100.0</v>
      </c>
      <c r="J417" s="67">
        <v>33.6028</v>
      </c>
      <c r="K417" s="67">
        <v>30.548</v>
      </c>
      <c r="L417" s="8">
        <f t="shared" si="3"/>
        <v>0.3094321766</v>
      </c>
      <c r="M417" s="8">
        <f t="shared" si="4"/>
        <v>0.09282965297</v>
      </c>
      <c r="N417" s="8">
        <f t="shared" si="5"/>
        <v>0.01856593059</v>
      </c>
      <c r="O417" s="8">
        <f t="shared" si="6"/>
        <v>0.061096</v>
      </c>
      <c r="P417" s="8">
        <f t="shared" si="7"/>
        <v>0.091644</v>
      </c>
      <c r="Q417" s="8">
        <f t="shared" si="8"/>
        <v>0.030548</v>
      </c>
      <c r="R417" s="57"/>
      <c r="S417" s="57"/>
      <c r="T417" s="57"/>
      <c r="U417" s="57"/>
      <c r="V417" s="57"/>
      <c r="W417" s="57"/>
      <c r="X417" s="57"/>
      <c r="Y417" s="57"/>
      <c r="Z417" s="17"/>
    </row>
    <row r="418" ht="34.5" customHeight="1">
      <c r="A418" s="24" t="s">
        <v>335</v>
      </c>
      <c r="B418" s="62" t="s">
        <v>379</v>
      </c>
      <c r="C418" s="65" t="s">
        <v>467</v>
      </c>
      <c r="D418" s="65" t="s">
        <v>474</v>
      </c>
      <c r="E418" s="65">
        <v>111.0</v>
      </c>
      <c r="F418" s="66">
        <v>26.22</v>
      </c>
      <c r="G418" s="62">
        <v>5.0</v>
      </c>
      <c r="H418" s="63">
        <v>100.0</v>
      </c>
      <c r="I418" s="63">
        <v>100.0</v>
      </c>
      <c r="J418" s="67">
        <v>71.7057</v>
      </c>
      <c r="K418" s="67">
        <v>65.187</v>
      </c>
      <c r="L418" s="8">
        <f t="shared" si="3"/>
        <v>0.6603036301</v>
      </c>
      <c r="M418" s="8">
        <f t="shared" si="4"/>
        <v>0.198091089</v>
      </c>
      <c r="N418" s="8">
        <f t="shared" si="5"/>
        <v>0.03961821781</v>
      </c>
      <c r="O418" s="8">
        <f t="shared" si="6"/>
        <v>0.130374</v>
      </c>
      <c r="P418" s="8">
        <f t="shared" si="7"/>
        <v>0.195561</v>
      </c>
      <c r="Q418" s="8">
        <f t="shared" si="8"/>
        <v>0.065187</v>
      </c>
      <c r="R418" s="57"/>
      <c r="S418" s="57"/>
      <c r="T418" s="57"/>
      <c r="U418" s="57"/>
      <c r="V418" s="57"/>
      <c r="W418" s="57"/>
      <c r="X418" s="57"/>
      <c r="Y418" s="57"/>
      <c r="Z418" s="17"/>
    </row>
    <row r="419" ht="34.5" customHeight="1">
      <c r="A419" s="24" t="s">
        <v>335</v>
      </c>
      <c r="B419" s="62" t="s">
        <v>379</v>
      </c>
      <c r="C419" s="65" t="s">
        <v>467</v>
      </c>
      <c r="D419" s="65" t="s">
        <v>475</v>
      </c>
      <c r="E419" s="65">
        <v>68.0</v>
      </c>
      <c r="F419" s="66">
        <v>23.75</v>
      </c>
      <c r="G419" s="62">
        <v>2.0</v>
      </c>
      <c r="H419" s="63">
        <v>42.49</v>
      </c>
      <c r="I419" s="63">
        <v>42.49</v>
      </c>
      <c r="J419" s="67">
        <v>58.47336</v>
      </c>
      <c r="K419" s="67">
        <v>53.1576</v>
      </c>
      <c r="L419" s="8">
        <f t="shared" si="3"/>
        <v>0.5384533151</v>
      </c>
      <c r="M419" s="8">
        <f t="shared" si="4"/>
        <v>0.1615359945</v>
      </c>
      <c r="N419" s="8">
        <f t="shared" si="5"/>
        <v>0.0323071989</v>
      </c>
      <c r="O419" s="8">
        <f t="shared" si="6"/>
        <v>0.1063152</v>
      </c>
      <c r="P419" s="8">
        <f t="shared" si="7"/>
        <v>0.1594728</v>
      </c>
      <c r="Q419" s="8">
        <f t="shared" si="8"/>
        <v>0.0531576</v>
      </c>
      <c r="R419" s="57"/>
      <c r="S419" s="57"/>
      <c r="T419" s="57"/>
      <c r="U419" s="57"/>
      <c r="V419" s="57"/>
      <c r="W419" s="57"/>
      <c r="X419" s="57"/>
      <c r="Y419" s="57"/>
      <c r="Z419" s="17"/>
    </row>
    <row r="420" ht="34.5" customHeight="1">
      <c r="A420" s="24" t="s">
        <v>335</v>
      </c>
      <c r="B420" s="62" t="s">
        <v>379</v>
      </c>
      <c r="C420" s="65" t="s">
        <v>467</v>
      </c>
      <c r="D420" s="65" t="s">
        <v>476</v>
      </c>
      <c r="E420" s="65">
        <v>21.0</v>
      </c>
      <c r="F420" s="66">
        <v>17.95</v>
      </c>
      <c r="G420" s="62">
        <v>1.0</v>
      </c>
      <c r="H420" s="63">
        <v>100.0</v>
      </c>
      <c r="I420" s="63">
        <v>100.0</v>
      </c>
      <c r="J420" s="67">
        <v>20.04486</v>
      </c>
      <c r="K420" s="67">
        <v>18.2226</v>
      </c>
      <c r="L420" s="8">
        <f t="shared" si="3"/>
        <v>0.1845835662</v>
      </c>
      <c r="M420" s="8">
        <f t="shared" si="4"/>
        <v>0.05537506986</v>
      </c>
      <c r="N420" s="8">
        <f t="shared" si="5"/>
        <v>0.01107501397</v>
      </c>
      <c r="O420" s="8">
        <f t="shared" si="6"/>
        <v>0.0364452</v>
      </c>
      <c r="P420" s="8">
        <f t="shared" si="7"/>
        <v>0.0546678</v>
      </c>
      <c r="Q420" s="8">
        <f t="shared" si="8"/>
        <v>0.0182226</v>
      </c>
      <c r="R420" s="57"/>
      <c r="S420" s="57"/>
      <c r="T420" s="57"/>
      <c r="U420" s="57"/>
      <c r="V420" s="57"/>
      <c r="W420" s="57"/>
      <c r="X420" s="57"/>
      <c r="Y420" s="57"/>
      <c r="Z420" s="17"/>
    </row>
    <row r="421" ht="34.5" customHeight="1">
      <c r="A421" s="24" t="s">
        <v>335</v>
      </c>
      <c r="B421" s="62" t="s">
        <v>379</v>
      </c>
      <c r="C421" s="65" t="s">
        <v>467</v>
      </c>
      <c r="D421" s="65" t="s">
        <v>477</v>
      </c>
      <c r="E421" s="65">
        <v>10.0</v>
      </c>
      <c r="F421" s="66">
        <v>18.24</v>
      </c>
      <c r="G421" s="62">
        <v>2.0</v>
      </c>
      <c r="H421" s="63">
        <v>100.0</v>
      </c>
      <c r="I421" s="63">
        <v>100.0</v>
      </c>
      <c r="J421" s="67">
        <v>15.83516</v>
      </c>
      <c r="K421" s="67">
        <v>14.3956</v>
      </c>
      <c r="L421" s="8">
        <f t="shared" si="3"/>
        <v>0.1458184444</v>
      </c>
      <c r="M421" s="8">
        <f t="shared" si="4"/>
        <v>0.04374553333</v>
      </c>
      <c r="N421" s="8">
        <f t="shared" si="5"/>
        <v>0.008749106667</v>
      </c>
      <c r="O421" s="8">
        <f t="shared" si="6"/>
        <v>0.0287912</v>
      </c>
      <c r="P421" s="8">
        <f t="shared" si="7"/>
        <v>0.0431868</v>
      </c>
      <c r="Q421" s="8">
        <f t="shared" si="8"/>
        <v>0.0143956</v>
      </c>
      <c r="R421" s="57"/>
      <c r="S421" s="57"/>
      <c r="T421" s="57"/>
      <c r="U421" s="57"/>
      <c r="V421" s="57"/>
      <c r="W421" s="57"/>
      <c r="X421" s="57"/>
      <c r="Y421" s="57"/>
      <c r="Z421" s="17"/>
    </row>
    <row r="422" ht="34.5" customHeight="1">
      <c r="A422" s="24" t="s">
        <v>335</v>
      </c>
      <c r="B422" s="62" t="s">
        <v>379</v>
      </c>
      <c r="C422" s="65" t="s">
        <v>467</v>
      </c>
      <c r="D422" s="65" t="s">
        <v>478</v>
      </c>
      <c r="E422" s="65">
        <v>83.0</v>
      </c>
      <c r="F422" s="66">
        <v>25.65</v>
      </c>
      <c r="G422" s="62">
        <v>5.0</v>
      </c>
      <c r="H422" s="63">
        <v>60.12</v>
      </c>
      <c r="I422" s="63">
        <v>60.12</v>
      </c>
      <c r="J422" s="67">
        <v>66.3047</v>
      </c>
      <c r="K422" s="67">
        <v>60.277</v>
      </c>
      <c r="L422" s="8">
        <f t="shared" si="3"/>
        <v>0.6105683942</v>
      </c>
      <c r="M422" s="8">
        <f t="shared" si="4"/>
        <v>0.1831705183</v>
      </c>
      <c r="N422" s="8">
        <f t="shared" si="5"/>
        <v>0.03663410365</v>
      </c>
      <c r="O422" s="8">
        <f t="shared" si="6"/>
        <v>0.120554</v>
      </c>
      <c r="P422" s="8">
        <f t="shared" si="7"/>
        <v>0.180831</v>
      </c>
      <c r="Q422" s="8">
        <f t="shared" si="8"/>
        <v>0.060277</v>
      </c>
      <c r="R422" s="57"/>
      <c r="S422" s="57"/>
      <c r="T422" s="57"/>
      <c r="U422" s="57"/>
      <c r="V422" s="57"/>
      <c r="W422" s="57"/>
      <c r="X422" s="57"/>
      <c r="Y422" s="57"/>
      <c r="Z422" s="17"/>
    </row>
    <row r="423" ht="34.5" customHeight="1">
      <c r="A423" s="24" t="s">
        <v>335</v>
      </c>
      <c r="B423" s="62" t="s">
        <v>379</v>
      </c>
      <c r="C423" s="65" t="s">
        <v>467</v>
      </c>
      <c r="D423" s="65" t="s">
        <v>479</v>
      </c>
      <c r="E423" s="65">
        <v>19.0</v>
      </c>
      <c r="F423" s="66">
        <v>11.62</v>
      </c>
      <c r="G423" s="62">
        <v>1.0</v>
      </c>
      <c r="H423" s="63">
        <v>100.0</v>
      </c>
      <c r="I423" s="63">
        <v>100.0</v>
      </c>
      <c r="J423" s="67">
        <v>27.8718</v>
      </c>
      <c r="K423" s="67">
        <v>25.338</v>
      </c>
      <c r="L423" s="8">
        <f t="shared" si="3"/>
        <v>0.2566581279</v>
      </c>
      <c r="M423" s="8">
        <f t="shared" si="4"/>
        <v>0.07699743836</v>
      </c>
      <c r="N423" s="8">
        <f t="shared" si="5"/>
        <v>0.01539948767</v>
      </c>
      <c r="O423" s="8">
        <f t="shared" si="6"/>
        <v>0.050676</v>
      </c>
      <c r="P423" s="8">
        <f t="shared" si="7"/>
        <v>0.076014</v>
      </c>
      <c r="Q423" s="8">
        <f t="shared" si="8"/>
        <v>0.025338</v>
      </c>
      <c r="R423" s="57"/>
      <c r="S423" s="57"/>
      <c r="T423" s="57"/>
      <c r="U423" s="57"/>
      <c r="V423" s="57"/>
      <c r="W423" s="57"/>
      <c r="X423" s="57"/>
      <c r="Y423" s="57"/>
      <c r="Z423" s="17"/>
    </row>
    <row r="424" ht="34.5" customHeight="1">
      <c r="A424" s="24" t="s">
        <v>335</v>
      </c>
      <c r="B424" s="62" t="s">
        <v>379</v>
      </c>
      <c r="C424" s="65" t="s">
        <v>467</v>
      </c>
      <c r="D424" s="65" t="s">
        <v>480</v>
      </c>
      <c r="E424" s="65">
        <v>28.0</v>
      </c>
      <c r="F424" s="66">
        <v>25.34</v>
      </c>
      <c r="G424" s="62">
        <v>2.0</v>
      </c>
      <c r="H424" s="63">
        <v>100.0</v>
      </c>
      <c r="I424" s="63">
        <v>100.0</v>
      </c>
      <c r="J424" s="67">
        <v>22.99528</v>
      </c>
      <c r="K424" s="67">
        <v>20.9048</v>
      </c>
      <c r="L424" s="8">
        <f t="shared" si="3"/>
        <v>0.2117525784</v>
      </c>
      <c r="M424" s="8">
        <f t="shared" si="4"/>
        <v>0.06352577352</v>
      </c>
      <c r="N424" s="8">
        <f t="shared" si="5"/>
        <v>0.0127051547</v>
      </c>
      <c r="O424" s="8">
        <f t="shared" si="6"/>
        <v>0.0418096</v>
      </c>
      <c r="P424" s="8">
        <f t="shared" si="7"/>
        <v>0.0627144</v>
      </c>
      <c r="Q424" s="8">
        <f t="shared" si="8"/>
        <v>0.0209048</v>
      </c>
      <c r="R424" s="57"/>
      <c r="S424" s="57"/>
      <c r="T424" s="57"/>
      <c r="U424" s="57"/>
      <c r="V424" s="57"/>
      <c r="W424" s="57"/>
      <c r="X424" s="57"/>
      <c r="Y424" s="57"/>
      <c r="Z424" s="17"/>
    </row>
    <row r="425" ht="34.5" customHeight="1">
      <c r="A425" s="24" t="s">
        <v>335</v>
      </c>
      <c r="B425" s="62" t="s">
        <v>379</v>
      </c>
      <c r="C425" s="65" t="s">
        <v>467</v>
      </c>
      <c r="D425" s="65" t="s">
        <v>481</v>
      </c>
      <c r="E425" s="65">
        <v>102.0</v>
      </c>
      <c r="F425" s="66">
        <v>17.96</v>
      </c>
      <c r="G425" s="62">
        <v>4.0</v>
      </c>
      <c r="H425" s="63">
        <v>55.12</v>
      </c>
      <c r="I425" s="63">
        <v>88.67</v>
      </c>
      <c r="J425" s="67">
        <v>111.85405</v>
      </c>
      <c r="K425" s="67">
        <v>101.6855</v>
      </c>
      <c r="L425" s="8">
        <f t="shared" si="3"/>
        <v>1.030010658</v>
      </c>
      <c r="M425" s="8">
        <f t="shared" si="4"/>
        <v>0.3090031975</v>
      </c>
      <c r="N425" s="8">
        <f t="shared" si="5"/>
        <v>0.0618006395</v>
      </c>
      <c r="O425" s="8">
        <f t="shared" si="6"/>
        <v>0.203371</v>
      </c>
      <c r="P425" s="8">
        <f t="shared" si="7"/>
        <v>0.3050565</v>
      </c>
      <c r="Q425" s="8">
        <f t="shared" si="8"/>
        <v>0.1016855</v>
      </c>
      <c r="R425" s="57"/>
      <c r="S425" s="57"/>
      <c r="T425" s="57"/>
      <c r="U425" s="57"/>
      <c r="V425" s="57"/>
      <c r="W425" s="57"/>
      <c r="X425" s="57"/>
      <c r="Y425" s="57"/>
      <c r="Z425" s="17"/>
    </row>
    <row r="426" ht="34.5" customHeight="1">
      <c r="A426" s="24" t="s">
        <v>335</v>
      </c>
      <c r="B426" s="62" t="s">
        <v>379</v>
      </c>
      <c r="C426" s="65" t="s">
        <v>467</v>
      </c>
      <c r="D426" s="65" t="s">
        <v>482</v>
      </c>
      <c r="E426" s="65">
        <v>36.0</v>
      </c>
      <c r="F426" s="66">
        <v>38.24</v>
      </c>
      <c r="G426" s="62">
        <v>1.0</v>
      </c>
      <c r="H426" s="63">
        <v>100.0</v>
      </c>
      <c r="I426" s="63">
        <v>100.0</v>
      </c>
      <c r="J426" s="67">
        <v>22.86636</v>
      </c>
      <c r="K426" s="67">
        <v>20.7876</v>
      </c>
      <c r="L426" s="8">
        <f t="shared" si="3"/>
        <v>0.2105654155</v>
      </c>
      <c r="M426" s="8">
        <f t="shared" si="4"/>
        <v>0.06316962466</v>
      </c>
      <c r="N426" s="8">
        <f t="shared" si="5"/>
        <v>0.01263392493</v>
      </c>
      <c r="O426" s="8">
        <f t="shared" si="6"/>
        <v>0.0415752</v>
      </c>
      <c r="P426" s="8">
        <f t="shared" si="7"/>
        <v>0.0623628</v>
      </c>
      <c r="Q426" s="8">
        <f t="shared" si="8"/>
        <v>0.0207876</v>
      </c>
      <c r="R426" s="57"/>
      <c r="S426" s="57"/>
      <c r="T426" s="57"/>
      <c r="U426" s="57"/>
      <c r="V426" s="57"/>
      <c r="W426" s="57"/>
      <c r="X426" s="57"/>
      <c r="Y426" s="57"/>
      <c r="Z426" s="17"/>
    </row>
    <row r="427" ht="34.5" customHeight="1">
      <c r="A427" s="24" t="s">
        <v>335</v>
      </c>
      <c r="B427" s="62" t="s">
        <v>379</v>
      </c>
      <c r="C427" s="65" t="s">
        <v>467</v>
      </c>
      <c r="D427" s="65" t="s">
        <v>483</v>
      </c>
      <c r="E427" s="65">
        <v>159.0</v>
      </c>
      <c r="F427" s="66">
        <v>18.1</v>
      </c>
      <c r="G427" s="62">
        <v>3.0</v>
      </c>
      <c r="H427" s="63">
        <v>100.0</v>
      </c>
      <c r="I427" s="63">
        <v>100.0</v>
      </c>
      <c r="J427" s="67">
        <v>151.20347</v>
      </c>
      <c r="K427" s="67">
        <v>137.4577</v>
      </c>
      <c r="L427" s="8">
        <f t="shared" si="3"/>
        <v>1.392360721</v>
      </c>
      <c r="M427" s="8">
        <f t="shared" si="4"/>
        <v>0.4177082162</v>
      </c>
      <c r="N427" s="8">
        <f t="shared" si="5"/>
        <v>0.08354164324</v>
      </c>
      <c r="O427" s="8">
        <f t="shared" si="6"/>
        <v>0.2749154</v>
      </c>
      <c r="P427" s="8">
        <f t="shared" si="7"/>
        <v>0.4123731</v>
      </c>
      <c r="Q427" s="8">
        <f t="shared" si="8"/>
        <v>0.1374577</v>
      </c>
      <c r="R427" s="57"/>
      <c r="S427" s="57"/>
      <c r="T427" s="57"/>
      <c r="U427" s="57"/>
      <c r="V427" s="57"/>
      <c r="W427" s="57"/>
      <c r="X427" s="57"/>
      <c r="Y427" s="57"/>
      <c r="Z427" s="17"/>
    </row>
    <row r="428" ht="34.5" customHeight="1">
      <c r="A428" s="54" t="s">
        <v>335</v>
      </c>
      <c r="B428" s="70" t="s">
        <v>379</v>
      </c>
      <c r="C428" s="71" t="s">
        <v>467</v>
      </c>
      <c r="D428" s="71" t="s">
        <v>484</v>
      </c>
      <c r="E428" s="65">
        <v>1040.0</v>
      </c>
      <c r="F428" s="66">
        <v>32.71</v>
      </c>
      <c r="G428" s="62">
        <v>14.0</v>
      </c>
      <c r="H428" s="63">
        <v>72.98</v>
      </c>
      <c r="I428" s="63">
        <v>100.0</v>
      </c>
      <c r="J428" s="67">
        <v>812.6888</v>
      </c>
      <c r="K428" s="67">
        <v>738.808</v>
      </c>
      <c r="L428" s="8">
        <f t="shared" si="3"/>
        <v>7.483663988</v>
      </c>
      <c r="M428" s="8">
        <f t="shared" si="4"/>
        <v>2.245099196</v>
      </c>
      <c r="N428" s="8">
        <f t="shared" si="5"/>
        <v>0.4490198393</v>
      </c>
      <c r="O428" s="8">
        <f t="shared" si="6"/>
        <v>1.477616</v>
      </c>
      <c r="P428" s="8">
        <f t="shared" si="7"/>
        <v>2.216424</v>
      </c>
      <c r="Q428" s="8">
        <f t="shared" si="8"/>
        <v>0.738808</v>
      </c>
      <c r="R428" s="57"/>
      <c r="S428" s="57"/>
      <c r="T428" s="57"/>
      <c r="U428" s="57"/>
      <c r="V428" s="57"/>
      <c r="W428" s="57"/>
      <c r="X428" s="57"/>
      <c r="Y428" s="57"/>
      <c r="Z428" s="17"/>
    </row>
    <row r="429" ht="34.5" customHeight="1">
      <c r="A429" s="54" t="s">
        <v>485</v>
      </c>
      <c r="B429" s="34" t="s">
        <v>486</v>
      </c>
      <c r="C429" s="34" t="s">
        <v>487</v>
      </c>
      <c r="D429" s="34" t="s">
        <v>488</v>
      </c>
      <c r="E429" s="34">
        <v>24.0</v>
      </c>
      <c r="F429" s="35">
        <v>24.0</v>
      </c>
      <c r="G429" s="34">
        <v>1.0</v>
      </c>
      <c r="H429" s="35">
        <v>82.93</v>
      </c>
      <c r="I429" s="35">
        <v>100.0</v>
      </c>
      <c r="J429" s="36">
        <f t="shared" ref="J429:J447" si="9">(E429*(1-F429/100)*1.1)</f>
        <v>20.064</v>
      </c>
      <c r="K429" s="36">
        <f t="shared" ref="K429:K447" si="10">E429*(1-F429/100)</f>
        <v>18.24</v>
      </c>
      <c r="L429" s="8">
        <f t="shared" si="3"/>
        <v>0.1847598174</v>
      </c>
      <c r="M429" s="8">
        <f t="shared" si="4"/>
        <v>0.05542794521</v>
      </c>
      <c r="N429" s="8">
        <f t="shared" si="5"/>
        <v>0.01108558904</v>
      </c>
      <c r="O429" s="8">
        <f t="shared" si="6"/>
        <v>0.03648</v>
      </c>
      <c r="P429" s="8">
        <f t="shared" si="7"/>
        <v>0.05472</v>
      </c>
      <c r="Q429" s="8">
        <f t="shared" si="8"/>
        <v>0.01824</v>
      </c>
      <c r="R429" s="57"/>
      <c r="S429" s="57"/>
      <c r="T429" s="57"/>
      <c r="U429" s="57"/>
      <c r="V429" s="57"/>
      <c r="W429" s="57"/>
      <c r="X429" s="57"/>
      <c r="Y429" s="57"/>
      <c r="Z429" s="17"/>
    </row>
    <row r="430" ht="34.5" customHeight="1">
      <c r="A430" s="54" t="s">
        <v>485</v>
      </c>
      <c r="B430" s="34" t="s">
        <v>486</v>
      </c>
      <c r="C430" s="34" t="s">
        <v>487</v>
      </c>
      <c r="D430" s="34" t="s">
        <v>486</v>
      </c>
      <c r="E430" s="34">
        <v>1374.0</v>
      </c>
      <c r="F430" s="35">
        <v>25.29</v>
      </c>
      <c r="G430" s="34">
        <v>16.0</v>
      </c>
      <c r="H430" s="35">
        <v>45.21</v>
      </c>
      <c r="I430" s="35">
        <v>69.04</v>
      </c>
      <c r="J430" s="36">
        <f t="shared" si="9"/>
        <v>1129.16694</v>
      </c>
      <c r="K430" s="36">
        <f t="shared" si="10"/>
        <v>1026.5154</v>
      </c>
      <c r="L430" s="8">
        <f t="shared" si="3"/>
        <v>10.39796041</v>
      </c>
      <c r="M430" s="8">
        <f t="shared" si="4"/>
        <v>3.119388122</v>
      </c>
      <c r="N430" s="8">
        <f t="shared" si="5"/>
        <v>0.6238776244</v>
      </c>
      <c r="O430" s="8">
        <f t="shared" si="6"/>
        <v>2.0530308</v>
      </c>
      <c r="P430" s="8">
        <f t="shared" si="7"/>
        <v>3.0795462</v>
      </c>
      <c r="Q430" s="8">
        <f t="shared" si="8"/>
        <v>1.0265154</v>
      </c>
      <c r="R430" s="57"/>
      <c r="S430" s="57"/>
      <c r="T430" s="57"/>
      <c r="U430" s="57"/>
      <c r="V430" s="57"/>
      <c r="W430" s="57"/>
      <c r="X430" s="57"/>
      <c r="Y430" s="57"/>
      <c r="Z430" s="17"/>
    </row>
    <row r="431" ht="34.5" customHeight="1">
      <c r="A431" s="54" t="s">
        <v>485</v>
      </c>
      <c r="B431" s="34" t="s">
        <v>486</v>
      </c>
      <c r="C431" s="34" t="s">
        <v>487</v>
      </c>
      <c r="D431" s="34" t="s">
        <v>489</v>
      </c>
      <c r="E431" s="34">
        <v>72.0</v>
      </c>
      <c r="F431" s="35">
        <v>17.17</v>
      </c>
      <c r="G431" s="34">
        <v>3.0</v>
      </c>
      <c r="H431" s="35">
        <v>65.45</v>
      </c>
      <c r="I431" s="35">
        <v>93.91</v>
      </c>
      <c r="J431" s="36">
        <f t="shared" si="9"/>
        <v>65.60136</v>
      </c>
      <c r="K431" s="36">
        <f t="shared" si="10"/>
        <v>59.6376</v>
      </c>
      <c r="L431" s="8">
        <f t="shared" si="3"/>
        <v>0.6040916712</v>
      </c>
      <c r="M431" s="8">
        <f t="shared" si="4"/>
        <v>0.1812275014</v>
      </c>
      <c r="N431" s="8">
        <f t="shared" si="5"/>
        <v>0.03624550027</v>
      </c>
      <c r="O431" s="8">
        <f t="shared" si="6"/>
        <v>0.1192752</v>
      </c>
      <c r="P431" s="8">
        <f t="shared" si="7"/>
        <v>0.1789128</v>
      </c>
      <c r="Q431" s="8">
        <f t="shared" si="8"/>
        <v>0.0596376</v>
      </c>
      <c r="R431" s="57"/>
      <c r="S431" s="57"/>
      <c r="T431" s="57"/>
      <c r="U431" s="57"/>
      <c r="V431" s="57"/>
      <c r="W431" s="57"/>
      <c r="X431" s="57"/>
      <c r="Y431" s="57"/>
      <c r="Z431" s="17"/>
    </row>
    <row r="432" ht="34.5" customHeight="1">
      <c r="A432" s="54" t="s">
        <v>485</v>
      </c>
      <c r="B432" s="34" t="s">
        <v>486</v>
      </c>
      <c r="C432" s="34" t="s">
        <v>487</v>
      </c>
      <c r="D432" s="34" t="s">
        <v>490</v>
      </c>
      <c r="E432" s="34">
        <v>204.0</v>
      </c>
      <c r="F432" s="35">
        <v>38.16</v>
      </c>
      <c r="G432" s="34">
        <v>5.0</v>
      </c>
      <c r="H432" s="35">
        <v>18.68</v>
      </c>
      <c r="I432" s="35">
        <v>18.68</v>
      </c>
      <c r="J432" s="36">
        <f t="shared" si="9"/>
        <v>138.76896</v>
      </c>
      <c r="K432" s="36">
        <f t="shared" si="10"/>
        <v>126.1536</v>
      </c>
      <c r="L432" s="8">
        <f t="shared" si="3"/>
        <v>1.277857242</v>
      </c>
      <c r="M432" s="8">
        <f t="shared" si="4"/>
        <v>0.3833571726</v>
      </c>
      <c r="N432" s="8">
        <f t="shared" si="5"/>
        <v>0.07667143452</v>
      </c>
      <c r="O432" s="8">
        <f t="shared" si="6"/>
        <v>0.2523072</v>
      </c>
      <c r="P432" s="8">
        <f t="shared" si="7"/>
        <v>0.3784608</v>
      </c>
      <c r="Q432" s="8">
        <f t="shared" si="8"/>
        <v>0.1261536</v>
      </c>
      <c r="R432" s="57"/>
      <c r="S432" s="57"/>
      <c r="T432" s="57"/>
      <c r="U432" s="57"/>
      <c r="V432" s="57"/>
      <c r="W432" s="57"/>
      <c r="X432" s="57"/>
      <c r="Y432" s="57"/>
      <c r="Z432" s="17"/>
    </row>
    <row r="433" ht="34.5" customHeight="1">
      <c r="A433" s="54" t="s">
        <v>485</v>
      </c>
      <c r="B433" s="34" t="s">
        <v>486</v>
      </c>
      <c r="C433" s="34" t="s">
        <v>487</v>
      </c>
      <c r="D433" s="34" t="s">
        <v>491</v>
      </c>
      <c r="E433" s="34">
        <v>104.0</v>
      </c>
      <c r="F433" s="35">
        <v>17.48</v>
      </c>
      <c r="G433" s="34">
        <v>3.0</v>
      </c>
      <c r="H433" s="35">
        <v>100.0</v>
      </c>
      <c r="I433" s="35">
        <v>100.0</v>
      </c>
      <c r="J433" s="36">
        <f t="shared" si="9"/>
        <v>94.40288</v>
      </c>
      <c r="K433" s="36">
        <f t="shared" si="10"/>
        <v>85.8208</v>
      </c>
      <c r="L433" s="8">
        <f t="shared" si="3"/>
        <v>0.8693111476</v>
      </c>
      <c r="M433" s="8">
        <f t="shared" si="4"/>
        <v>0.2607933443</v>
      </c>
      <c r="N433" s="8">
        <f t="shared" si="5"/>
        <v>0.05215866886</v>
      </c>
      <c r="O433" s="8">
        <f t="shared" si="6"/>
        <v>0.1716416</v>
      </c>
      <c r="P433" s="8">
        <f t="shared" si="7"/>
        <v>0.2574624</v>
      </c>
      <c r="Q433" s="8">
        <f t="shared" si="8"/>
        <v>0.0858208</v>
      </c>
      <c r="R433" s="57"/>
      <c r="S433" s="57"/>
      <c r="T433" s="57"/>
      <c r="U433" s="57"/>
      <c r="V433" s="57"/>
      <c r="W433" s="57"/>
      <c r="X433" s="57"/>
      <c r="Y433" s="57"/>
      <c r="Z433" s="17"/>
    </row>
    <row r="434" ht="34.5" customHeight="1">
      <c r="A434" s="54" t="s">
        <v>485</v>
      </c>
      <c r="B434" s="34" t="s">
        <v>486</v>
      </c>
      <c r="C434" s="34" t="s">
        <v>487</v>
      </c>
      <c r="D434" s="34" t="s">
        <v>492</v>
      </c>
      <c r="E434" s="34">
        <v>431.0</v>
      </c>
      <c r="F434" s="35">
        <v>40.27</v>
      </c>
      <c r="G434" s="34">
        <v>7.0</v>
      </c>
      <c r="H434" s="35">
        <v>84.58</v>
      </c>
      <c r="I434" s="35">
        <v>100.0</v>
      </c>
      <c r="J434" s="36">
        <f t="shared" si="9"/>
        <v>283.17993</v>
      </c>
      <c r="K434" s="36">
        <f t="shared" si="10"/>
        <v>257.4363</v>
      </c>
      <c r="L434" s="8">
        <f t="shared" si="3"/>
        <v>2.607669066</v>
      </c>
      <c r="M434" s="8">
        <f t="shared" si="4"/>
        <v>0.7823007199</v>
      </c>
      <c r="N434" s="8">
        <f t="shared" si="5"/>
        <v>0.156460144</v>
      </c>
      <c r="O434" s="8">
        <f t="shared" si="6"/>
        <v>0.5148726</v>
      </c>
      <c r="P434" s="8">
        <f t="shared" si="7"/>
        <v>0.7723089</v>
      </c>
      <c r="Q434" s="8">
        <f t="shared" si="8"/>
        <v>0.2574363</v>
      </c>
      <c r="R434" s="57"/>
      <c r="S434" s="57"/>
      <c r="T434" s="57"/>
      <c r="U434" s="57"/>
      <c r="V434" s="57"/>
      <c r="W434" s="57"/>
      <c r="X434" s="57"/>
      <c r="Y434" s="57"/>
      <c r="Z434" s="17"/>
    </row>
    <row r="435" ht="34.5" customHeight="1">
      <c r="A435" s="54" t="s">
        <v>485</v>
      </c>
      <c r="B435" s="34" t="s">
        <v>486</v>
      </c>
      <c r="C435" s="34" t="s">
        <v>487</v>
      </c>
      <c r="D435" s="34" t="s">
        <v>493</v>
      </c>
      <c r="E435" s="34">
        <v>90.0</v>
      </c>
      <c r="F435" s="35">
        <v>25.6</v>
      </c>
      <c r="G435" s="34">
        <v>3.0</v>
      </c>
      <c r="H435" s="35">
        <v>92.51</v>
      </c>
      <c r="I435" s="35">
        <v>92.51</v>
      </c>
      <c r="J435" s="36">
        <f t="shared" si="9"/>
        <v>73.656</v>
      </c>
      <c r="K435" s="36">
        <f t="shared" si="10"/>
        <v>66.96</v>
      </c>
      <c r="L435" s="8">
        <f t="shared" si="3"/>
        <v>0.6782630137</v>
      </c>
      <c r="M435" s="8">
        <f t="shared" si="4"/>
        <v>0.2034789041</v>
      </c>
      <c r="N435" s="8">
        <f t="shared" si="5"/>
        <v>0.04069578082</v>
      </c>
      <c r="O435" s="8">
        <f t="shared" si="6"/>
        <v>0.13392</v>
      </c>
      <c r="P435" s="8">
        <f t="shared" si="7"/>
        <v>0.20088</v>
      </c>
      <c r="Q435" s="8">
        <f t="shared" si="8"/>
        <v>0.06696</v>
      </c>
      <c r="R435" s="57"/>
      <c r="S435" s="57"/>
      <c r="T435" s="57"/>
      <c r="U435" s="57"/>
      <c r="V435" s="57"/>
      <c r="W435" s="57"/>
      <c r="X435" s="57"/>
      <c r="Y435" s="57"/>
      <c r="Z435" s="17"/>
    </row>
    <row r="436" ht="34.5" customHeight="1">
      <c r="A436" s="54" t="s">
        <v>485</v>
      </c>
      <c r="B436" s="34" t="s">
        <v>486</v>
      </c>
      <c r="C436" s="34" t="s">
        <v>487</v>
      </c>
      <c r="D436" s="34" t="s">
        <v>494</v>
      </c>
      <c r="E436" s="34">
        <v>47.0</v>
      </c>
      <c r="F436" s="35">
        <v>22.34</v>
      </c>
      <c r="G436" s="34">
        <v>2.0</v>
      </c>
      <c r="H436" s="35">
        <v>99.58</v>
      </c>
      <c r="I436" s="35">
        <v>99.58</v>
      </c>
      <c r="J436" s="36">
        <f t="shared" si="9"/>
        <v>40.15022</v>
      </c>
      <c r="K436" s="36">
        <f t="shared" si="10"/>
        <v>36.5002</v>
      </c>
      <c r="L436" s="8">
        <f t="shared" si="3"/>
        <v>0.3697242481</v>
      </c>
      <c r="M436" s="8">
        <f t="shared" si="4"/>
        <v>0.1109172744</v>
      </c>
      <c r="N436" s="8">
        <f t="shared" si="5"/>
        <v>0.02218345489</v>
      </c>
      <c r="O436" s="8">
        <f t="shared" si="6"/>
        <v>0.0730004</v>
      </c>
      <c r="P436" s="8">
        <f t="shared" si="7"/>
        <v>0.1095006</v>
      </c>
      <c r="Q436" s="8">
        <f t="shared" si="8"/>
        <v>0.0365002</v>
      </c>
      <c r="R436" s="57"/>
      <c r="S436" s="57"/>
      <c r="T436" s="57"/>
      <c r="U436" s="57"/>
      <c r="V436" s="57"/>
      <c r="W436" s="57"/>
      <c r="X436" s="57"/>
      <c r="Y436" s="57"/>
      <c r="Z436" s="17"/>
    </row>
    <row r="437" ht="34.5" customHeight="1">
      <c r="A437" s="54" t="s">
        <v>485</v>
      </c>
      <c r="B437" s="34" t="s">
        <v>486</v>
      </c>
      <c r="C437" s="34" t="s">
        <v>487</v>
      </c>
      <c r="D437" s="34" t="s">
        <v>495</v>
      </c>
      <c r="E437" s="34">
        <v>665.0</v>
      </c>
      <c r="F437" s="35">
        <v>38.57</v>
      </c>
      <c r="G437" s="34">
        <v>9.0</v>
      </c>
      <c r="H437" s="35">
        <v>44.09</v>
      </c>
      <c r="I437" s="35">
        <v>100.0</v>
      </c>
      <c r="J437" s="36">
        <f t="shared" si="9"/>
        <v>449.36045</v>
      </c>
      <c r="K437" s="36">
        <f t="shared" si="10"/>
        <v>408.5095</v>
      </c>
      <c r="L437" s="8">
        <f t="shared" si="3"/>
        <v>4.137946305</v>
      </c>
      <c r="M437" s="8">
        <f t="shared" si="4"/>
        <v>1.241383892</v>
      </c>
      <c r="N437" s="8">
        <f t="shared" si="5"/>
        <v>0.2482767783</v>
      </c>
      <c r="O437" s="8">
        <f t="shared" si="6"/>
        <v>0.817019</v>
      </c>
      <c r="P437" s="8">
        <f t="shared" si="7"/>
        <v>1.2255285</v>
      </c>
      <c r="Q437" s="8">
        <f t="shared" si="8"/>
        <v>0.4085095</v>
      </c>
      <c r="R437" s="57"/>
      <c r="S437" s="57"/>
      <c r="T437" s="57"/>
      <c r="U437" s="57"/>
      <c r="V437" s="57"/>
      <c r="W437" s="57"/>
      <c r="X437" s="57"/>
      <c r="Y437" s="57"/>
      <c r="Z437" s="17"/>
    </row>
    <row r="438" ht="34.5" customHeight="1">
      <c r="A438" s="54" t="s">
        <v>485</v>
      </c>
      <c r="B438" s="34" t="s">
        <v>486</v>
      </c>
      <c r="C438" s="34" t="s">
        <v>487</v>
      </c>
      <c r="D438" s="34" t="s">
        <v>496</v>
      </c>
      <c r="E438" s="34">
        <v>151.0</v>
      </c>
      <c r="F438" s="35">
        <v>26.38</v>
      </c>
      <c r="G438" s="34">
        <v>3.0</v>
      </c>
      <c r="H438" s="35">
        <v>59.16</v>
      </c>
      <c r="I438" s="35">
        <v>59.16</v>
      </c>
      <c r="J438" s="36">
        <f t="shared" si="9"/>
        <v>122.28282</v>
      </c>
      <c r="K438" s="36">
        <f t="shared" si="10"/>
        <v>111.1662</v>
      </c>
      <c r="L438" s="8">
        <f t="shared" si="3"/>
        <v>1.126044233</v>
      </c>
      <c r="M438" s="8">
        <f t="shared" si="4"/>
        <v>0.3378132699</v>
      </c>
      <c r="N438" s="8">
        <f t="shared" si="5"/>
        <v>0.06756265397</v>
      </c>
      <c r="O438" s="8">
        <f t="shared" si="6"/>
        <v>0.2223324</v>
      </c>
      <c r="P438" s="8">
        <f t="shared" si="7"/>
        <v>0.3334986</v>
      </c>
      <c r="Q438" s="8">
        <f t="shared" si="8"/>
        <v>0.1111662</v>
      </c>
      <c r="R438" s="57"/>
      <c r="S438" s="57"/>
      <c r="T438" s="57"/>
      <c r="U438" s="57"/>
      <c r="V438" s="57"/>
      <c r="W438" s="57"/>
      <c r="X438" s="57"/>
      <c r="Y438" s="57"/>
      <c r="Z438" s="17"/>
    </row>
    <row r="439" ht="34.5" customHeight="1">
      <c r="A439" s="54" t="s">
        <v>485</v>
      </c>
      <c r="B439" s="34" t="s">
        <v>486</v>
      </c>
      <c r="C439" s="34" t="s">
        <v>497</v>
      </c>
      <c r="D439" s="34" t="s">
        <v>498</v>
      </c>
      <c r="E439" s="34">
        <v>783.0</v>
      </c>
      <c r="F439" s="35">
        <v>35.84</v>
      </c>
      <c r="G439" s="34">
        <v>17.0</v>
      </c>
      <c r="H439" s="35">
        <v>57.87</v>
      </c>
      <c r="I439" s="35">
        <v>57.87</v>
      </c>
      <c r="J439" s="36">
        <f t="shared" si="9"/>
        <v>552.61008</v>
      </c>
      <c r="K439" s="36">
        <f t="shared" si="10"/>
        <v>502.3728</v>
      </c>
      <c r="L439" s="8">
        <f t="shared" si="3"/>
        <v>5.088722959</v>
      </c>
      <c r="M439" s="8">
        <f t="shared" si="4"/>
        <v>1.526616888</v>
      </c>
      <c r="N439" s="8">
        <f t="shared" si="5"/>
        <v>0.3053233775</v>
      </c>
      <c r="O439" s="8">
        <f t="shared" si="6"/>
        <v>1.0047456</v>
      </c>
      <c r="P439" s="8">
        <f t="shared" si="7"/>
        <v>1.5071184</v>
      </c>
      <c r="Q439" s="8">
        <f t="shared" si="8"/>
        <v>0.5023728</v>
      </c>
      <c r="R439" s="57"/>
      <c r="S439" s="57"/>
      <c r="T439" s="57"/>
      <c r="U439" s="57"/>
      <c r="V439" s="57"/>
      <c r="W439" s="57"/>
      <c r="X439" s="57"/>
      <c r="Y439" s="57"/>
      <c r="Z439" s="17"/>
    </row>
    <row r="440" ht="34.5" customHeight="1">
      <c r="A440" s="54" t="s">
        <v>485</v>
      </c>
      <c r="B440" s="34" t="s">
        <v>486</v>
      </c>
      <c r="C440" s="34" t="s">
        <v>497</v>
      </c>
      <c r="D440" s="34" t="s">
        <v>499</v>
      </c>
      <c r="E440" s="34">
        <v>185.0</v>
      </c>
      <c r="F440" s="35">
        <v>27.9</v>
      </c>
      <c r="G440" s="34">
        <v>9.0</v>
      </c>
      <c r="H440" s="35">
        <v>90.75</v>
      </c>
      <c r="I440" s="35">
        <v>100.0</v>
      </c>
      <c r="J440" s="36">
        <f t="shared" si="9"/>
        <v>146.7235</v>
      </c>
      <c r="K440" s="36">
        <f t="shared" si="10"/>
        <v>133.385</v>
      </c>
      <c r="L440" s="8">
        <f t="shared" si="3"/>
        <v>1.351106811</v>
      </c>
      <c r="M440" s="8">
        <f t="shared" si="4"/>
        <v>0.4053320434</v>
      </c>
      <c r="N440" s="8">
        <f t="shared" si="5"/>
        <v>0.08106640868</v>
      </c>
      <c r="O440" s="8">
        <f t="shared" si="6"/>
        <v>0.26677</v>
      </c>
      <c r="P440" s="8">
        <f t="shared" si="7"/>
        <v>0.400155</v>
      </c>
      <c r="Q440" s="8">
        <f t="shared" si="8"/>
        <v>0.133385</v>
      </c>
      <c r="R440" s="57"/>
      <c r="S440" s="57"/>
      <c r="T440" s="57"/>
      <c r="U440" s="57"/>
      <c r="V440" s="57"/>
      <c r="W440" s="57"/>
      <c r="X440" s="57"/>
      <c r="Y440" s="57"/>
      <c r="Z440" s="17"/>
    </row>
    <row r="441" ht="34.5" customHeight="1">
      <c r="A441" s="54" t="s">
        <v>485</v>
      </c>
      <c r="B441" s="34" t="s">
        <v>486</v>
      </c>
      <c r="C441" s="34" t="s">
        <v>497</v>
      </c>
      <c r="D441" s="34" t="s">
        <v>500</v>
      </c>
      <c r="E441" s="34">
        <v>72.0</v>
      </c>
      <c r="F441" s="35">
        <v>14.68</v>
      </c>
      <c r="G441" s="34">
        <v>3.0</v>
      </c>
      <c r="H441" s="35">
        <v>100.0</v>
      </c>
      <c r="I441" s="35">
        <v>100.0</v>
      </c>
      <c r="J441" s="36">
        <f t="shared" si="9"/>
        <v>67.57344</v>
      </c>
      <c r="K441" s="36">
        <f t="shared" si="10"/>
        <v>61.4304</v>
      </c>
      <c r="L441" s="8">
        <f t="shared" si="3"/>
        <v>0.6222516164</v>
      </c>
      <c r="M441" s="8">
        <f t="shared" si="4"/>
        <v>0.1866754849</v>
      </c>
      <c r="N441" s="8">
        <f t="shared" si="5"/>
        <v>0.03733509699</v>
      </c>
      <c r="O441" s="8">
        <f t="shared" si="6"/>
        <v>0.1228608</v>
      </c>
      <c r="P441" s="8">
        <f t="shared" si="7"/>
        <v>0.1842912</v>
      </c>
      <c r="Q441" s="8">
        <f t="shared" si="8"/>
        <v>0.0614304</v>
      </c>
      <c r="R441" s="57"/>
      <c r="S441" s="57"/>
      <c r="T441" s="57"/>
      <c r="U441" s="57"/>
      <c r="V441" s="57"/>
      <c r="W441" s="57"/>
      <c r="X441" s="57"/>
      <c r="Y441" s="57"/>
      <c r="Z441" s="17"/>
    </row>
    <row r="442" ht="34.5" customHeight="1">
      <c r="A442" s="54" t="s">
        <v>485</v>
      </c>
      <c r="B442" s="34" t="s">
        <v>486</v>
      </c>
      <c r="C442" s="34" t="s">
        <v>497</v>
      </c>
      <c r="D442" s="34" t="s">
        <v>501</v>
      </c>
      <c r="E442" s="34">
        <v>60.0</v>
      </c>
      <c r="F442" s="35">
        <v>19.09</v>
      </c>
      <c r="G442" s="34">
        <v>3.0</v>
      </c>
      <c r="H442" s="35">
        <v>100.0</v>
      </c>
      <c r="I442" s="35">
        <v>100.0</v>
      </c>
      <c r="J442" s="36">
        <f t="shared" si="9"/>
        <v>53.4006</v>
      </c>
      <c r="K442" s="36">
        <f t="shared" si="10"/>
        <v>48.546</v>
      </c>
      <c r="L442" s="8">
        <f t="shared" si="3"/>
        <v>0.4917406849</v>
      </c>
      <c r="M442" s="8">
        <f t="shared" si="4"/>
        <v>0.1475222055</v>
      </c>
      <c r="N442" s="8">
        <f t="shared" si="5"/>
        <v>0.0295044411</v>
      </c>
      <c r="O442" s="8">
        <f t="shared" si="6"/>
        <v>0.097092</v>
      </c>
      <c r="P442" s="8">
        <f t="shared" si="7"/>
        <v>0.145638</v>
      </c>
      <c r="Q442" s="8">
        <f t="shared" si="8"/>
        <v>0.048546</v>
      </c>
      <c r="R442" s="57"/>
      <c r="S442" s="57"/>
      <c r="T442" s="57"/>
      <c r="U442" s="57"/>
      <c r="V442" s="57"/>
      <c r="W442" s="57"/>
      <c r="X442" s="57"/>
      <c r="Y442" s="57"/>
      <c r="Z442" s="17"/>
    </row>
    <row r="443" ht="34.5" customHeight="1">
      <c r="A443" s="54" t="s">
        <v>485</v>
      </c>
      <c r="B443" s="34" t="s">
        <v>486</v>
      </c>
      <c r="C443" s="34" t="s">
        <v>497</v>
      </c>
      <c r="D443" s="34" t="s">
        <v>502</v>
      </c>
      <c r="E443" s="34">
        <v>28.0</v>
      </c>
      <c r="F443" s="35">
        <v>17.76</v>
      </c>
      <c r="G443" s="34">
        <v>1.0</v>
      </c>
      <c r="H443" s="35">
        <v>100.0</v>
      </c>
      <c r="I443" s="35">
        <v>100.0</v>
      </c>
      <c r="J443" s="36">
        <f t="shared" si="9"/>
        <v>25.32992</v>
      </c>
      <c r="K443" s="36">
        <f t="shared" si="10"/>
        <v>23.0272</v>
      </c>
      <c r="L443" s="8">
        <f t="shared" si="3"/>
        <v>0.2332511659</v>
      </c>
      <c r="M443" s="8">
        <f t="shared" si="4"/>
        <v>0.06997534977</v>
      </c>
      <c r="N443" s="8">
        <f t="shared" si="5"/>
        <v>0.01399506995</v>
      </c>
      <c r="O443" s="8">
        <f t="shared" si="6"/>
        <v>0.0460544</v>
      </c>
      <c r="P443" s="8">
        <f t="shared" si="7"/>
        <v>0.0690816</v>
      </c>
      <c r="Q443" s="8">
        <f t="shared" si="8"/>
        <v>0.0230272</v>
      </c>
      <c r="R443" s="57"/>
      <c r="S443" s="57"/>
      <c r="T443" s="57"/>
      <c r="U443" s="57"/>
      <c r="V443" s="57"/>
      <c r="W443" s="57"/>
      <c r="X443" s="57"/>
      <c r="Y443" s="57"/>
      <c r="Z443" s="17"/>
    </row>
    <row r="444" ht="34.5" customHeight="1">
      <c r="A444" s="54" t="s">
        <v>485</v>
      </c>
      <c r="B444" s="34" t="s">
        <v>486</v>
      </c>
      <c r="C444" s="34" t="s">
        <v>497</v>
      </c>
      <c r="D444" s="34" t="s">
        <v>503</v>
      </c>
      <c r="E444" s="34">
        <v>95.0</v>
      </c>
      <c r="F444" s="35">
        <v>26.41</v>
      </c>
      <c r="G444" s="34">
        <v>4.0</v>
      </c>
      <c r="H444" s="35">
        <v>100.0</v>
      </c>
      <c r="I444" s="35">
        <v>100.0</v>
      </c>
      <c r="J444" s="36">
        <f t="shared" si="9"/>
        <v>76.90155</v>
      </c>
      <c r="K444" s="36">
        <f t="shared" si="10"/>
        <v>69.9105</v>
      </c>
      <c r="L444" s="8">
        <f t="shared" si="3"/>
        <v>0.7081497374</v>
      </c>
      <c r="M444" s="8">
        <f t="shared" si="4"/>
        <v>0.2124449212</v>
      </c>
      <c r="N444" s="8">
        <f t="shared" si="5"/>
        <v>0.04248898425</v>
      </c>
      <c r="O444" s="8">
        <f t="shared" si="6"/>
        <v>0.139821</v>
      </c>
      <c r="P444" s="8">
        <f t="shared" si="7"/>
        <v>0.2097315</v>
      </c>
      <c r="Q444" s="8">
        <f t="shared" si="8"/>
        <v>0.0699105</v>
      </c>
      <c r="R444" s="57"/>
      <c r="S444" s="57"/>
      <c r="T444" s="57"/>
      <c r="U444" s="57"/>
      <c r="V444" s="57"/>
      <c r="W444" s="57"/>
      <c r="X444" s="57"/>
      <c r="Y444" s="57"/>
      <c r="Z444" s="17"/>
    </row>
    <row r="445" ht="34.5" customHeight="1">
      <c r="A445" s="54" t="s">
        <v>485</v>
      </c>
      <c r="B445" s="34" t="s">
        <v>486</v>
      </c>
      <c r="C445" s="34" t="s">
        <v>497</v>
      </c>
      <c r="D445" s="34" t="s">
        <v>504</v>
      </c>
      <c r="E445" s="34">
        <v>186.0</v>
      </c>
      <c r="F445" s="35">
        <v>37.13</v>
      </c>
      <c r="G445" s="34">
        <v>5.0</v>
      </c>
      <c r="H445" s="35">
        <v>36.51</v>
      </c>
      <c r="I445" s="35">
        <v>36.51</v>
      </c>
      <c r="J445" s="36">
        <f t="shared" si="9"/>
        <v>128.63202</v>
      </c>
      <c r="K445" s="36">
        <f t="shared" si="10"/>
        <v>116.9382</v>
      </c>
      <c r="L445" s="8">
        <f t="shared" si="3"/>
        <v>1.184510991</v>
      </c>
      <c r="M445" s="8">
        <f t="shared" si="4"/>
        <v>0.3553532973</v>
      </c>
      <c r="N445" s="8">
        <f t="shared" si="5"/>
        <v>0.07107065945</v>
      </c>
      <c r="O445" s="8">
        <f t="shared" si="6"/>
        <v>0.2338764</v>
      </c>
      <c r="P445" s="8">
        <f t="shared" si="7"/>
        <v>0.3508146</v>
      </c>
      <c r="Q445" s="8">
        <f t="shared" si="8"/>
        <v>0.1169382</v>
      </c>
      <c r="R445" s="57"/>
      <c r="S445" s="57"/>
      <c r="T445" s="57"/>
      <c r="U445" s="57"/>
      <c r="V445" s="57"/>
      <c r="W445" s="57"/>
      <c r="X445" s="57"/>
      <c r="Y445" s="57"/>
      <c r="Z445" s="17"/>
    </row>
    <row r="446" ht="34.5" customHeight="1">
      <c r="A446" s="54" t="s">
        <v>485</v>
      </c>
      <c r="B446" s="38" t="s">
        <v>486</v>
      </c>
      <c r="C446" s="38" t="s">
        <v>497</v>
      </c>
      <c r="D446" s="38" t="s">
        <v>505</v>
      </c>
      <c r="E446" s="34">
        <v>92.0</v>
      </c>
      <c r="F446" s="35">
        <v>14.05</v>
      </c>
      <c r="G446" s="34">
        <v>1.0</v>
      </c>
      <c r="H446" s="35">
        <v>0.0</v>
      </c>
      <c r="I446" s="35">
        <v>0.0</v>
      </c>
      <c r="J446" s="36">
        <f t="shared" si="9"/>
        <v>86.9814</v>
      </c>
      <c r="K446" s="36">
        <f t="shared" si="10"/>
        <v>79.074</v>
      </c>
      <c r="L446" s="8">
        <f t="shared" si="3"/>
        <v>0.800970274</v>
      </c>
      <c r="M446" s="8">
        <f t="shared" si="4"/>
        <v>0.2402910822</v>
      </c>
      <c r="N446" s="8">
        <f t="shared" si="5"/>
        <v>0.04805821644</v>
      </c>
      <c r="O446" s="8">
        <f t="shared" si="6"/>
        <v>0.158148</v>
      </c>
      <c r="P446" s="8">
        <f t="shared" si="7"/>
        <v>0.237222</v>
      </c>
      <c r="Q446" s="8">
        <f t="shared" si="8"/>
        <v>0.079074</v>
      </c>
      <c r="R446" s="57"/>
      <c r="S446" s="57"/>
      <c r="T446" s="57"/>
      <c r="U446" s="57"/>
      <c r="V446" s="57"/>
      <c r="W446" s="57"/>
      <c r="X446" s="57"/>
      <c r="Y446" s="57"/>
      <c r="Z446" s="17"/>
    </row>
    <row r="447" ht="34.5" customHeight="1">
      <c r="A447" s="24" t="s">
        <v>485</v>
      </c>
      <c r="B447" s="72" t="s">
        <v>506</v>
      </c>
      <c r="C447" s="50" t="s">
        <v>507</v>
      </c>
      <c r="D447" s="50" t="s">
        <v>508</v>
      </c>
      <c r="E447" s="50">
        <v>155.0</v>
      </c>
      <c r="F447" s="49">
        <v>36.14</v>
      </c>
      <c r="G447" s="50">
        <v>7.0</v>
      </c>
      <c r="H447" s="49">
        <v>100.0</v>
      </c>
      <c r="I447" s="49">
        <v>100.0</v>
      </c>
      <c r="J447" s="51">
        <f t="shared" si="9"/>
        <v>108.8813</v>
      </c>
      <c r="K447" s="51">
        <f t="shared" si="10"/>
        <v>98.983</v>
      </c>
      <c r="L447" s="8">
        <f t="shared" si="3"/>
        <v>1.00263602</v>
      </c>
      <c r="M447" s="8">
        <f t="shared" si="4"/>
        <v>0.3007908059</v>
      </c>
      <c r="N447" s="8">
        <f t="shared" si="5"/>
        <v>0.06015816119</v>
      </c>
      <c r="O447" s="8">
        <f t="shared" si="6"/>
        <v>0.197966</v>
      </c>
      <c r="P447" s="8">
        <f t="shared" si="7"/>
        <v>0.296949</v>
      </c>
      <c r="Q447" s="8">
        <f t="shared" si="8"/>
        <v>0.098983</v>
      </c>
      <c r="R447" s="57"/>
      <c r="S447" s="57"/>
      <c r="T447" s="57"/>
      <c r="U447" s="57"/>
      <c r="V447" s="57"/>
      <c r="W447" s="57"/>
      <c r="X447" s="57"/>
      <c r="Y447" s="57"/>
      <c r="Z447" s="73"/>
    </row>
    <row r="448" ht="34.5" customHeight="1">
      <c r="A448" s="24" t="s">
        <v>485</v>
      </c>
      <c r="B448" s="50" t="s">
        <v>506</v>
      </c>
      <c r="C448" s="50" t="s">
        <v>507</v>
      </c>
      <c r="D448" s="50" t="s">
        <v>509</v>
      </c>
      <c r="E448" s="50">
        <v>330.0</v>
      </c>
      <c r="F448" s="49">
        <v>35.05</v>
      </c>
      <c r="G448" s="50">
        <v>10.0</v>
      </c>
      <c r="H448" s="49">
        <v>41.86</v>
      </c>
      <c r="I448" s="49">
        <v>60.06</v>
      </c>
      <c r="J448" s="51">
        <v>269.07551000000007</v>
      </c>
      <c r="K448" s="51">
        <v>244.61410000000004</v>
      </c>
      <c r="L448" s="8">
        <f t="shared" si="3"/>
        <v>2.477788182</v>
      </c>
      <c r="M448" s="8">
        <f t="shared" si="4"/>
        <v>0.7433364546</v>
      </c>
      <c r="N448" s="8">
        <f t="shared" si="5"/>
        <v>0.1486672909</v>
      </c>
      <c r="O448" s="8">
        <f t="shared" si="6"/>
        <v>0.4892282</v>
      </c>
      <c r="P448" s="8">
        <f t="shared" si="7"/>
        <v>0.7338423</v>
      </c>
      <c r="Q448" s="8">
        <f t="shared" si="8"/>
        <v>0.2446141</v>
      </c>
      <c r="R448" s="57"/>
      <c r="S448" s="57"/>
      <c r="T448" s="57"/>
      <c r="U448" s="57"/>
      <c r="V448" s="57"/>
      <c r="W448" s="57"/>
      <c r="X448" s="57"/>
      <c r="Y448" s="57"/>
      <c r="Z448" s="73"/>
    </row>
    <row r="449" ht="34.5" customHeight="1">
      <c r="A449" s="24" t="s">
        <v>485</v>
      </c>
      <c r="B449" s="50" t="s">
        <v>506</v>
      </c>
      <c r="C449" s="50" t="s">
        <v>507</v>
      </c>
      <c r="D449" s="50" t="s">
        <v>510</v>
      </c>
      <c r="E449" s="50">
        <v>437.0</v>
      </c>
      <c r="F449" s="49">
        <v>50.02</v>
      </c>
      <c r="G449" s="50">
        <v>4.0</v>
      </c>
      <c r="H449" s="49">
        <v>31.34</v>
      </c>
      <c r="I449" s="49">
        <v>55.19</v>
      </c>
      <c r="J449" s="51">
        <v>262.28048</v>
      </c>
      <c r="K449" s="51">
        <v>238.4368</v>
      </c>
      <c r="L449" s="8">
        <f t="shared" si="3"/>
        <v>2.415215988</v>
      </c>
      <c r="M449" s="8">
        <f t="shared" si="4"/>
        <v>0.7245647963</v>
      </c>
      <c r="N449" s="8">
        <f t="shared" si="5"/>
        <v>0.1449129593</v>
      </c>
      <c r="O449" s="8">
        <f t="shared" si="6"/>
        <v>0.4768736</v>
      </c>
      <c r="P449" s="8">
        <f t="shared" si="7"/>
        <v>0.7153104</v>
      </c>
      <c r="Q449" s="8">
        <f t="shared" si="8"/>
        <v>0.2384368</v>
      </c>
      <c r="R449" s="57"/>
      <c r="S449" s="57"/>
      <c r="T449" s="57"/>
      <c r="U449" s="57"/>
      <c r="V449" s="57"/>
      <c r="W449" s="57"/>
      <c r="X449" s="57"/>
      <c r="Y449" s="57"/>
      <c r="Z449" s="73"/>
    </row>
    <row r="450" ht="34.5" customHeight="1">
      <c r="A450" s="24" t="s">
        <v>485</v>
      </c>
      <c r="B450" s="50" t="s">
        <v>506</v>
      </c>
      <c r="C450" s="50" t="s">
        <v>507</v>
      </c>
      <c r="D450" s="50" t="s">
        <v>511</v>
      </c>
      <c r="E450" s="50">
        <v>70.0</v>
      </c>
      <c r="F450" s="49">
        <v>35.67</v>
      </c>
      <c r="G450" s="50">
        <v>4.0</v>
      </c>
      <c r="H450" s="49">
        <v>92.84</v>
      </c>
      <c r="I450" s="49">
        <v>100.0</v>
      </c>
      <c r="J450" s="51">
        <v>57.630320000000005</v>
      </c>
      <c r="K450" s="51">
        <v>52.3912</v>
      </c>
      <c r="L450" s="8">
        <f t="shared" si="3"/>
        <v>0.5306901613</v>
      </c>
      <c r="M450" s="8">
        <f t="shared" si="4"/>
        <v>0.1592070484</v>
      </c>
      <c r="N450" s="8">
        <f t="shared" si="5"/>
        <v>0.03184140968</v>
      </c>
      <c r="O450" s="8">
        <f t="shared" si="6"/>
        <v>0.1047824</v>
      </c>
      <c r="P450" s="8">
        <f t="shared" si="7"/>
        <v>0.1571736</v>
      </c>
      <c r="Q450" s="8">
        <f t="shared" si="8"/>
        <v>0.0523912</v>
      </c>
      <c r="R450" s="57"/>
      <c r="S450" s="57"/>
      <c r="T450" s="57"/>
      <c r="U450" s="57"/>
      <c r="V450" s="57"/>
      <c r="W450" s="57"/>
      <c r="X450" s="57"/>
      <c r="Y450" s="57"/>
      <c r="Z450" s="73"/>
    </row>
    <row r="451" ht="34.5" customHeight="1">
      <c r="A451" s="24" t="s">
        <v>485</v>
      </c>
      <c r="B451" s="50" t="s">
        <v>506</v>
      </c>
      <c r="C451" s="50" t="s">
        <v>507</v>
      </c>
      <c r="D451" s="50" t="s">
        <v>512</v>
      </c>
      <c r="E451" s="50">
        <v>132.0</v>
      </c>
      <c r="F451" s="49">
        <v>37.98</v>
      </c>
      <c r="G451" s="50">
        <v>4.0</v>
      </c>
      <c r="H451" s="49">
        <v>100.0</v>
      </c>
      <c r="I451" s="49">
        <v>100.0</v>
      </c>
      <c r="J451" s="51">
        <v>85.95741</v>
      </c>
      <c r="K451" s="51">
        <v>78.14309999999999</v>
      </c>
      <c r="L451" s="8">
        <f t="shared" si="3"/>
        <v>0.7915408379</v>
      </c>
      <c r="M451" s="8">
        <f t="shared" si="4"/>
        <v>0.2374622514</v>
      </c>
      <c r="N451" s="8">
        <f t="shared" si="5"/>
        <v>0.04749245027</v>
      </c>
      <c r="O451" s="8">
        <f t="shared" si="6"/>
        <v>0.1562862</v>
      </c>
      <c r="P451" s="8">
        <f t="shared" si="7"/>
        <v>0.2344293</v>
      </c>
      <c r="Q451" s="8">
        <f t="shared" si="8"/>
        <v>0.0781431</v>
      </c>
      <c r="R451" s="57"/>
      <c r="S451" s="57"/>
      <c r="T451" s="57"/>
      <c r="U451" s="57"/>
      <c r="V451" s="57"/>
      <c r="W451" s="57"/>
      <c r="X451" s="57"/>
      <c r="Y451" s="57"/>
      <c r="Z451" s="73"/>
    </row>
    <row r="452" ht="34.5" customHeight="1">
      <c r="A452" s="24" t="s">
        <v>485</v>
      </c>
      <c r="B452" s="50" t="s">
        <v>506</v>
      </c>
      <c r="C452" s="50" t="s">
        <v>507</v>
      </c>
      <c r="D452" s="50" t="s">
        <v>513</v>
      </c>
      <c r="E452" s="50">
        <v>569.0</v>
      </c>
      <c r="F452" s="49">
        <v>36.03</v>
      </c>
      <c r="G452" s="50">
        <v>11.0</v>
      </c>
      <c r="H452" s="49">
        <v>59.84</v>
      </c>
      <c r="I452" s="49">
        <v>69.67</v>
      </c>
      <c r="J452" s="51">
        <v>384.00417000000004</v>
      </c>
      <c r="K452" s="51">
        <v>349.0947</v>
      </c>
      <c r="L452" s="8">
        <f t="shared" si="3"/>
        <v>3.536111459</v>
      </c>
      <c r="M452" s="8">
        <f t="shared" si="4"/>
        <v>1.060833438</v>
      </c>
      <c r="N452" s="8">
        <f t="shared" si="5"/>
        <v>0.2121666875</v>
      </c>
      <c r="O452" s="8">
        <f t="shared" si="6"/>
        <v>0.6981894</v>
      </c>
      <c r="P452" s="8">
        <f t="shared" si="7"/>
        <v>1.0472841</v>
      </c>
      <c r="Q452" s="8">
        <f t="shared" si="8"/>
        <v>0.3490947</v>
      </c>
      <c r="R452" s="57"/>
      <c r="S452" s="57"/>
      <c r="T452" s="57"/>
      <c r="U452" s="57"/>
      <c r="V452" s="57"/>
      <c r="W452" s="57"/>
      <c r="X452" s="57"/>
      <c r="Y452" s="57"/>
      <c r="Z452" s="73"/>
    </row>
    <row r="453" ht="34.5" customHeight="1">
      <c r="A453" s="24" t="s">
        <v>485</v>
      </c>
      <c r="B453" s="50" t="s">
        <v>506</v>
      </c>
      <c r="C453" s="50" t="s">
        <v>514</v>
      </c>
      <c r="D453" s="50" t="s">
        <v>515</v>
      </c>
      <c r="E453" s="50">
        <v>67.0</v>
      </c>
      <c r="F453" s="49">
        <v>33.39</v>
      </c>
      <c r="G453" s="50">
        <v>3.0</v>
      </c>
      <c r="H453" s="49">
        <v>100.0</v>
      </c>
      <c r="I453" s="49">
        <v>100.0</v>
      </c>
      <c r="J453" s="51">
        <v>54.53976000000001</v>
      </c>
      <c r="K453" s="51">
        <v>49.5816</v>
      </c>
      <c r="L453" s="8">
        <f t="shared" si="3"/>
        <v>0.5022306667</v>
      </c>
      <c r="M453" s="8">
        <f t="shared" si="4"/>
        <v>0.1506692</v>
      </c>
      <c r="N453" s="8">
        <f t="shared" si="5"/>
        <v>0.03013384</v>
      </c>
      <c r="O453" s="8">
        <f t="shared" si="6"/>
        <v>0.0991632</v>
      </c>
      <c r="P453" s="8">
        <f t="shared" si="7"/>
        <v>0.1487448</v>
      </c>
      <c r="Q453" s="8">
        <f t="shared" si="8"/>
        <v>0.0495816</v>
      </c>
      <c r="R453" s="57"/>
      <c r="S453" s="57"/>
      <c r="T453" s="57"/>
      <c r="U453" s="57"/>
      <c r="V453" s="57"/>
      <c r="W453" s="57"/>
      <c r="X453" s="57"/>
      <c r="Y453" s="57"/>
      <c r="Z453" s="73"/>
    </row>
    <row r="454" ht="34.5" customHeight="1">
      <c r="A454" s="24" t="s">
        <v>485</v>
      </c>
      <c r="B454" s="50" t="s">
        <v>506</v>
      </c>
      <c r="C454" s="50" t="s">
        <v>514</v>
      </c>
      <c r="D454" s="50" t="s">
        <v>516</v>
      </c>
      <c r="E454" s="50">
        <v>39.0</v>
      </c>
      <c r="F454" s="49">
        <v>35.72</v>
      </c>
      <c r="G454" s="50">
        <v>1.0</v>
      </c>
      <c r="H454" s="49">
        <v>76.99</v>
      </c>
      <c r="I454" s="49">
        <v>76.99</v>
      </c>
      <c r="J454" s="51">
        <v>34.6445</v>
      </c>
      <c r="K454" s="51">
        <v>31.495</v>
      </c>
      <c r="L454" s="8">
        <f t="shared" si="3"/>
        <v>0.3190246956</v>
      </c>
      <c r="M454" s="8">
        <f t="shared" si="4"/>
        <v>0.09570740868</v>
      </c>
      <c r="N454" s="8">
        <f t="shared" si="5"/>
        <v>0.01914148174</v>
      </c>
      <c r="O454" s="8">
        <f t="shared" si="6"/>
        <v>0.06299</v>
      </c>
      <c r="P454" s="8">
        <f t="shared" si="7"/>
        <v>0.094485</v>
      </c>
      <c r="Q454" s="8">
        <f t="shared" si="8"/>
        <v>0.031495</v>
      </c>
      <c r="R454" s="57"/>
      <c r="S454" s="57"/>
      <c r="T454" s="57"/>
      <c r="U454" s="57"/>
      <c r="V454" s="57"/>
      <c r="W454" s="57"/>
      <c r="X454" s="57"/>
      <c r="Y454" s="57"/>
      <c r="Z454" s="73"/>
    </row>
    <row r="455" ht="34.5" customHeight="1">
      <c r="A455" s="24" t="s">
        <v>485</v>
      </c>
      <c r="B455" s="50" t="s">
        <v>506</v>
      </c>
      <c r="C455" s="50" t="s">
        <v>514</v>
      </c>
      <c r="D455" s="50" t="s">
        <v>517</v>
      </c>
      <c r="E455" s="50">
        <v>185.0</v>
      </c>
      <c r="F455" s="49">
        <v>27.5</v>
      </c>
      <c r="G455" s="50">
        <v>7.0</v>
      </c>
      <c r="H455" s="49">
        <v>65.03</v>
      </c>
      <c r="I455" s="49">
        <v>100.0</v>
      </c>
      <c r="J455" s="51">
        <v>157.72185000000005</v>
      </c>
      <c r="K455" s="51">
        <v>143.38350000000003</v>
      </c>
      <c r="L455" s="8">
        <f t="shared" si="3"/>
        <v>1.452385377</v>
      </c>
      <c r="M455" s="8">
        <f t="shared" si="4"/>
        <v>0.435715613</v>
      </c>
      <c r="N455" s="8">
        <f t="shared" si="5"/>
        <v>0.0871431226</v>
      </c>
      <c r="O455" s="8">
        <f t="shared" si="6"/>
        <v>0.286767</v>
      </c>
      <c r="P455" s="8">
        <f t="shared" si="7"/>
        <v>0.4301505</v>
      </c>
      <c r="Q455" s="8">
        <f t="shared" si="8"/>
        <v>0.1433835</v>
      </c>
      <c r="R455" s="57"/>
      <c r="S455" s="57"/>
      <c r="T455" s="57"/>
      <c r="U455" s="57"/>
      <c r="V455" s="57"/>
      <c r="W455" s="57"/>
      <c r="X455" s="57"/>
      <c r="Y455" s="57"/>
      <c r="Z455" s="73"/>
    </row>
    <row r="456" ht="34.5" customHeight="1">
      <c r="A456" s="24" t="s">
        <v>485</v>
      </c>
      <c r="B456" s="50" t="s">
        <v>506</v>
      </c>
      <c r="C456" s="50" t="s">
        <v>514</v>
      </c>
      <c r="D456" s="50" t="s">
        <v>518</v>
      </c>
      <c r="E456" s="50">
        <v>265.0</v>
      </c>
      <c r="F456" s="49">
        <v>34.95</v>
      </c>
      <c r="G456" s="50">
        <v>6.0</v>
      </c>
      <c r="H456" s="49">
        <v>34.01</v>
      </c>
      <c r="I456" s="49">
        <v>43.87</v>
      </c>
      <c r="J456" s="51">
        <v>213.52485000000004</v>
      </c>
      <c r="K456" s="51">
        <v>194.11350000000002</v>
      </c>
      <c r="L456" s="8">
        <f t="shared" si="3"/>
        <v>1.966248619</v>
      </c>
      <c r="M456" s="8">
        <f t="shared" si="4"/>
        <v>0.5898745856</v>
      </c>
      <c r="N456" s="8">
        <f t="shared" si="5"/>
        <v>0.1179749171</v>
      </c>
      <c r="O456" s="8">
        <f t="shared" si="6"/>
        <v>0.388227</v>
      </c>
      <c r="P456" s="8">
        <f t="shared" si="7"/>
        <v>0.5823405</v>
      </c>
      <c r="Q456" s="8">
        <f t="shared" si="8"/>
        <v>0.1941135</v>
      </c>
      <c r="R456" s="57"/>
      <c r="S456" s="57"/>
      <c r="T456" s="57"/>
      <c r="U456" s="57"/>
      <c r="V456" s="57"/>
      <c r="W456" s="57"/>
      <c r="X456" s="57"/>
      <c r="Y456" s="57"/>
      <c r="Z456" s="73"/>
    </row>
    <row r="457" ht="34.5" customHeight="1">
      <c r="A457" s="24" t="s">
        <v>485</v>
      </c>
      <c r="B457" s="50" t="s">
        <v>506</v>
      </c>
      <c r="C457" s="50" t="s">
        <v>514</v>
      </c>
      <c r="D457" s="50" t="s">
        <v>519</v>
      </c>
      <c r="E457" s="50">
        <v>412.0</v>
      </c>
      <c r="F457" s="49">
        <v>37.08</v>
      </c>
      <c r="G457" s="50">
        <v>10.0</v>
      </c>
      <c r="H457" s="49">
        <v>65.99</v>
      </c>
      <c r="I457" s="49">
        <v>95.83</v>
      </c>
      <c r="J457" s="51">
        <v>344.17955</v>
      </c>
      <c r="K457" s="51">
        <v>312.8905</v>
      </c>
      <c r="L457" s="8">
        <f t="shared" si="3"/>
        <v>3.169385506</v>
      </c>
      <c r="M457" s="8">
        <f t="shared" si="4"/>
        <v>0.9508156518</v>
      </c>
      <c r="N457" s="8">
        <f t="shared" si="5"/>
        <v>0.1901631304</v>
      </c>
      <c r="O457" s="8">
        <f t="shared" si="6"/>
        <v>0.625781</v>
      </c>
      <c r="P457" s="8">
        <f t="shared" si="7"/>
        <v>0.9386715</v>
      </c>
      <c r="Q457" s="8">
        <f t="shared" si="8"/>
        <v>0.3128905</v>
      </c>
      <c r="R457" s="57"/>
      <c r="S457" s="57"/>
      <c r="T457" s="57"/>
      <c r="U457" s="57"/>
      <c r="V457" s="57"/>
      <c r="W457" s="57"/>
      <c r="X457" s="57"/>
      <c r="Y457" s="57"/>
      <c r="Z457" s="73"/>
    </row>
    <row r="458" ht="34.5" customHeight="1">
      <c r="A458" s="24" t="s">
        <v>485</v>
      </c>
      <c r="B458" s="50" t="s">
        <v>506</v>
      </c>
      <c r="C458" s="50" t="s">
        <v>514</v>
      </c>
      <c r="D458" s="50" t="s">
        <v>520</v>
      </c>
      <c r="E458" s="50">
        <v>204.0</v>
      </c>
      <c r="F458" s="49">
        <v>34.86</v>
      </c>
      <c r="G458" s="50">
        <v>7.0</v>
      </c>
      <c r="H458" s="49">
        <v>31.04</v>
      </c>
      <c r="I458" s="49">
        <v>66.81</v>
      </c>
      <c r="J458" s="51">
        <v>197.15256000000002</v>
      </c>
      <c r="K458" s="51">
        <v>179.2296</v>
      </c>
      <c r="L458" s="8">
        <f t="shared" si="3"/>
        <v>1.815484</v>
      </c>
      <c r="M458" s="8">
        <f t="shared" si="4"/>
        <v>0.5446452</v>
      </c>
      <c r="N458" s="8">
        <f t="shared" si="5"/>
        <v>0.10892904</v>
      </c>
      <c r="O458" s="8">
        <f t="shared" si="6"/>
        <v>0.3584592</v>
      </c>
      <c r="P458" s="8">
        <f t="shared" si="7"/>
        <v>0.5376888</v>
      </c>
      <c r="Q458" s="8">
        <f t="shared" si="8"/>
        <v>0.1792296</v>
      </c>
      <c r="R458" s="57"/>
      <c r="S458" s="57"/>
      <c r="T458" s="57"/>
      <c r="U458" s="57"/>
      <c r="V458" s="57"/>
      <c r="W458" s="57"/>
      <c r="X458" s="57"/>
      <c r="Y458" s="57"/>
      <c r="Z458" s="73"/>
    </row>
    <row r="459" ht="34.5" customHeight="1">
      <c r="A459" s="24" t="s">
        <v>485</v>
      </c>
      <c r="B459" s="50" t="s">
        <v>506</v>
      </c>
      <c r="C459" s="50" t="s">
        <v>521</v>
      </c>
      <c r="D459" s="50" t="s">
        <v>522</v>
      </c>
      <c r="E459" s="50">
        <v>94.0</v>
      </c>
      <c r="F459" s="49">
        <v>17.83</v>
      </c>
      <c r="G459" s="50">
        <v>3.0</v>
      </c>
      <c r="H459" s="49">
        <v>79.94</v>
      </c>
      <c r="I459" s="49">
        <v>100.0</v>
      </c>
      <c r="J459" s="51">
        <v>91.54288000000001</v>
      </c>
      <c r="K459" s="51">
        <v>83.2208</v>
      </c>
      <c r="L459" s="8">
        <f t="shared" si="3"/>
        <v>0.8429747702</v>
      </c>
      <c r="M459" s="8">
        <f t="shared" si="4"/>
        <v>0.2528924311</v>
      </c>
      <c r="N459" s="8">
        <f t="shared" si="5"/>
        <v>0.05057848621</v>
      </c>
      <c r="O459" s="8">
        <f t="shared" si="6"/>
        <v>0.1664416</v>
      </c>
      <c r="P459" s="8">
        <f t="shared" si="7"/>
        <v>0.2496624</v>
      </c>
      <c r="Q459" s="8">
        <f t="shared" si="8"/>
        <v>0.0832208</v>
      </c>
      <c r="R459" s="57"/>
      <c r="S459" s="57"/>
      <c r="T459" s="57"/>
      <c r="U459" s="57"/>
      <c r="V459" s="57"/>
      <c r="W459" s="57"/>
      <c r="X459" s="57"/>
      <c r="Y459" s="57"/>
      <c r="Z459" s="73"/>
    </row>
    <row r="460" ht="34.5" customHeight="1">
      <c r="A460" s="24" t="s">
        <v>485</v>
      </c>
      <c r="B460" s="50" t="s">
        <v>506</v>
      </c>
      <c r="C460" s="50" t="s">
        <v>521</v>
      </c>
      <c r="D460" s="50" t="s">
        <v>506</v>
      </c>
      <c r="E460" s="74">
        <v>4254.0</v>
      </c>
      <c r="F460" s="49">
        <v>33.34</v>
      </c>
      <c r="G460" s="50">
        <v>22.0</v>
      </c>
      <c r="H460" s="49">
        <v>8.79</v>
      </c>
      <c r="I460" s="49">
        <v>20.47</v>
      </c>
      <c r="J460" s="51">
        <v>3240.51156</v>
      </c>
      <c r="K460" s="51">
        <v>2945.9195999999997</v>
      </c>
      <c r="L460" s="8">
        <f t="shared" si="3"/>
        <v>29.84032715</v>
      </c>
      <c r="M460" s="8">
        <f t="shared" si="4"/>
        <v>8.952098145</v>
      </c>
      <c r="N460" s="8">
        <f t="shared" si="5"/>
        <v>1.790419629</v>
      </c>
      <c r="O460" s="8">
        <f t="shared" si="6"/>
        <v>5.8918392</v>
      </c>
      <c r="P460" s="8">
        <f t="shared" si="7"/>
        <v>8.8377588</v>
      </c>
      <c r="Q460" s="8">
        <f t="shared" si="8"/>
        <v>2.9459196</v>
      </c>
      <c r="R460" s="57"/>
      <c r="S460" s="57"/>
      <c r="T460" s="57"/>
      <c r="U460" s="57"/>
      <c r="V460" s="57"/>
      <c r="W460" s="57"/>
      <c r="X460" s="57"/>
      <c r="Y460" s="57"/>
      <c r="Z460" s="73"/>
    </row>
    <row r="461" ht="34.5" customHeight="1">
      <c r="A461" s="24" t="s">
        <v>485</v>
      </c>
      <c r="B461" s="50" t="s">
        <v>506</v>
      </c>
      <c r="C461" s="50" t="s">
        <v>521</v>
      </c>
      <c r="D461" s="50" t="s">
        <v>523</v>
      </c>
      <c r="E461" s="50">
        <v>62.0</v>
      </c>
      <c r="F461" s="49">
        <v>17.82</v>
      </c>
      <c r="G461" s="50">
        <v>2.0</v>
      </c>
      <c r="H461" s="49">
        <v>100.0</v>
      </c>
      <c r="I461" s="49">
        <v>100.0</v>
      </c>
      <c r="J461" s="51">
        <v>65.98669</v>
      </c>
      <c r="K461" s="51">
        <v>59.987899999999996</v>
      </c>
      <c r="L461" s="8">
        <f t="shared" si="3"/>
        <v>0.6076399916</v>
      </c>
      <c r="M461" s="8">
        <f t="shared" si="4"/>
        <v>0.1822919975</v>
      </c>
      <c r="N461" s="8">
        <f t="shared" si="5"/>
        <v>0.0364583995</v>
      </c>
      <c r="O461" s="8">
        <f t="shared" si="6"/>
        <v>0.1199758</v>
      </c>
      <c r="P461" s="8">
        <f t="shared" si="7"/>
        <v>0.1799637</v>
      </c>
      <c r="Q461" s="8">
        <f t="shared" si="8"/>
        <v>0.0599879</v>
      </c>
      <c r="R461" s="57"/>
      <c r="S461" s="57"/>
      <c r="T461" s="57"/>
      <c r="U461" s="57"/>
      <c r="V461" s="57"/>
      <c r="W461" s="57"/>
      <c r="X461" s="57"/>
      <c r="Y461" s="57"/>
      <c r="Z461" s="73"/>
    </row>
    <row r="462" ht="34.5" customHeight="1">
      <c r="A462" s="24" t="s">
        <v>485</v>
      </c>
      <c r="B462" s="50" t="s">
        <v>506</v>
      </c>
      <c r="C462" s="50" t="s">
        <v>521</v>
      </c>
      <c r="D462" s="50" t="s">
        <v>524</v>
      </c>
      <c r="E462" s="50">
        <v>44.0</v>
      </c>
      <c r="F462" s="49">
        <v>15.91</v>
      </c>
      <c r="G462" s="50">
        <v>2.0</v>
      </c>
      <c r="H462" s="49">
        <v>100.0</v>
      </c>
      <c r="I462" s="49">
        <v>100.0</v>
      </c>
      <c r="J462" s="51">
        <v>38.383950000000006</v>
      </c>
      <c r="K462" s="51">
        <v>34.8945</v>
      </c>
      <c r="L462" s="8">
        <f t="shared" si="3"/>
        <v>0.3534595091</v>
      </c>
      <c r="M462" s="8">
        <f t="shared" si="4"/>
        <v>0.1060378527</v>
      </c>
      <c r="N462" s="8">
        <f t="shared" si="5"/>
        <v>0.02120757055</v>
      </c>
      <c r="O462" s="8">
        <f t="shared" si="6"/>
        <v>0.069789</v>
      </c>
      <c r="P462" s="8">
        <f t="shared" si="7"/>
        <v>0.1046835</v>
      </c>
      <c r="Q462" s="8">
        <f t="shared" si="8"/>
        <v>0.0348945</v>
      </c>
      <c r="R462" s="57"/>
      <c r="S462" s="57"/>
      <c r="T462" s="57"/>
      <c r="U462" s="57"/>
      <c r="V462" s="57"/>
      <c r="W462" s="57"/>
      <c r="X462" s="57"/>
      <c r="Y462" s="57"/>
      <c r="Z462" s="73"/>
    </row>
    <row r="463" ht="34.5" customHeight="1">
      <c r="A463" s="24" t="s">
        <v>485</v>
      </c>
      <c r="B463" s="50" t="s">
        <v>506</v>
      </c>
      <c r="C463" s="50" t="s">
        <v>521</v>
      </c>
      <c r="D463" s="50" t="s">
        <v>525</v>
      </c>
      <c r="E463" s="50">
        <v>172.0</v>
      </c>
      <c r="F463" s="49">
        <v>21.33</v>
      </c>
      <c r="G463" s="50">
        <v>6.0</v>
      </c>
      <c r="H463" s="49">
        <v>70.55</v>
      </c>
      <c r="I463" s="49">
        <v>70.55</v>
      </c>
      <c r="J463" s="51">
        <v>154.85822</v>
      </c>
      <c r="K463" s="51">
        <v>140.78019999999998</v>
      </c>
      <c r="L463" s="8">
        <f t="shared" si="3"/>
        <v>1.426015572</v>
      </c>
      <c r="M463" s="8">
        <f t="shared" si="4"/>
        <v>0.4278046717</v>
      </c>
      <c r="N463" s="8">
        <f t="shared" si="5"/>
        <v>0.08556093434</v>
      </c>
      <c r="O463" s="8">
        <f t="shared" si="6"/>
        <v>0.2815604</v>
      </c>
      <c r="P463" s="8">
        <f t="shared" si="7"/>
        <v>0.4223406</v>
      </c>
      <c r="Q463" s="8">
        <f t="shared" si="8"/>
        <v>0.1407802</v>
      </c>
      <c r="R463" s="57"/>
      <c r="S463" s="57"/>
      <c r="T463" s="57"/>
      <c r="U463" s="57"/>
      <c r="V463" s="57"/>
      <c r="W463" s="57"/>
      <c r="X463" s="57"/>
      <c r="Y463" s="57"/>
      <c r="Z463" s="73"/>
    </row>
    <row r="464" ht="34.5" customHeight="1">
      <c r="A464" s="24" t="s">
        <v>485</v>
      </c>
      <c r="B464" s="50" t="s">
        <v>506</v>
      </c>
      <c r="C464" s="50" t="s">
        <v>521</v>
      </c>
      <c r="D464" s="50" t="s">
        <v>526</v>
      </c>
      <c r="E464" s="50">
        <v>198.0</v>
      </c>
      <c r="F464" s="49">
        <v>21.73</v>
      </c>
      <c r="G464" s="50">
        <v>7.0</v>
      </c>
      <c r="H464" s="49">
        <v>100.0</v>
      </c>
      <c r="I464" s="49">
        <v>100.0</v>
      </c>
      <c r="J464" s="51">
        <v>164.483</v>
      </c>
      <c r="K464" s="51">
        <v>149.53</v>
      </c>
      <c r="L464" s="8">
        <f t="shared" si="3"/>
        <v>1.514645586</v>
      </c>
      <c r="M464" s="8">
        <f t="shared" si="4"/>
        <v>0.4543936758</v>
      </c>
      <c r="N464" s="8">
        <f t="shared" si="5"/>
        <v>0.09087873516</v>
      </c>
      <c r="O464" s="8">
        <f t="shared" si="6"/>
        <v>0.29906</v>
      </c>
      <c r="P464" s="8">
        <f t="shared" si="7"/>
        <v>0.44859</v>
      </c>
      <c r="Q464" s="8">
        <f t="shared" si="8"/>
        <v>0.14953</v>
      </c>
      <c r="R464" s="57"/>
      <c r="S464" s="57"/>
      <c r="T464" s="57"/>
      <c r="U464" s="57"/>
      <c r="V464" s="57"/>
      <c r="W464" s="57"/>
      <c r="X464" s="57"/>
      <c r="Y464" s="57"/>
      <c r="Z464" s="73"/>
    </row>
    <row r="465" ht="34.5" customHeight="1">
      <c r="A465" s="24" t="s">
        <v>485</v>
      </c>
      <c r="B465" s="50" t="s">
        <v>506</v>
      </c>
      <c r="C465" s="50" t="s">
        <v>521</v>
      </c>
      <c r="D465" s="50" t="s">
        <v>527</v>
      </c>
      <c r="E465" s="50">
        <v>77.0</v>
      </c>
      <c r="F465" s="49">
        <v>20.58</v>
      </c>
      <c r="G465" s="50">
        <v>2.0</v>
      </c>
      <c r="H465" s="49">
        <v>90.87</v>
      </c>
      <c r="I465" s="49">
        <v>100.0</v>
      </c>
      <c r="J465" s="51">
        <v>108.4479</v>
      </c>
      <c r="K465" s="51">
        <v>98.589</v>
      </c>
      <c r="L465" s="8">
        <f t="shared" si="3"/>
        <v>0.9986450457</v>
      </c>
      <c r="M465" s="8">
        <f t="shared" si="4"/>
        <v>0.2995935137</v>
      </c>
      <c r="N465" s="8">
        <f t="shared" si="5"/>
        <v>0.05991870274</v>
      </c>
      <c r="O465" s="8">
        <f t="shared" si="6"/>
        <v>0.197178</v>
      </c>
      <c r="P465" s="8">
        <f t="shared" si="7"/>
        <v>0.295767</v>
      </c>
      <c r="Q465" s="8">
        <f t="shared" si="8"/>
        <v>0.098589</v>
      </c>
      <c r="R465" s="57"/>
      <c r="S465" s="57"/>
      <c r="T465" s="57"/>
      <c r="U465" s="57"/>
      <c r="V465" s="57"/>
      <c r="W465" s="57"/>
      <c r="X465" s="57"/>
      <c r="Y465" s="57"/>
      <c r="Z465" s="73"/>
    </row>
    <row r="466" ht="34.5" customHeight="1">
      <c r="A466" s="24" t="s">
        <v>485</v>
      </c>
      <c r="B466" s="50" t="s">
        <v>506</v>
      </c>
      <c r="C466" s="50" t="s">
        <v>521</v>
      </c>
      <c r="D466" s="50" t="s">
        <v>528</v>
      </c>
      <c r="E466" s="50">
        <v>45.0</v>
      </c>
      <c r="F466" s="49">
        <v>12.71</v>
      </c>
      <c r="G466" s="50">
        <v>2.0</v>
      </c>
      <c r="H466" s="49">
        <v>73.12</v>
      </c>
      <c r="I466" s="49">
        <v>73.12</v>
      </c>
      <c r="J466" s="51">
        <v>58.175700000000006</v>
      </c>
      <c r="K466" s="51">
        <v>52.887</v>
      </c>
      <c r="L466" s="8">
        <f t="shared" si="3"/>
        <v>0.5357123059</v>
      </c>
      <c r="M466" s="8">
        <f t="shared" si="4"/>
        <v>0.1607136918</v>
      </c>
      <c r="N466" s="8">
        <f t="shared" si="5"/>
        <v>0.03214273836</v>
      </c>
      <c r="O466" s="8">
        <f t="shared" si="6"/>
        <v>0.105774</v>
      </c>
      <c r="P466" s="8">
        <f t="shared" si="7"/>
        <v>0.158661</v>
      </c>
      <c r="Q466" s="8">
        <f t="shared" si="8"/>
        <v>0.052887</v>
      </c>
      <c r="R466" s="57"/>
      <c r="S466" s="57"/>
      <c r="T466" s="57"/>
      <c r="U466" s="57"/>
      <c r="V466" s="57"/>
      <c r="W466" s="57"/>
      <c r="X466" s="57"/>
      <c r="Y466" s="57"/>
      <c r="Z466" s="73"/>
    </row>
    <row r="467" ht="34.5" customHeight="1">
      <c r="A467" s="24" t="s">
        <v>485</v>
      </c>
      <c r="B467" s="50" t="s">
        <v>506</v>
      </c>
      <c r="C467" s="50" t="s">
        <v>521</v>
      </c>
      <c r="D467" s="50" t="s">
        <v>529</v>
      </c>
      <c r="E467" s="50">
        <v>45.0</v>
      </c>
      <c r="F467" s="49">
        <v>22.73</v>
      </c>
      <c r="G467" s="50">
        <v>1.0</v>
      </c>
      <c r="H467" s="49">
        <v>0.0</v>
      </c>
      <c r="I467" s="49">
        <v>82.67</v>
      </c>
      <c r="J467" s="51">
        <v>41.987</v>
      </c>
      <c r="K467" s="51">
        <v>38.17</v>
      </c>
      <c r="L467" s="8">
        <f t="shared" si="3"/>
        <v>0.3866382801</v>
      </c>
      <c r="M467" s="8">
        <f t="shared" si="4"/>
        <v>0.115991484</v>
      </c>
      <c r="N467" s="8">
        <f t="shared" si="5"/>
        <v>0.0231982968</v>
      </c>
      <c r="O467" s="8">
        <f t="shared" si="6"/>
        <v>0.07634</v>
      </c>
      <c r="P467" s="8">
        <f t="shared" si="7"/>
        <v>0.11451</v>
      </c>
      <c r="Q467" s="8">
        <f t="shared" si="8"/>
        <v>0.03817</v>
      </c>
      <c r="R467" s="57"/>
      <c r="S467" s="57"/>
      <c r="T467" s="57"/>
      <c r="U467" s="57"/>
      <c r="V467" s="57"/>
      <c r="W467" s="57"/>
      <c r="X467" s="57"/>
      <c r="Y467" s="57"/>
      <c r="Z467" s="73"/>
    </row>
    <row r="468" ht="34.5" customHeight="1">
      <c r="A468" s="24" t="s">
        <v>485</v>
      </c>
      <c r="B468" s="50" t="s">
        <v>506</v>
      </c>
      <c r="C468" s="50" t="s">
        <v>521</v>
      </c>
      <c r="D468" s="50" t="s">
        <v>530</v>
      </c>
      <c r="E468" s="50">
        <v>70.0</v>
      </c>
      <c r="F468" s="49">
        <v>15.74</v>
      </c>
      <c r="G468" s="50">
        <v>4.0</v>
      </c>
      <c r="H468" s="49">
        <v>77.28</v>
      </c>
      <c r="I468" s="49">
        <v>77.28</v>
      </c>
      <c r="J468" s="51">
        <v>79.12971</v>
      </c>
      <c r="K468" s="51">
        <v>71.9361</v>
      </c>
      <c r="L468" s="8">
        <f t="shared" si="3"/>
        <v>0.7286678014</v>
      </c>
      <c r="M468" s="8">
        <f t="shared" si="4"/>
        <v>0.2186003404</v>
      </c>
      <c r="N468" s="8">
        <f t="shared" si="5"/>
        <v>0.04372006808</v>
      </c>
      <c r="O468" s="8">
        <f t="shared" si="6"/>
        <v>0.1438722</v>
      </c>
      <c r="P468" s="8">
        <f t="shared" si="7"/>
        <v>0.2158083</v>
      </c>
      <c r="Q468" s="8">
        <f t="shared" si="8"/>
        <v>0.0719361</v>
      </c>
      <c r="R468" s="57"/>
      <c r="S468" s="57"/>
      <c r="T468" s="57"/>
      <c r="U468" s="57"/>
      <c r="V468" s="57"/>
      <c r="W468" s="57"/>
      <c r="X468" s="57"/>
      <c r="Y468" s="57"/>
      <c r="Z468" s="73"/>
    </row>
    <row r="469" ht="34.5" customHeight="1">
      <c r="A469" s="24" t="s">
        <v>485</v>
      </c>
      <c r="B469" s="50" t="s">
        <v>531</v>
      </c>
      <c r="C469" s="50" t="s">
        <v>532</v>
      </c>
      <c r="D469" s="50" t="s">
        <v>533</v>
      </c>
      <c r="E469" s="51">
        <v>353.0</v>
      </c>
      <c r="F469" s="49">
        <v>44.45</v>
      </c>
      <c r="G469" s="50">
        <v>6.0</v>
      </c>
      <c r="H469" s="49">
        <v>19.55</v>
      </c>
      <c r="I469" s="49">
        <v>52.7</v>
      </c>
      <c r="J469" s="51">
        <f t="shared" ref="J469:J645" si="11">(E469*(1-F469/100)*1.1)</f>
        <v>215.70065</v>
      </c>
      <c r="K469" s="51">
        <f t="shared" ref="K469:K645" si="12">E469*(1-F469/100)</f>
        <v>196.0915</v>
      </c>
      <c r="L469" s="8">
        <f t="shared" si="3"/>
        <v>1.986284524</v>
      </c>
      <c r="M469" s="8">
        <f t="shared" si="4"/>
        <v>0.5958853573</v>
      </c>
      <c r="N469" s="8">
        <f t="shared" si="5"/>
        <v>0.1191770715</v>
      </c>
      <c r="O469" s="8">
        <f t="shared" si="6"/>
        <v>0.392183</v>
      </c>
      <c r="P469" s="8">
        <f t="shared" si="7"/>
        <v>0.5882745</v>
      </c>
      <c r="Q469" s="8">
        <f t="shared" si="8"/>
        <v>0.1960915</v>
      </c>
      <c r="R469" s="57"/>
      <c r="S469" s="57"/>
      <c r="T469" s="57"/>
      <c r="U469" s="57"/>
      <c r="V469" s="57"/>
      <c r="W469" s="57"/>
      <c r="X469" s="57"/>
      <c r="Y469" s="57"/>
      <c r="Z469" s="61"/>
    </row>
    <row r="470" ht="34.5" customHeight="1">
      <c r="A470" s="24" t="s">
        <v>485</v>
      </c>
      <c r="B470" s="50" t="s">
        <v>531</v>
      </c>
      <c r="C470" s="50" t="s">
        <v>532</v>
      </c>
      <c r="D470" s="50" t="s">
        <v>534</v>
      </c>
      <c r="E470" s="51">
        <v>88.0</v>
      </c>
      <c r="F470" s="49">
        <v>27.84</v>
      </c>
      <c r="G470" s="50">
        <v>3.0</v>
      </c>
      <c r="H470" s="49">
        <v>90.13</v>
      </c>
      <c r="I470" s="49">
        <v>90.13</v>
      </c>
      <c r="J470" s="51">
        <f t="shared" si="11"/>
        <v>69.85088</v>
      </c>
      <c r="K470" s="51">
        <f t="shared" si="12"/>
        <v>63.5008</v>
      </c>
      <c r="L470" s="8">
        <f t="shared" si="3"/>
        <v>0.6432234764</v>
      </c>
      <c r="M470" s="8">
        <f t="shared" si="4"/>
        <v>0.1929670429</v>
      </c>
      <c r="N470" s="8">
        <f t="shared" si="5"/>
        <v>0.03859340858</v>
      </c>
      <c r="O470" s="8">
        <f t="shared" si="6"/>
        <v>0.1270016</v>
      </c>
      <c r="P470" s="8">
        <f t="shared" si="7"/>
        <v>0.1905024</v>
      </c>
      <c r="Q470" s="8">
        <f t="shared" si="8"/>
        <v>0.0635008</v>
      </c>
      <c r="R470" s="57"/>
      <c r="S470" s="57"/>
      <c r="T470" s="57"/>
      <c r="U470" s="57"/>
      <c r="V470" s="57"/>
      <c r="W470" s="57"/>
      <c r="X470" s="57"/>
      <c r="Y470" s="57"/>
      <c r="Z470" s="61"/>
    </row>
    <row r="471" ht="34.5" customHeight="1">
      <c r="A471" s="24" t="s">
        <v>485</v>
      </c>
      <c r="B471" s="50" t="s">
        <v>531</v>
      </c>
      <c r="C471" s="50" t="s">
        <v>532</v>
      </c>
      <c r="D471" s="50" t="s">
        <v>535</v>
      </c>
      <c r="E471" s="51">
        <v>475.0</v>
      </c>
      <c r="F471" s="49">
        <v>29.18</v>
      </c>
      <c r="G471" s="50">
        <v>10.0</v>
      </c>
      <c r="H471" s="49">
        <v>54.42</v>
      </c>
      <c r="I471" s="49">
        <v>100.0</v>
      </c>
      <c r="J471" s="51">
        <f t="shared" si="11"/>
        <v>370.0345</v>
      </c>
      <c r="K471" s="51">
        <f t="shared" si="12"/>
        <v>336.395</v>
      </c>
      <c r="L471" s="8">
        <f t="shared" si="3"/>
        <v>3.407471423</v>
      </c>
      <c r="M471" s="8">
        <f t="shared" si="4"/>
        <v>1.022241427</v>
      </c>
      <c r="N471" s="8">
        <f t="shared" si="5"/>
        <v>0.2044482854</v>
      </c>
      <c r="O471" s="8">
        <f t="shared" si="6"/>
        <v>0.67279</v>
      </c>
      <c r="P471" s="8">
        <f t="shared" si="7"/>
        <v>1.009185</v>
      </c>
      <c r="Q471" s="8">
        <f t="shared" si="8"/>
        <v>0.336395</v>
      </c>
      <c r="R471" s="57"/>
      <c r="S471" s="57"/>
      <c r="T471" s="57"/>
      <c r="U471" s="57"/>
      <c r="V471" s="57"/>
      <c r="W471" s="57"/>
      <c r="X471" s="57"/>
      <c r="Y471" s="57"/>
      <c r="Z471" s="61"/>
    </row>
    <row r="472" ht="34.5" customHeight="1">
      <c r="A472" s="24" t="s">
        <v>485</v>
      </c>
      <c r="B472" s="50" t="s">
        <v>531</v>
      </c>
      <c r="C472" s="50" t="s">
        <v>532</v>
      </c>
      <c r="D472" s="50" t="s">
        <v>536</v>
      </c>
      <c r="E472" s="51">
        <v>139.0</v>
      </c>
      <c r="F472" s="49">
        <v>41.03</v>
      </c>
      <c r="G472" s="50">
        <v>3.0</v>
      </c>
      <c r="H472" s="49">
        <v>0.0</v>
      </c>
      <c r="I472" s="49">
        <v>100.0</v>
      </c>
      <c r="J472" s="51">
        <f t="shared" si="11"/>
        <v>90.16513</v>
      </c>
      <c r="K472" s="51">
        <f t="shared" si="12"/>
        <v>81.9683</v>
      </c>
      <c r="L472" s="8">
        <f t="shared" si="3"/>
        <v>0.8302877268</v>
      </c>
      <c r="M472" s="8">
        <f t="shared" si="4"/>
        <v>0.249086318</v>
      </c>
      <c r="N472" s="8">
        <f t="shared" si="5"/>
        <v>0.04981726361</v>
      </c>
      <c r="O472" s="8">
        <f t="shared" si="6"/>
        <v>0.1639366</v>
      </c>
      <c r="P472" s="8">
        <f t="shared" si="7"/>
        <v>0.2459049</v>
      </c>
      <c r="Q472" s="8">
        <f t="shared" si="8"/>
        <v>0.0819683</v>
      </c>
      <c r="R472" s="57"/>
      <c r="S472" s="57"/>
      <c r="T472" s="57"/>
      <c r="U472" s="57"/>
      <c r="V472" s="57"/>
      <c r="W472" s="57"/>
      <c r="X472" s="57"/>
      <c r="Y472" s="57"/>
      <c r="Z472" s="61"/>
    </row>
    <row r="473" ht="34.5" customHeight="1">
      <c r="A473" s="24" t="s">
        <v>485</v>
      </c>
      <c r="B473" s="50" t="s">
        <v>531</v>
      </c>
      <c r="C473" s="50" t="s">
        <v>532</v>
      </c>
      <c r="D473" s="50" t="s">
        <v>531</v>
      </c>
      <c r="E473" s="51">
        <v>7500.0</v>
      </c>
      <c r="F473" s="49">
        <v>46.59</v>
      </c>
      <c r="G473" s="50">
        <v>46.0</v>
      </c>
      <c r="H473" s="49">
        <v>23.55</v>
      </c>
      <c r="I473" s="49">
        <v>63.9</v>
      </c>
      <c r="J473" s="51">
        <f t="shared" si="11"/>
        <v>4406.325</v>
      </c>
      <c r="K473" s="51">
        <f t="shared" si="12"/>
        <v>4005.75</v>
      </c>
      <c r="L473" s="8">
        <f t="shared" si="3"/>
        <v>40.57574772</v>
      </c>
      <c r="M473" s="8">
        <f t="shared" si="4"/>
        <v>12.17272432</v>
      </c>
      <c r="N473" s="8">
        <f t="shared" si="5"/>
        <v>2.434544863</v>
      </c>
      <c r="O473" s="8">
        <f t="shared" si="6"/>
        <v>8.0115</v>
      </c>
      <c r="P473" s="8">
        <f t="shared" si="7"/>
        <v>12.01725</v>
      </c>
      <c r="Q473" s="8">
        <f t="shared" si="8"/>
        <v>4.00575</v>
      </c>
      <c r="R473" s="57"/>
      <c r="S473" s="57"/>
      <c r="T473" s="57"/>
      <c r="U473" s="57"/>
      <c r="V473" s="57"/>
      <c r="W473" s="57"/>
      <c r="X473" s="57"/>
      <c r="Y473" s="57"/>
      <c r="Z473" s="61"/>
    </row>
    <row r="474" ht="34.5" customHeight="1">
      <c r="A474" s="24" t="s">
        <v>485</v>
      </c>
      <c r="B474" s="50" t="s">
        <v>531</v>
      </c>
      <c r="C474" s="50" t="s">
        <v>532</v>
      </c>
      <c r="D474" s="50" t="s">
        <v>537</v>
      </c>
      <c r="E474" s="51">
        <v>203.0</v>
      </c>
      <c r="F474" s="49">
        <v>36.42</v>
      </c>
      <c r="G474" s="50">
        <v>5.0</v>
      </c>
      <c r="H474" s="49">
        <v>25.04</v>
      </c>
      <c r="I474" s="49">
        <v>68.59</v>
      </c>
      <c r="J474" s="51">
        <f t="shared" si="11"/>
        <v>141.97414</v>
      </c>
      <c r="K474" s="51">
        <f t="shared" si="12"/>
        <v>129.0674</v>
      </c>
      <c r="L474" s="8">
        <f t="shared" si="3"/>
        <v>1.307372218</v>
      </c>
      <c r="M474" s="8">
        <f t="shared" si="4"/>
        <v>0.3922116653</v>
      </c>
      <c r="N474" s="8">
        <f t="shared" si="5"/>
        <v>0.07844233306</v>
      </c>
      <c r="O474" s="8">
        <f t="shared" si="6"/>
        <v>0.2581348</v>
      </c>
      <c r="P474" s="8">
        <f t="shared" si="7"/>
        <v>0.3872022</v>
      </c>
      <c r="Q474" s="8">
        <f t="shared" si="8"/>
        <v>0.1290674</v>
      </c>
      <c r="R474" s="57"/>
      <c r="S474" s="57"/>
      <c r="T474" s="57"/>
      <c r="U474" s="57"/>
      <c r="V474" s="57"/>
      <c r="W474" s="57"/>
      <c r="X474" s="57"/>
      <c r="Y474" s="57"/>
      <c r="Z474" s="61"/>
    </row>
    <row r="475" ht="34.5" customHeight="1">
      <c r="A475" s="24" t="s">
        <v>485</v>
      </c>
      <c r="B475" s="50" t="s">
        <v>531</v>
      </c>
      <c r="C475" s="50" t="s">
        <v>532</v>
      </c>
      <c r="D475" s="50" t="s">
        <v>538</v>
      </c>
      <c r="E475" s="51">
        <v>201.0</v>
      </c>
      <c r="F475" s="49">
        <v>34.65</v>
      </c>
      <c r="G475" s="50">
        <v>3.0</v>
      </c>
      <c r="H475" s="49">
        <v>26.0</v>
      </c>
      <c r="I475" s="49">
        <v>51.43</v>
      </c>
      <c r="J475" s="51">
        <f t="shared" si="11"/>
        <v>144.48885</v>
      </c>
      <c r="K475" s="51">
        <f t="shared" si="12"/>
        <v>131.3535</v>
      </c>
      <c r="L475" s="8">
        <f t="shared" si="3"/>
        <v>1.330528984</v>
      </c>
      <c r="M475" s="8">
        <f t="shared" si="4"/>
        <v>0.3991586952</v>
      </c>
      <c r="N475" s="8">
        <f t="shared" si="5"/>
        <v>0.07983173904</v>
      </c>
      <c r="O475" s="8">
        <f t="shared" si="6"/>
        <v>0.262707</v>
      </c>
      <c r="P475" s="8">
        <f t="shared" si="7"/>
        <v>0.3940605</v>
      </c>
      <c r="Q475" s="8">
        <f t="shared" si="8"/>
        <v>0.1313535</v>
      </c>
      <c r="R475" s="57"/>
      <c r="S475" s="57"/>
      <c r="T475" s="57"/>
      <c r="U475" s="57"/>
      <c r="V475" s="57"/>
      <c r="W475" s="57"/>
      <c r="X475" s="57"/>
      <c r="Y475" s="57"/>
      <c r="Z475" s="61"/>
    </row>
    <row r="476" ht="34.5" customHeight="1">
      <c r="A476" s="24" t="s">
        <v>485</v>
      </c>
      <c r="B476" s="50" t="s">
        <v>531</v>
      </c>
      <c r="C476" s="50" t="s">
        <v>532</v>
      </c>
      <c r="D476" s="50" t="s">
        <v>539</v>
      </c>
      <c r="E476" s="51">
        <v>126.0</v>
      </c>
      <c r="F476" s="49">
        <v>25.12</v>
      </c>
      <c r="G476" s="50">
        <v>3.0</v>
      </c>
      <c r="H476" s="49">
        <v>0.0</v>
      </c>
      <c r="I476" s="49">
        <v>100.0</v>
      </c>
      <c r="J476" s="51">
        <f t="shared" si="11"/>
        <v>103.78368</v>
      </c>
      <c r="K476" s="51">
        <f t="shared" si="12"/>
        <v>94.3488</v>
      </c>
      <c r="L476" s="8">
        <f t="shared" si="3"/>
        <v>0.9556944658</v>
      </c>
      <c r="M476" s="8">
        <f t="shared" si="4"/>
        <v>0.2867083397</v>
      </c>
      <c r="N476" s="8">
        <f t="shared" si="5"/>
        <v>0.05734166795</v>
      </c>
      <c r="O476" s="8">
        <f t="shared" si="6"/>
        <v>0.1886976</v>
      </c>
      <c r="P476" s="8">
        <f t="shared" si="7"/>
        <v>0.2830464</v>
      </c>
      <c r="Q476" s="8">
        <f t="shared" si="8"/>
        <v>0.0943488</v>
      </c>
      <c r="R476" s="57"/>
      <c r="S476" s="57"/>
      <c r="T476" s="57"/>
      <c r="U476" s="57"/>
      <c r="V476" s="57"/>
      <c r="W476" s="57"/>
      <c r="X476" s="57"/>
      <c r="Y476" s="57"/>
      <c r="Z476" s="61"/>
    </row>
    <row r="477" ht="34.5" customHeight="1">
      <c r="A477" s="24" t="s">
        <v>485</v>
      </c>
      <c r="B477" s="50" t="s">
        <v>531</v>
      </c>
      <c r="C477" s="50" t="s">
        <v>532</v>
      </c>
      <c r="D477" s="50" t="s">
        <v>540</v>
      </c>
      <c r="E477" s="51">
        <v>106.0</v>
      </c>
      <c r="F477" s="49">
        <v>12.17</v>
      </c>
      <c r="G477" s="50">
        <v>4.0</v>
      </c>
      <c r="H477" s="49">
        <v>70.59</v>
      </c>
      <c r="I477" s="49">
        <v>100.0</v>
      </c>
      <c r="J477" s="51">
        <f t="shared" si="11"/>
        <v>102.40978</v>
      </c>
      <c r="K477" s="51">
        <f t="shared" si="12"/>
        <v>93.0998</v>
      </c>
      <c r="L477" s="8">
        <f t="shared" si="3"/>
        <v>0.9430428752</v>
      </c>
      <c r="M477" s="8">
        <f t="shared" si="4"/>
        <v>0.2829128626</v>
      </c>
      <c r="N477" s="8">
        <f t="shared" si="5"/>
        <v>0.05658257251</v>
      </c>
      <c r="O477" s="8">
        <f t="shared" si="6"/>
        <v>0.1861996</v>
      </c>
      <c r="P477" s="8">
        <f t="shared" si="7"/>
        <v>0.2792994</v>
      </c>
      <c r="Q477" s="8">
        <f t="shared" si="8"/>
        <v>0.0930998</v>
      </c>
      <c r="R477" s="57"/>
      <c r="S477" s="57"/>
      <c r="T477" s="57"/>
      <c r="U477" s="57"/>
      <c r="V477" s="57"/>
      <c r="W477" s="57"/>
      <c r="X477" s="57"/>
      <c r="Y477" s="57"/>
      <c r="Z477" s="61"/>
    </row>
    <row r="478" ht="34.5" customHeight="1">
      <c r="A478" s="24" t="s">
        <v>485</v>
      </c>
      <c r="B478" s="50" t="s">
        <v>531</v>
      </c>
      <c r="C478" s="50" t="s">
        <v>532</v>
      </c>
      <c r="D478" s="50" t="s">
        <v>541</v>
      </c>
      <c r="E478" s="51">
        <v>573.0</v>
      </c>
      <c r="F478" s="49">
        <v>30.4</v>
      </c>
      <c r="G478" s="50">
        <v>7.0</v>
      </c>
      <c r="H478" s="49">
        <v>30.59</v>
      </c>
      <c r="I478" s="49">
        <v>43.9</v>
      </c>
      <c r="J478" s="51">
        <f t="shared" si="11"/>
        <v>438.6888</v>
      </c>
      <c r="K478" s="51">
        <f t="shared" si="12"/>
        <v>398.808</v>
      </c>
      <c r="L478" s="8">
        <f t="shared" si="3"/>
        <v>4.039676164</v>
      </c>
      <c r="M478" s="8">
        <f t="shared" si="4"/>
        <v>1.211902849</v>
      </c>
      <c r="N478" s="8">
        <f t="shared" si="5"/>
        <v>0.2423805699</v>
      </c>
      <c r="O478" s="8">
        <f t="shared" si="6"/>
        <v>0.797616</v>
      </c>
      <c r="P478" s="8">
        <f t="shared" si="7"/>
        <v>1.196424</v>
      </c>
      <c r="Q478" s="8">
        <f t="shared" si="8"/>
        <v>0.398808</v>
      </c>
      <c r="R478" s="57"/>
      <c r="S478" s="57"/>
      <c r="T478" s="57"/>
      <c r="U478" s="57"/>
      <c r="V478" s="57"/>
      <c r="W478" s="57"/>
      <c r="X478" s="57"/>
      <c r="Y478" s="57"/>
      <c r="Z478" s="61"/>
    </row>
    <row r="479" ht="34.5" customHeight="1">
      <c r="A479" s="24" t="s">
        <v>485</v>
      </c>
      <c r="B479" s="50" t="s">
        <v>531</v>
      </c>
      <c r="C479" s="50" t="s">
        <v>542</v>
      </c>
      <c r="D479" s="50" t="s">
        <v>543</v>
      </c>
      <c r="E479" s="51">
        <v>419.0</v>
      </c>
      <c r="F479" s="49">
        <v>36.39</v>
      </c>
      <c r="G479" s="50">
        <v>4.0</v>
      </c>
      <c r="H479" s="49">
        <v>31.54</v>
      </c>
      <c r="I479" s="49">
        <v>56.69</v>
      </c>
      <c r="J479" s="51">
        <f t="shared" si="11"/>
        <v>293.17849</v>
      </c>
      <c r="K479" s="51">
        <f t="shared" si="12"/>
        <v>266.5259</v>
      </c>
      <c r="L479" s="8">
        <f t="shared" si="3"/>
        <v>2.699741042</v>
      </c>
      <c r="M479" s="8">
        <f t="shared" si="4"/>
        <v>0.8099223126</v>
      </c>
      <c r="N479" s="8">
        <f t="shared" si="5"/>
        <v>0.1619844625</v>
      </c>
      <c r="O479" s="8">
        <f t="shared" si="6"/>
        <v>0.5330518</v>
      </c>
      <c r="P479" s="8">
        <f t="shared" si="7"/>
        <v>0.7995777</v>
      </c>
      <c r="Q479" s="8">
        <f t="shared" si="8"/>
        <v>0.2665259</v>
      </c>
      <c r="R479" s="57"/>
      <c r="S479" s="57"/>
      <c r="T479" s="57"/>
      <c r="U479" s="57"/>
      <c r="V479" s="57"/>
      <c r="W479" s="57"/>
      <c r="X479" s="57"/>
      <c r="Y479" s="57"/>
      <c r="Z479" s="61"/>
    </row>
    <row r="480" ht="34.5" customHeight="1">
      <c r="A480" s="24" t="s">
        <v>485</v>
      </c>
      <c r="B480" s="50" t="s">
        <v>531</v>
      </c>
      <c r="C480" s="50" t="s">
        <v>542</v>
      </c>
      <c r="D480" s="50" t="s">
        <v>544</v>
      </c>
      <c r="E480" s="51">
        <v>85.0</v>
      </c>
      <c r="F480" s="49">
        <v>43.06</v>
      </c>
      <c r="G480" s="50">
        <v>2.0</v>
      </c>
      <c r="H480" s="49">
        <v>34.96</v>
      </c>
      <c r="I480" s="49">
        <v>100.0</v>
      </c>
      <c r="J480" s="51">
        <f t="shared" si="11"/>
        <v>53.2389</v>
      </c>
      <c r="K480" s="51">
        <f t="shared" si="12"/>
        <v>48.399</v>
      </c>
      <c r="L480" s="8">
        <f t="shared" si="3"/>
        <v>0.4902516667</v>
      </c>
      <c r="M480" s="8">
        <f t="shared" si="4"/>
        <v>0.1470755</v>
      </c>
      <c r="N480" s="8">
        <f t="shared" si="5"/>
        <v>0.0294151</v>
      </c>
      <c r="O480" s="8">
        <f t="shared" si="6"/>
        <v>0.096798</v>
      </c>
      <c r="P480" s="8">
        <f t="shared" si="7"/>
        <v>0.145197</v>
      </c>
      <c r="Q480" s="8">
        <f t="shared" si="8"/>
        <v>0.048399</v>
      </c>
      <c r="R480" s="57"/>
      <c r="S480" s="57"/>
      <c r="T480" s="57"/>
      <c r="U480" s="57"/>
      <c r="V480" s="57"/>
      <c r="W480" s="57"/>
      <c r="X480" s="57"/>
      <c r="Y480" s="57"/>
      <c r="Z480" s="61"/>
    </row>
    <row r="481" ht="34.5" customHeight="1">
      <c r="A481" s="24" t="s">
        <v>485</v>
      </c>
      <c r="B481" s="50" t="s">
        <v>531</v>
      </c>
      <c r="C481" s="50" t="s">
        <v>542</v>
      </c>
      <c r="D481" s="50" t="s">
        <v>545</v>
      </c>
      <c r="E481" s="51">
        <v>377.0</v>
      </c>
      <c r="F481" s="49">
        <v>35.1</v>
      </c>
      <c r="G481" s="50">
        <v>6.0</v>
      </c>
      <c r="H481" s="49">
        <v>8.6</v>
      </c>
      <c r="I481" s="49">
        <v>32.91</v>
      </c>
      <c r="J481" s="51">
        <f t="shared" si="11"/>
        <v>269.1403</v>
      </c>
      <c r="K481" s="51">
        <f t="shared" si="12"/>
        <v>244.673</v>
      </c>
      <c r="L481" s="8">
        <f t="shared" si="3"/>
        <v>2.478384802</v>
      </c>
      <c r="M481" s="8">
        <f t="shared" si="4"/>
        <v>0.7435154406</v>
      </c>
      <c r="N481" s="8">
        <f t="shared" si="5"/>
        <v>0.1487030881</v>
      </c>
      <c r="O481" s="8">
        <f t="shared" si="6"/>
        <v>0.489346</v>
      </c>
      <c r="P481" s="8">
        <f t="shared" si="7"/>
        <v>0.734019</v>
      </c>
      <c r="Q481" s="8">
        <f t="shared" si="8"/>
        <v>0.244673</v>
      </c>
      <c r="R481" s="57"/>
      <c r="S481" s="57"/>
      <c r="T481" s="57"/>
      <c r="U481" s="57"/>
      <c r="V481" s="57"/>
      <c r="W481" s="57"/>
      <c r="X481" s="57"/>
      <c r="Y481" s="57"/>
      <c r="Z481" s="61"/>
    </row>
    <row r="482" ht="34.5" customHeight="1">
      <c r="A482" s="24" t="s">
        <v>485</v>
      </c>
      <c r="B482" s="50" t="s">
        <v>531</v>
      </c>
      <c r="C482" s="50" t="s">
        <v>542</v>
      </c>
      <c r="D482" s="50" t="s">
        <v>546</v>
      </c>
      <c r="E482" s="51">
        <v>720.0</v>
      </c>
      <c r="F482" s="49">
        <v>40.94</v>
      </c>
      <c r="G482" s="50">
        <v>12.0</v>
      </c>
      <c r="H482" s="49">
        <v>40.19</v>
      </c>
      <c r="I482" s="49">
        <v>55.72</v>
      </c>
      <c r="J482" s="51">
        <f t="shared" si="11"/>
        <v>467.7552</v>
      </c>
      <c r="K482" s="51">
        <f t="shared" si="12"/>
        <v>425.232</v>
      </c>
      <c r="L482" s="8">
        <f t="shared" si="3"/>
        <v>4.307334795</v>
      </c>
      <c r="M482" s="8">
        <f t="shared" si="4"/>
        <v>1.292200438</v>
      </c>
      <c r="N482" s="8">
        <f t="shared" si="5"/>
        <v>0.2584400877</v>
      </c>
      <c r="O482" s="8">
        <f t="shared" si="6"/>
        <v>0.850464</v>
      </c>
      <c r="P482" s="8">
        <f t="shared" si="7"/>
        <v>1.275696</v>
      </c>
      <c r="Q482" s="8">
        <f t="shared" si="8"/>
        <v>0.425232</v>
      </c>
      <c r="R482" s="57"/>
      <c r="S482" s="57"/>
      <c r="T482" s="57"/>
      <c r="U482" s="57"/>
      <c r="V482" s="57"/>
      <c r="W482" s="57"/>
      <c r="X482" s="57"/>
      <c r="Y482" s="57"/>
      <c r="Z482" s="61"/>
    </row>
    <row r="483" ht="34.5" customHeight="1">
      <c r="A483" s="24" t="s">
        <v>485</v>
      </c>
      <c r="B483" s="50" t="s">
        <v>531</v>
      </c>
      <c r="C483" s="50" t="s">
        <v>542</v>
      </c>
      <c r="D483" s="50" t="s">
        <v>547</v>
      </c>
      <c r="E483" s="51">
        <v>422.0</v>
      </c>
      <c r="F483" s="49">
        <v>48.35</v>
      </c>
      <c r="G483" s="50">
        <v>9.0</v>
      </c>
      <c r="H483" s="49">
        <v>27.33</v>
      </c>
      <c r="I483" s="49">
        <v>58.58</v>
      </c>
      <c r="J483" s="51">
        <f t="shared" si="11"/>
        <v>239.7593</v>
      </c>
      <c r="K483" s="51">
        <f t="shared" si="12"/>
        <v>217.963</v>
      </c>
      <c r="L483" s="8">
        <f t="shared" si="3"/>
        <v>2.20782917</v>
      </c>
      <c r="M483" s="8">
        <f t="shared" si="4"/>
        <v>0.6623487511</v>
      </c>
      <c r="N483" s="8">
        <f t="shared" si="5"/>
        <v>0.1324697502</v>
      </c>
      <c r="O483" s="8">
        <f t="shared" si="6"/>
        <v>0.435926</v>
      </c>
      <c r="P483" s="8">
        <f t="shared" si="7"/>
        <v>0.653889</v>
      </c>
      <c r="Q483" s="8">
        <f t="shared" si="8"/>
        <v>0.217963</v>
      </c>
      <c r="R483" s="57"/>
      <c r="S483" s="57"/>
      <c r="T483" s="57"/>
      <c r="U483" s="57"/>
      <c r="V483" s="57"/>
      <c r="W483" s="57"/>
      <c r="X483" s="57"/>
      <c r="Y483" s="57"/>
      <c r="Z483" s="61"/>
    </row>
    <row r="484" ht="34.5" customHeight="1">
      <c r="A484" s="24" t="s">
        <v>485</v>
      </c>
      <c r="B484" s="50" t="s">
        <v>531</v>
      </c>
      <c r="C484" s="50" t="s">
        <v>542</v>
      </c>
      <c r="D484" s="50" t="s">
        <v>548</v>
      </c>
      <c r="E484" s="51">
        <v>401.0</v>
      </c>
      <c r="F484" s="49">
        <v>30.32</v>
      </c>
      <c r="G484" s="50">
        <v>7.0</v>
      </c>
      <c r="H484" s="49">
        <v>17.37</v>
      </c>
      <c r="I484" s="49">
        <v>63.07</v>
      </c>
      <c r="J484" s="51">
        <f t="shared" si="11"/>
        <v>307.35848</v>
      </c>
      <c r="K484" s="51">
        <f t="shared" si="12"/>
        <v>279.4168</v>
      </c>
      <c r="L484" s="8">
        <f t="shared" si="3"/>
        <v>2.830317814</v>
      </c>
      <c r="M484" s="8">
        <f t="shared" si="4"/>
        <v>0.8490953443</v>
      </c>
      <c r="N484" s="8">
        <f t="shared" si="5"/>
        <v>0.1698190689</v>
      </c>
      <c r="O484" s="8">
        <f t="shared" si="6"/>
        <v>0.5588336</v>
      </c>
      <c r="P484" s="8">
        <f t="shared" si="7"/>
        <v>0.8382504</v>
      </c>
      <c r="Q484" s="8">
        <f t="shared" si="8"/>
        <v>0.2794168</v>
      </c>
      <c r="R484" s="57"/>
      <c r="S484" s="57"/>
      <c r="T484" s="57"/>
      <c r="U484" s="57"/>
      <c r="V484" s="57"/>
      <c r="W484" s="57"/>
      <c r="X484" s="57"/>
      <c r="Y484" s="57"/>
      <c r="Z484" s="61"/>
    </row>
    <row r="485" ht="34.5" customHeight="1">
      <c r="A485" s="24" t="s">
        <v>485</v>
      </c>
      <c r="B485" s="50" t="s">
        <v>531</v>
      </c>
      <c r="C485" s="50" t="s">
        <v>542</v>
      </c>
      <c r="D485" s="50" t="s">
        <v>549</v>
      </c>
      <c r="E485" s="51">
        <v>468.0</v>
      </c>
      <c r="F485" s="49">
        <v>47.3</v>
      </c>
      <c r="G485" s="50">
        <v>8.0</v>
      </c>
      <c r="H485" s="49">
        <v>62.15</v>
      </c>
      <c r="I485" s="49">
        <v>97.16</v>
      </c>
      <c r="J485" s="51">
        <f t="shared" si="11"/>
        <v>271.2996</v>
      </c>
      <c r="K485" s="51">
        <f t="shared" si="12"/>
        <v>246.636</v>
      </c>
      <c r="L485" s="8">
        <f t="shared" si="3"/>
        <v>2.498268767</v>
      </c>
      <c r="M485" s="8">
        <f t="shared" si="4"/>
        <v>0.7494806301</v>
      </c>
      <c r="N485" s="8">
        <f t="shared" si="5"/>
        <v>0.149896126</v>
      </c>
      <c r="O485" s="8">
        <f t="shared" si="6"/>
        <v>0.493272</v>
      </c>
      <c r="P485" s="8">
        <f t="shared" si="7"/>
        <v>0.739908</v>
      </c>
      <c r="Q485" s="8">
        <f t="shared" si="8"/>
        <v>0.246636</v>
      </c>
      <c r="R485" s="57"/>
      <c r="S485" s="57"/>
      <c r="T485" s="57"/>
      <c r="U485" s="57"/>
      <c r="V485" s="57"/>
      <c r="W485" s="57"/>
      <c r="X485" s="57"/>
      <c r="Y485" s="57"/>
      <c r="Z485" s="61"/>
    </row>
    <row r="486" ht="34.5" customHeight="1">
      <c r="A486" s="24" t="s">
        <v>485</v>
      </c>
      <c r="B486" s="50" t="s">
        <v>531</v>
      </c>
      <c r="C486" s="50" t="s">
        <v>542</v>
      </c>
      <c r="D486" s="50" t="s">
        <v>550</v>
      </c>
      <c r="E486" s="51">
        <v>166.0</v>
      </c>
      <c r="F486" s="49">
        <v>48.16</v>
      </c>
      <c r="G486" s="50">
        <v>2.0</v>
      </c>
      <c r="H486" s="49">
        <v>16.05</v>
      </c>
      <c r="I486" s="49">
        <v>30.01</v>
      </c>
      <c r="J486" s="51">
        <f t="shared" si="11"/>
        <v>94.65984</v>
      </c>
      <c r="K486" s="51">
        <f t="shared" si="12"/>
        <v>86.0544</v>
      </c>
      <c r="L486" s="8">
        <f t="shared" si="3"/>
        <v>0.8716773699</v>
      </c>
      <c r="M486" s="8">
        <f t="shared" si="4"/>
        <v>0.261503211</v>
      </c>
      <c r="N486" s="8">
        <f t="shared" si="5"/>
        <v>0.05230064219</v>
      </c>
      <c r="O486" s="8">
        <f t="shared" si="6"/>
        <v>0.1721088</v>
      </c>
      <c r="P486" s="8">
        <f t="shared" si="7"/>
        <v>0.2581632</v>
      </c>
      <c r="Q486" s="8">
        <f t="shared" si="8"/>
        <v>0.0860544</v>
      </c>
      <c r="R486" s="57"/>
      <c r="S486" s="57"/>
      <c r="T486" s="57"/>
      <c r="U486" s="57"/>
      <c r="V486" s="57"/>
      <c r="W486" s="57"/>
      <c r="X486" s="57"/>
      <c r="Y486" s="57"/>
      <c r="Z486" s="61"/>
    </row>
    <row r="487" ht="34.5" customHeight="1">
      <c r="A487" s="24" t="s">
        <v>485</v>
      </c>
      <c r="B487" s="50" t="s">
        <v>531</v>
      </c>
      <c r="C487" s="50" t="s">
        <v>542</v>
      </c>
      <c r="D487" s="50" t="s">
        <v>551</v>
      </c>
      <c r="E487" s="51">
        <v>1441.0</v>
      </c>
      <c r="F487" s="49">
        <v>44.58</v>
      </c>
      <c r="G487" s="50">
        <v>9.0</v>
      </c>
      <c r="H487" s="49">
        <v>0.0</v>
      </c>
      <c r="I487" s="49">
        <v>58.54</v>
      </c>
      <c r="J487" s="51">
        <f t="shared" si="11"/>
        <v>878.46242</v>
      </c>
      <c r="K487" s="51">
        <f t="shared" si="12"/>
        <v>798.6022</v>
      </c>
      <c r="L487" s="8">
        <f t="shared" si="3"/>
        <v>8.089341919</v>
      </c>
      <c r="M487" s="8">
        <f t="shared" si="4"/>
        <v>2.426802576</v>
      </c>
      <c r="N487" s="8">
        <f t="shared" si="5"/>
        <v>0.4853605152</v>
      </c>
      <c r="O487" s="8">
        <f t="shared" si="6"/>
        <v>1.5972044</v>
      </c>
      <c r="P487" s="8">
        <f t="shared" si="7"/>
        <v>2.3958066</v>
      </c>
      <c r="Q487" s="8">
        <f t="shared" si="8"/>
        <v>0.7986022</v>
      </c>
      <c r="R487" s="57"/>
      <c r="S487" s="57"/>
      <c r="T487" s="57"/>
      <c r="U487" s="57"/>
      <c r="V487" s="57"/>
      <c r="W487" s="57"/>
      <c r="X487" s="57"/>
      <c r="Y487" s="57"/>
      <c r="Z487" s="61"/>
    </row>
    <row r="488" ht="34.5" customHeight="1">
      <c r="A488" s="24" t="s">
        <v>485</v>
      </c>
      <c r="B488" s="50" t="s">
        <v>531</v>
      </c>
      <c r="C488" s="50" t="s">
        <v>552</v>
      </c>
      <c r="D488" s="50" t="s">
        <v>553</v>
      </c>
      <c r="E488" s="51">
        <v>153.0</v>
      </c>
      <c r="F488" s="49">
        <v>14.25</v>
      </c>
      <c r="G488" s="50">
        <v>6.0</v>
      </c>
      <c r="H488" s="49">
        <v>100.0</v>
      </c>
      <c r="I488" s="49">
        <v>100.0</v>
      </c>
      <c r="J488" s="51">
        <f t="shared" si="11"/>
        <v>144.31725</v>
      </c>
      <c r="K488" s="51">
        <f t="shared" si="12"/>
        <v>131.1975</v>
      </c>
      <c r="L488" s="8">
        <f t="shared" si="3"/>
        <v>1.328948801</v>
      </c>
      <c r="M488" s="8">
        <f t="shared" si="4"/>
        <v>0.3986846404</v>
      </c>
      <c r="N488" s="8">
        <f t="shared" si="5"/>
        <v>0.07973692808</v>
      </c>
      <c r="O488" s="8">
        <f t="shared" si="6"/>
        <v>0.262395</v>
      </c>
      <c r="P488" s="8">
        <f t="shared" si="7"/>
        <v>0.3935925</v>
      </c>
      <c r="Q488" s="8">
        <f t="shared" si="8"/>
        <v>0.1311975</v>
      </c>
      <c r="R488" s="57"/>
      <c r="S488" s="57"/>
      <c r="T488" s="57"/>
      <c r="U488" s="57"/>
      <c r="V488" s="57"/>
      <c r="W488" s="57"/>
      <c r="X488" s="57"/>
      <c r="Y488" s="57"/>
      <c r="Z488" s="61"/>
    </row>
    <row r="489" ht="34.5" customHeight="1">
      <c r="A489" s="24" t="s">
        <v>485</v>
      </c>
      <c r="B489" s="50" t="s">
        <v>531</v>
      </c>
      <c r="C489" s="50" t="s">
        <v>552</v>
      </c>
      <c r="D489" s="50" t="s">
        <v>554</v>
      </c>
      <c r="E489" s="51">
        <v>631.0</v>
      </c>
      <c r="F489" s="49">
        <v>22.31</v>
      </c>
      <c r="G489" s="50">
        <v>10.0</v>
      </c>
      <c r="H489" s="49">
        <v>60.71</v>
      </c>
      <c r="I489" s="49">
        <v>79.91</v>
      </c>
      <c r="J489" s="51">
        <f t="shared" si="11"/>
        <v>539.24629</v>
      </c>
      <c r="K489" s="51">
        <f t="shared" si="12"/>
        <v>490.2239</v>
      </c>
      <c r="L489" s="8">
        <f t="shared" si="3"/>
        <v>4.965662183</v>
      </c>
      <c r="M489" s="8">
        <f t="shared" si="4"/>
        <v>1.489698655</v>
      </c>
      <c r="N489" s="8">
        <f t="shared" si="5"/>
        <v>0.297939731</v>
      </c>
      <c r="O489" s="8">
        <f t="shared" si="6"/>
        <v>0.9804478</v>
      </c>
      <c r="P489" s="8">
        <f t="shared" si="7"/>
        <v>1.4706717</v>
      </c>
      <c r="Q489" s="8">
        <f t="shared" si="8"/>
        <v>0.4902239</v>
      </c>
      <c r="R489" s="57"/>
      <c r="S489" s="57"/>
      <c r="T489" s="57"/>
      <c r="U489" s="57"/>
      <c r="V489" s="57"/>
      <c r="W489" s="57"/>
      <c r="X489" s="57"/>
      <c r="Y489" s="57"/>
      <c r="Z489" s="61"/>
    </row>
    <row r="490" ht="34.5" customHeight="1">
      <c r="A490" s="24" t="s">
        <v>485</v>
      </c>
      <c r="B490" s="50" t="s">
        <v>531</v>
      </c>
      <c r="C490" s="50" t="s">
        <v>552</v>
      </c>
      <c r="D490" s="50" t="s">
        <v>555</v>
      </c>
      <c r="E490" s="51">
        <v>259.0</v>
      </c>
      <c r="F490" s="49">
        <v>25.86</v>
      </c>
      <c r="G490" s="50">
        <v>6.0</v>
      </c>
      <c r="H490" s="49">
        <v>69.17</v>
      </c>
      <c r="I490" s="49">
        <v>100.0</v>
      </c>
      <c r="J490" s="51">
        <f t="shared" si="11"/>
        <v>211.22486</v>
      </c>
      <c r="K490" s="51">
        <f t="shared" si="12"/>
        <v>192.0226</v>
      </c>
      <c r="L490" s="8">
        <f t="shared" si="3"/>
        <v>1.945069107</v>
      </c>
      <c r="M490" s="8">
        <f t="shared" si="4"/>
        <v>0.583520732</v>
      </c>
      <c r="N490" s="8">
        <f t="shared" si="5"/>
        <v>0.1167041464</v>
      </c>
      <c r="O490" s="8">
        <f t="shared" si="6"/>
        <v>0.3840452</v>
      </c>
      <c r="P490" s="8">
        <f t="shared" si="7"/>
        <v>0.5760678</v>
      </c>
      <c r="Q490" s="8">
        <f t="shared" si="8"/>
        <v>0.1920226</v>
      </c>
      <c r="R490" s="57"/>
      <c r="S490" s="57"/>
      <c r="T490" s="57"/>
      <c r="U490" s="57"/>
      <c r="V490" s="57"/>
      <c r="W490" s="57"/>
      <c r="X490" s="57"/>
      <c r="Y490" s="57"/>
      <c r="Z490" s="61"/>
    </row>
    <row r="491" ht="34.5" customHeight="1">
      <c r="A491" s="24" t="s">
        <v>485</v>
      </c>
      <c r="B491" s="50" t="s">
        <v>531</v>
      </c>
      <c r="C491" s="50" t="s">
        <v>552</v>
      </c>
      <c r="D491" s="50" t="s">
        <v>556</v>
      </c>
      <c r="E491" s="51">
        <v>254.0</v>
      </c>
      <c r="F491" s="49">
        <v>24.1</v>
      </c>
      <c r="G491" s="50">
        <v>7.0</v>
      </c>
      <c r="H491" s="49">
        <v>39.55</v>
      </c>
      <c r="I491" s="49">
        <v>65.35</v>
      </c>
      <c r="J491" s="51">
        <f t="shared" si="11"/>
        <v>212.0646</v>
      </c>
      <c r="K491" s="51">
        <f t="shared" si="12"/>
        <v>192.786</v>
      </c>
      <c r="L491" s="8">
        <f t="shared" si="3"/>
        <v>1.952801872</v>
      </c>
      <c r="M491" s="8">
        <f t="shared" si="4"/>
        <v>0.5858405616</v>
      </c>
      <c r="N491" s="8">
        <f t="shared" si="5"/>
        <v>0.1171681123</v>
      </c>
      <c r="O491" s="8">
        <f t="shared" si="6"/>
        <v>0.385572</v>
      </c>
      <c r="P491" s="8">
        <f t="shared" si="7"/>
        <v>0.578358</v>
      </c>
      <c r="Q491" s="8">
        <f t="shared" si="8"/>
        <v>0.192786</v>
      </c>
      <c r="R491" s="57"/>
      <c r="S491" s="57"/>
      <c r="T491" s="57"/>
      <c r="U491" s="57"/>
      <c r="V491" s="57"/>
      <c r="W491" s="57"/>
      <c r="X491" s="57"/>
      <c r="Y491" s="57"/>
      <c r="Z491" s="61"/>
    </row>
    <row r="492" ht="34.5" customHeight="1">
      <c r="A492" s="24" t="s">
        <v>485</v>
      </c>
      <c r="B492" s="50" t="s">
        <v>531</v>
      </c>
      <c r="C492" s="50" t="s">
        <v>552</v>
      </c>
      <c r="D492" s="50" t="s">
        <v>557</v>
      </c>
      <c r="E492" s="51">
        <v>15.0</v>
      </c>
      <c r="F492" s="49">
        <v>8.44</v>
      </c>
      <c r="G492" s="50">
        <v>1.0</v>
      </c>
      <c r="H492" s="49">
        <v>100.0</v>
      </c>
      <c r="I492" s="49">
        <v>100.0</v>
      </c>
      <c r="J492" s="51">
        <f t="shared" si="11"/>
        <v>15.1074</v>
      </c>
      <c r="K492" s="51">
        <f t="shared" si="12"/>
        <v>13.734</v>
      </c>
      <c r="L492" s="8">
        <f t="shared" si="3"/>
        <v>0.1391168493</v>
      </c>
      <c r="M492" s="8">
        <f t="shared" si="4"/>
        <v>0.04173505479</v>
      </c>
      <c r="N492" s="8">
        <f t="shared" si="5"/>
        <v>0.008347010959</v>
      </c>
      <c r="O492" s="8">
        <f t="shared" si="6"/>
        <v>0.027468</v>
      </c>
      <c r="P492" s="8">
        <f t="shared" si="7"/>
        <v>0.041202</v>
      </c>
      <c r="Q492" s="8">
        <f t="shared" si="8"/>
        <v>0.013734</v>
      </c>
      <c r="R492" s="57"/>
      <c r="S492" s="57"/>
      <c r="T492" s="57"/>
      <c r="U492" s="57"/>
      <c r="V492" s="57"/>
      <c r="W492" s="57"/>
      <c r="X492" s="57"/>
      <c r="Y492" s="57"/>
      <c r="Z492" s="61"/>
    </row>
    <row r="493" ht="34.5" customHeight="1">
      <c r="A493" s="24" t="s">
        <v>485</v>
      </c>
      <c r="B493" s="50" t="s">
        <v>531</v>
      </c>
      <c r="C493" s="50" t="s">
        <v>552</v>
      </c>
      <c r="D493" s="50" t="s">
        <v>558</v>
      </c>
      <c r="E493" s="51">
        <v>25.0</v>
      </c>
      <c r="F493" s="49">
        <v>8.95</v>
      </c>
      <c r="G493" s="50">
        <v>1.0</v>
      </c>
      <c r="H493" s="49">
        <v>100.0</v>
      </c>
      <c r="I493" s="49">
        <v>100.0</v>
      </c>
      <c r="J493" s="51">
        <f t="shared" si="11"/>
        <v>25.03875</v>
      </c>
      <c r="K493" s="51">
        <f t="shared" si="12"/>
        <v>22.7625</v>
      </c>
      <c r="L493" s="8">
        <f t="shared" si="3"/>
        <v>0.2305699201</v>
      </c>
      <c r="M493" s="8">
        <f t="shared" si="4"/>
        <v>0.06917097603</v>
      </c>
      <c r="N493" s="8">
        <f t="shared" si="5"/>
        <v>0.01383419521</v>
      </c>
      <c r="O493" s="8">
        <f t="shared" si="6"/>
        <v>0.045525</v>
      </c>
      <c r="P493" s="8">
        <f t="shared" si="7"/>
        <v>0.0682875</v>
      </c>
      <c r="Q493" s="8">
        <f t="shared" si="8"/>
        <v>0.0227625</v>
      </c>
      <c r="R493" s="57"/>
      <c r="S493" s="57"/>
      <c r="T493" s="57"/>
      <c r="U493" s="57"/>
      <c r="V493" s="57"/>
      <c r="W493" s="57"/>
      <c r="X493" s="57"/>
      <c r="Y493" s="57"/>
      <c r="Z493" s="61"/>
    </row>
    <row r="494" ht="34.5" customHeight="1">
      <c r="A494" s="24" t="s">
        <v>485</v>
      </c>
      <c r="B494" s="50" t="s">
        <v>531</v>
      </c>
      <c r="C494" s="50" t="s">
        <v>552</v>
      </c>
      <c r="D494" s="50" t="s">
        <v>559</v>
      </c>
      <c r="E494" s="51">
        <v>54.0</v>
      </c>
      <c r="F494" s="49">
        <v>5.23</v>
      </c>
      <c r="G494" s="50">
        <v>3.0</v>
      </c>
      <c r="H494" s="49">
        <v>49.79</v>
      </c>
      <c r="I494" s="49">
        <v>93.09</v>
      </c>
      <c r="J494" s="51">
        <f t="shared" si="11"/>
        <v>56.29338</v>
      </c>
      <c r="K494" s="51">
        <f t="shared" si="12"/>
        <v>51.1758</v>
      </c>
      <c r="L494" s="8">
        <f t="shared" si="3"/>
        <v>0.5183789178</v>
      </c>
      <c r="M494" s="8">
        <f t="shared" si="4"/>
        <v>0.1555136753</v>
      </c>
      <c r="N494" s="8">
        <f t="shared" si="5"/>
        <v>0.03110273507</v>
      </c>
      <c r="O494" s="8">
        <f t="shared" si="6"/>
        <v>0.1023516</v>
      </c>
      <c r="P494" s="8">
        <f t="shared" si="7"/>
        <v>0.1535274</v>
      </c>
      <c r="Q494" s="8">
        <f t="shared" si="8"/>
        <v>0.0511758</v>
      </c>
      <c r="R494" s="57"/>
      <c r="S494" s="57"/>
      <c r="T494" s="57"/>
      <c r="U494" s="57"/>
      <c r="V494" s="57"/>
      <c r="W494" s="57"/>
      <c r="X494" s="57"/>
      <c r="Y494" s="57"/>
      <c r="Z494" s="61"/>
    </row>
    <row r="495" ht="34.5" customHeight="1">
      <c r="A495" s="24" t="s">
        <v>560</v>
      </c>
      <c r="B495" s="50" t="s">
        <v>561</v>
      </c>
      <c r="C495" s="50" t="s">
        <v>562</v>
      </c>
      <c r="D495" s="42" t="s">
        <v>562</v>
      </c>
      <c r="E495" s="42">
        <v>1312.0</v>
      </c>
      <c r="F495" s="43">
        <v>40.65</v>
      </c>
      <c r="G495" s="42">
        <v>24.0</v>
      </c>
      <c r="H495" s="43">
        <v>38.55</v>
      </c>
      <c r="I495" s="43">
        <v>53.08</v>
      </c>
      <c r="J495" s="51">
        <f t="shared" si="11"/>
        <v>856.5392</v>
      </c>
      <c r="K495" s="51">
        <f t="shared" si="12"/>
        <v>778.672</v>
      </c>
      <c r="L495" s="8">
        <f t="shared" si="3"/>
        <v>7.887461431</v>
      </c>
      <c r="M495" s="8">
        <f t="shared" si="4"/>
        <v>2.366238429</v>
      </c>
      <c r="N495" s="8">
        <f t="shared" si="5"/>
        <v>0.4732476858</v>
      </c>
      <c r="O495" s="8">
        <f t="shared" si="6"/>
        <v>1.557344</v>
      </c>
      <c r="P495" s="8">
        <f t="shared" si="7"/>
        <v>2.336016</v>
      </c>
      <c r="Q495" s="8">
        <f t="shared" si="8"/>
        <v>0.778672</v>
      </c>
      <c r="R495" s="57"/>
      <c r="S495" s="57"/>
      <c r="T495" s="57"/>
      <c r="U495" s="57"/>
      <c r="V495" s="57"/>
      <c r="W495" s="57"/>
      <c r="X495" s="57"/>
      <c r="Y495" s="57"/>
    </row>
    <row r="496" ht="34.5" customHeight="1">
      <c r="A496" s="24" t="s">
        <v>560</v>
      </c>
      <c r="B496" s="50" t="s">
        <v>561</v>
      </c>
      <c r="C496" s="50" t="s">
        <v>562</v>
      </c>
      <c r="D496" s="42" t="s">
        <v>563</v>
      </c>
      <c r="E496" s="42">
        <v>372.0</v>
      </c>
      <c r="F496" s="43">
        <v>19.91</v>
      </c>
      <c r="G496" s="42">
        <v>7.0</v>
      </c>
      <c r="H496" s="43">
        <v>12.3</v>
      </c>
      <c r="I496" s="43">
        <v>22.99</v>
      </c>
      <c r="J496" s="51">
        <f t="shared" si="11"/>
        <v>327.72828</v>
      </c>
      <c r="K496" s="51">
        <f t="shared" si="12"/>
        <v>297.9348</v>
      </c>
      <c r="L496" s="8">
        <f t="shared" si="3"/>
        <v>3.017893598</v>
      </c>
      <c r="M496" s="8">
        <f t="shared" si="4"/>
        <v>0.9053680795</v>
      </c>
      <c r="N496" s="8">
        <f t="shared" si="5"/>
        <v>0.1810736159</v>
      </c>
      <c r="O496" s="8">
        <f t="shared" si="6"/>
        <v>0.5958696</v>
      </c>
      <c r="P496" s="8">
        <f t="shared" si="7"/>
        <v>0.8938044</v>
      </c>
      <c r="Q496" s="8">
        <f t="shared" si="8"/>
        <v>0.2979348</v>
      </c>
      <c r="R496" s="57"/>
      <c r="S496" s="57"/>
      <c r="T496" s="57"/>
      <c r="U496" s="57"/>
      <c r="V496" s="57"/>
      <c r="W496" s="57"/>
      <c r="X496" s="57"/>
      <c r="Y496" s="57"/>
    </row>
    <row r="497" ht="34.5" customHeight="1">
      <c r="A497" s="24" t="s">
        <v>560</v>
      </c>
      <c r="B497" s="50" t="s">
        <v>561</v>
      </c>
      <c r="C497" s="50" t="s">
        <v>562</v>
      </c>
      <c r="D497" s="42" t="s">
        <v>564</v>
      </c>
      <c r="E497" s="42">
        <v>1005.0</v>
      </c>
      <c r="F497" s="43">
        <v>33.26</v>
      </c>
      <c r="G497" s="42">
        <v>18.0</v>
      </c>
      <c r="H497" s="43">
        <v>26.69</v>
      </c>
      <c r="I497" s="43">
        <v>57.48</v>
      </c>
      <c r="J497" s="51">
        <f t="shared" si="11"/>
        <v>737.8107</v>
      </c>
      <c r="K497" s="51">
        <f t="shared" si="12"/>
        <v>670.737</v>
      </c>
      <c r="L497" s="8">
        <f t="shared" si="3"/>
        <v>6.794147237</v>
      </c>
      <c r="M497" s="8">
        <f t="shared" si="4"/>
        <v>2.038244171</v>
      </c>
      <c r="N497" s="8">
        <f t="shared" si="5"/>
        <v>0.4076488342</v>
      </c>
      <c r="O497" s="8">
        <f t="shared" si="6"/>
        <v>1.341474</v>
      </c>
      <c r="P497" s="8">
        <f t="shared" si="7"/>
        <v>2.012211</v>
      </c>
      <c r="Q497" s="8">
        <f t="shared" si="8"/>
        <v>0.670737</v>
      </c>
      <c r="R497" s="57"/>
      <c r="S497" s="57"/>
      <c r="T497" s="57"/>
      <c r="U497" s="57"/>
      <c r="V497" s="57"/>
      <c r="W497" s="57"/>
      <c r="X497" s="57"/>
      <c r="Y497" s="57"/>
    </row>
    <row r="498" ht="34.5" customHeight="1">
      <c r="A498" s="24" t="s">
        <v>560</v>
      </c>
      <c r="B498" s="50" t="s">
        <v>561</v>
      </c>
      <c r="C498" s="50" t="s">
        <v>562</v>
      </c>
      <c r="D498" s="42" t="s">
        <v>565</v>
      </c>
      <c r="E498" s="42">
        <v>761.0</v>
      </c>
      <c r="F498" s="43">
        <v>36.51</v>
      </c>
      <c r="G498" s="42">
        <v>15.0</v>
      </c>
      <c r="H498" s="43">
        <v>54.18</v>
      </c>
      <c r="I498" s="43">
        <v>64.63</v>
      </c>
      <c r="J498" s="51">
        <f t="shared" si="11"/>
        <v>531.47479</v>
      </c>
      <c r="K498" s="51">
        <f t="shared" si="12"/>
        <v>483.1589</v>
      </c>
      <c r="L498" s="8">
        <f t="shared" si="3"/>
        <v>4.894098142</v>
      </c>
      <c r="M498" s="8">
        <f t="shared" si="4"/>
        <v>1.468229443</v>
      </c>
      <c r="N498" s="8">
        <f t="shared" si="5"/>
        <v>0.2936458885</v>
      </c>
      <c r="O498" s="8">
        <f t="shared" si="6"/>
        <v>0.9663178</v>
      </c>
      <c r="P498" s="8">
        <f t="shared" si="7"/>
        <v>1.4494767</v>
      </c>
      <c r="Q498" s="8">
        <f t="shared" si="8"/>
        <v>0.4831589</v>
      </c>
      <c r="R498" s="57"/>
      <c r="S498" s="57"/>
      <c r="T498" s="57"/>
      <c r="U498" s="57"/>
      <c r="V498" s="57"/>
      <c r="W498" s="57"/>
      <c r="X498" s="57"/>
      <c r="Y498" s="57"/>
    </row>
    <row r="499" ht="34.5" customHeight="1">
      <c r="A499" s="24" t="s">
        <v>560</v>
      </c>
      <c r="B499" s="50" t="s">
        <v>561</v>
      </c>
      <c r="C499" s="50" t="s">
        <v>562</v>
      </c>
      <c r="D499" s="42" t="s">
        <v>566</v>
      </c>
      <c r="E499" s="42">
        <v>25.0</v>
      </c>
      <c r="F499" s="43">
        <v>21.25</v>
      </c>
      <c r="G499" s="42">
        <v>2.0</v>
      </c>
      <c r="H499" s="43">
        <v>76.62</v>
      </c>
      <c r="I499" s="43">
        <v>100.0</v>
      </c>
      <c r="J499" s="51">
        <f t="shared" si="11"/>
        <v>21.65625</v>
      </c>
      <c r="K499" s="51">
        <f t="shared" si="12"/>
        <v>19.6875</v>
      </c>
      <c r="L499" s="8">
        <f t="shared" si="3"/>
        <v>0.199422089</v>
      </c>
      <c r="M499" s="8">
        <f t="shared" si="4"/>
        <v>0.05982662671</v>
      </c>
      <c r="N499" s="8">
        <f t="shared" si="5"/>
        <v>0.01196532534</v>
      </c>
      <c r="O499" s="8">
        <f t="shared" si="6"/>
        <v>0.039375</v>
      </c>
      <c r="P499" s="8">
        <f t="shared" si="7"/>
        <v>0.0590625</v>
      </c>
      <c r="Q499" s="8">
        <f t="shared" si="8"/>
        <v>0.0196875</v>
      </c>
      <c r="R499" s="57"/>
      <c r="S499" s="57"/>
      <c r="T499" s="57"/>
      <c r="U499" s="57"/>
      <c r="V499" s="57"/>
      <c r="W499" s="57"/>
      <c r="X499" s="57"/>
      <c r="Y499" s="57"/>
    </row>
    <row r="500" ht="34.5" customHeight="1">
      <c r="A500" s="24" t="s">
        <v>560</v>
      </c>
      <c r="B500" s="50" t="s">
        <v>561</v>
      </c>
      <c r="C500" s="50" t="s">
        <v>567</v>
      </c>
      <c r="D500" s="42" t="s">
        <v>568</v>
      </c>
      <c r="E500" s="42">
        <v>273.0</v>
      </c>
      <c r="F500" s="43">
        <v>43.96</v>
      </c>
      <c r="G500" s="42">
        <v>7.0</v>
      </c>
      <c r="H500" s="43">
        <v>28.13</v>
      </c>
      <c r="I500" s="43">
        <v>28.13</v>
      </c>
      <c r="J500" s="51">
        <f t="shared" si="11"/>
        <v>168.28812</v>
      </c>
      <c r="K500" s="51">
        <f t="shared" si="12"/>
        <v>152.9892</v>
      </c>
      <c r="L500" s="8">
        <f t="shared" si="3"/>
        <v>1.549685123</v>
      </c>
      <c r="M500" s="8">
        <f t="shared" si="4"/>
        <v>0.464905537</v>
      </c>
      <c r="N500" s="8">
        <f t="shared" si="5"/>
        <v>0.0929811074</v>
      </c>
      <c r="O500" s="8">
        <f t="shared" si="6"/>
        <v>0.3059784</v>
      </c>
      <c r="P500" s="8">
        <f t="shared" si="7"/>
        <v>0.4589676</v>
      </c>
      <c r="Q500" s="8">
        <f t="shared" si="8"/>
        <v>0.1529892</v>
      </c>
      <c r="R500" s="57"/>
      <c r="S500" s="57"/>
      <c r="T500" s="57"/>
      <c r="U500" s="57"/>
      <c r="V500" s="57"/>
      <c r="W500" s="57"/>
      <c r="X500" s="57"/>
      <c r="Y500" s="57"/>
    </row>
    <row r="501" ht="34.5" customHeight="1">
      <c r="A501" s="24" t="s">
        <v>560</v>
      </c>
      <c r="B501" s="50" t="s">
        <v>561</v>
      </c>
      <c r="C501" s="50" t="s">
        <v>567</v>
      </c>
      <c r="D501" s="42" t="s">
        <v>569</v>
      </c>
      <c r="E501" s="42">
        <v>281.0</v>
      </c>
      <c r="F501" s="43">
        <v>24.17</v>
      </c>
      <c r="G501" s="42">
        <v>5.0</v>
      </c>
      <c r="H501" s="43">
        <v>16.61</v>
      </c>
      <c r="I501" s="43">
        <v>35.82</v>
      </c>
      <c r="J501" s="51">
        <f t="shared" si="11"/>
        <v>234.39053</v>
      </c>
      <c r="K501" s="51">
        <f t="shared" si="12"/>
        <v>213.0823</v>
      </c>
      <c r="L501" s="8">
        <f t="shared" si="3"/>
        <v>2.158390725</v>
      </c>
      <c r="M501" s="8">
        <f t="shared" si="4"/>
        <v>0.6475172176</v>
      </c>
      <c r="N501" s="8">
        <f t="shared" si="5"/>
        <v>0.1295034435</v>
      </c>
      <c r="O501" s="8">
        <f t="shared" si="6"/>
        <v>0.4261646</v>
      </c>
      <c r="P501" s="8">
        <f t="shared" si="7"/>
        <v>0.6392469</v>
      </c>
      <c r="Q501" s="8">
        <f t="shared" si="8"/>
        <v>0.2130823</v>
      </c>
      <c r="R501" s="57"/>
      <c r="S501" s="57"/>
      <c r="T501" s="57"/>
      <c r="U501" s="57"/>
      <c r="V501" s="57"/>
      <c r="W501" s="57"/>
      <c r="X501" s="57"/>
      <c r="Y501" s="57"/>
    </row>
    <row r="502" ht="34.5" customHeight="1">
      <c r="A502" s="24" t="s">
        <v>560</v>
      </c>
      <c r="B502" s="50" t="s">
        <v>561</v>
      </c>
      <c r="C502" s="50" t="s">
        <v>567</v>
      </c>
      <c r="D502" s="42" t="s">
        <v>570</v>
      </c>
      <c r="E502" s="42">
        <v>203.0</v>
      </c>
      <c r="F502" s="43">
        <v>51.78</v>
      </c>
      <c r="G502" s="42">
        <v>3.0</v>
      </c>
      <c r="H502" s="43">
        <v>42.71</v>
      </c>
      <c r="I502" s="43">
        <v>42.71</v>
      </c>
      <c r="J502" s="51">
        <f t="shared" si="11"/>
        <v>107.67526</v>
      </c>
      <c r="K502" s="51">
        <f t="shared" si="12"/>
        <v>97.8866</v>
      </c>
      <c r="L502" s="8">
        <f t="shared" si="3"/>
        <v>0.991530172</v>
      </c>
      <c r="M502" s="8">
        <f t="shared" si="4"/>
        <v>0.2974590516</v>
      </c>
      <c r="N502" s="8">
        <f t="shared" si="5"/>
        <v>0.05949181032</v>
      </c>
      <c r="O502" s="8">
        <f t="shared" si="6"/>
        <v>0.1957732</v>
      </c>
      <c r="P502" s="8">
        <f t="shared" si="7"/>
        <v>0.2936598</v>
      </c>
      <c r="Q502" s="8">
        <f t="shared" si="8"/>
        <v>0.0978866</v>
      </c>
      <c r="R502" s="57"/>
      <c r="S502" s="57"/>
      <c r="T502" s="57"/>
      <c r="U502" s="57"/>
      <c r="V502" s="57"/>
      <c r="W502" s="57"/>
      <c r="X502" s="57"/>
      <c r="Y502" s="57"/>
    </row>
    <row r="503" ht="34.5" customHeight="1">
      <c r="A503" s="24" t="s">
        <v>560</v>
      </c>
      <c r="B503" s="50" t="s">
        <v>561</v>
      </c>
      <c r="C503" s="50" t="s">
        <v>567</v>
      </c>
      <c r="D503" s="42" t="s">
        <v>567</v>
      </c>
      <c r="E503" s="42">
        <v>3148.0</v>
      </c>
      <c r="F503" s="43">
        <v>47.16</v>
      </c>
      <c r="G503" s="42">
        <v>33.0</v>
      </c>
      <c r="H503" s="43">
        <v>31.56</v>
      </c>
      <c r="I503" s="43">
        <v>38.12</v>
      </c>
      <c r="J503" s="51">
        <f t="shared" si="11"/>
        <v>1829.74352</v>
      </c>
      <c r="K503" s="51">
        <f t="shared" si="12"/>
        <v>1663.4032</v>
      </c>
      <c r="L503" s="8">
        <f t="shared" si="3"/>
        <v>16.84923637</v>
      </c>
      <c r="M503" s="8">
        <f t="shared" si="4"/>
        <v>5.054770911</v>
      </c>
      <c r="N503" s="8">
        <f t="shared" si="5"/>
        <v>1.010954182</v>
      </c>
      <c r="O503" s="8">
        <f t="shared" si="6"/>
        <v>3.3268064</v>
      </c>
      <c r="P503" s="8">
        <f t="shared" si="7"/>
        <v>4.9902096</v>
      </c>
      <c r="Q503" s="8">
        <f t="shared" si="8"/>
        <v>1.6634032</v>
      </c>
      <c r="R503" s="57"/>
      <c r="S503" s="57"/>
      <c r="T503" s="57"/>
      <c r="U503" s="57"/>
      <c r="V503" s="57"/>
      <c r="W503" s="57"/>
      <c r="X503" s="57"/>
      <c r="Y503" s="57"/>
    </row>
    <row r="504" ht="34.5" customHeight="1">
      <c r="A504" s="24" t="s">
        <v>560</v>
      </c>
      <c r="B504" s="50" t="s">
        <v>561</v>
      </c>
      <c r="C504" s="50" t="s">
        <v>561</v>
      </c>
      <c r="D504" s="42" t="s">
        <v>571</v>
      </c>
      <c r="E504" s="42">
        <v>30.0</v>
      </c>
      <c r="F504" s="43">
        <v>54.18</v>
      </c>
      <c r="G504" s="42">
        <v>1.0</v>
      </c>
      <c r="H504" s="43">
        <v>40.98</v>
      </c>
      <c r="I504" s="43">
        <v>59.72</v>
      </c>
      <c r="J504" s="51">
        <f t="shared" si="11"/>
        <v>15.1206</v>
      </c>
      <c r="K504" s="51">
        <f t="shared" si="12"/>
        <v>13.746</v>
      </c>
      <c r="L504" s="8">
        <f t="shared" si="3"/>
        <v>0.1392384018</v>
      </c>
      <c r="M504" s="8">
        <f t="shared" si="4"/>
        <v>0.04177152055</v>
      </c>
      <c r="N504" s="8">
        <f t="shared" si="5"/>
        <v>0.00835430411</v>
      </c>
      <c r="O504" s="8">
        <f t="shared" si="6"/>
        <v>0.027492</v>
      </c>
      <c r="P504" s="8">
        <f t="shared" si="7"/>
        <v>0.041238</v>
      </c>
      <c r="Q504" s="8">
        <f t="shared" si="8"/>
        <v>0.013746</v>
      </c>
      <c r="R504" s="57"/>
      <c r="S504" s="57"/>
      <c r="T504" s="57"/>
      <c r="U504" s="57"/>
      <c r="V504" s="57"/>
      <c r="W504" s="57"/>
      <c r="X504" s="57"/>
      <c r="Y504" s="57"/>
    </row>
    <row r="505" ht="34.5" customHeight="1">
      <c r="A505" s="24" t="s">
        <v>560</v>
      </c>
      <c r="B505" s="50" t="s">
        <v>561</v>
      </c>
      <c r="C505" s="50" t="s">
        <v>561</v>
      </c>
      <c r="D505" s="42" t="s">
        <v>572</v>
      </c>
      <c r="E505" s="42">
        <v>619.0</v>
      </c>
      <c r="F505" s="43">
        <v>46.24</v>
      </c>
      <c r="G505" s="42">
        <v>7.0</v>
      </c>
      <c r="H505" s="43">
        <v>12.37</v>
      </c>
      <c r="I505" s="43">
        <v>33.51</v>
      </c>
      <c r="J505" s="51">
        <f t="shared" si="11"/>
        <v>366.05184</v>
      </c>
      <c r="K505" s="51">
        <f t="shared" si="12"/>
        <v>332.7744</v>
      </c>
      <c r="L505" s="8">
        <f t="shared" si="3"/>
        <v>3.370797005</v>
      </c>
      <c r="M505" s="8">
        <f t="shared" si="4"/>
        <v>1.011239101</v>
      </c>
      <c r="N505" s="8">
        <f t="shared" si="5"/>
        <v>0.2022478203</v>
      </c>
      <c r="O505" s="8">
        <f t="shared" si="6"/>
        <v>0.6655488</v>
      </c>
      <c r="P505" s="8">
        <f t="shared" si="7"/>
        <v>0.9983232</v>
      </c>
      <c r="Q505" s="8">
        <f t="shared" si="8"/>
        <v>0.3327744</v>
      </c>
      <c r="R505" s="57"/>
      <c r="S505" s="57"/>
      <c r="T505" s="57"/>
      <c r="U505" s="57"/>
      <c r="V505" s="57"/>
      <c r="W505" s="57"/>
      <c r="X505" s="57"/>
      <c r="Y505" s="57"/>
    </row>
    <row r="506" ht="34.5" customHeight="1">
      <c r="A506" s="24" t="s">
        <v>560</v>
      </c>
      <c r="B506" s="50" t="s">
        <v>561</v>
      </c>
      <c r="C506" s="50" t="s">
        <v>561</v>
      </c>
      <c r="D506" s="42" t="s">
        <v>573</v>
      </c>
      <c r="E506" s="42">
        <v>178.0</v>
      </c>
      <c r="F506" s="43">
        <v>39.91</v>
      </c>
      <c r="G506" s="42">
        <v>5.0</v>
      </c>
      <c r="H506" s="43">
        <v>20.07</v>
      </c>
      <c r="I506" s="43">
        <v>54.97</v>
      </c>
      <c r="J506" s="51">
        <f t="shared" si="11"/>
        <v>117.65622</v>
      </c>
      <c r="K506" s="51">
        <f t="shared" si="12"/>
        <v>106.9602</v>
      </c>
      <c r="L506" s="8">
        <f t="shared" si="3"/>
        <v>1.083440078</v>
      </c>
      <c r="M506" s="8">
        <f t="shared" si="4"/>
        <v>0.3250320233</v>
      </c>
      <c r="N506" s="8">
        <f t="shared" si="5"/>
        <v>0.06500640466</v>
      </c>
      <c r="O506" s="8">
        <f t="shared" si="6"/>
        <v>0.2139204</v>
      </c>
      <c r="P506" s="8">
        <f t="shared" si="7"/>
        <v>0.3208806</v>
      </c>
      <c r="Q506" s="8">
        <f t="shared" si="8"/>
        <v>0.1069602</v>
      </c>
      <c r="R506" s="57"/>
      <c r="S506" s="57"/>
      <c r="T506" s="57"/>
      <c r="U506" s="57"/>
      <c r="V506" s="57"/>
      <c r="W506" s="57"/>
      <c r="X506" s="57"/>
      <c r="Y506" s="57"/>
    </row>
    <row r="507" ht="34.5" customHeight="1">
      <c r="A507" s="24" t="s">
        <v>560</v>
      </c>
      <c r="B507" s="50" t="s">
        <v>561</v>
      </c>
      <c r="C507" s="50" t="s">
        <v>561</v>
      </c>
      <c r="D507" s="42" t="s">
        <v>574</v>
      </c>
      <c r="E507" s="42">
        <v>180.0</v>
      </c>
      <c r="F507" s="43">
        <v>22.5</v>
      </c>
      <c r="G507" s="42">
        <v>4.0</v>
      </c>
      <c r="H507" s="43">
        <v>58.24</v>
      </c>
      <c r="I507" s="43">
        <v>58.24</v>
      </c>
      <c r="J507" s="51">
        <f t="shared" si="11"/>
        <v>153.45</v>
      </c>
      <c r="K507" s="51">
        <f t="shared" si="12"/>
        <v>139.5</v>
      </c>
      <c r="L507" s="8">
        <f t="shared" si="3"/>
        <v>1.413047945</v>
      </c>
      <c r="M507" s="8">
        <f t="shared" si="4"/>
        <v>0.4239143836</v>
      </c>
      <c r="N507" s="8">
        <f t="shared" si="5"/>
        <v>0.08478287671</v>
      </c>
      <c r="O507" s="8">
        <f t="shared" si="6"/>
        <v>0.279</v>
      </c>
      <c r="P507" s="8">
        <f t="shared" si="7"/>
        <v>0.4185</v>
      </c>
      <c r="Q507" s="8">
        <f t="shared" si="8"/>
        <v>0.1395</v>
      </c>
      <c r="R507" s="57"/>
      <c r="S507" s="57"/>
      <c r="T507" s="57"/>
      <c r="U507" s="57"/>
      <c r="V507" s="57"/>
      <c r="W507" s="57"/>
      <c r="X507" s="57"/>
      <c r="Y507" s="57"/>
    </row>
    <row r="508" ht="34.5" customHeight="1">
      <c r="A508" s="24" t="s">
        <v>560</v>
      </c>
      <c r="B508" s="50" t="s">
        <v>561</v>
      </c>
      <c r="C508" s="50" t="s">
        <v>561</v>
      </c>
      <c r="D508" s="42" t="s">
        <v>575</v>
      </c>
      <c r="E508" s="42">
        <v>40.0</v>
      </c>
      <c r="F508" s="43">
        <v>24.7</v>
      </c>
      <c r="G508" s="42">
        <v>2.0</v>
      </c>
      <c r="H508" s="43">
        <v>0.0</v>
      </c>
      <c r="I508" s="43">
        <v>85.89</v>
      </c>
      <c r="J508" s="51">
        <f t="shared" si="11"/>
        <v>33.132</v>
      </c>
      <c r="K508" s="51">
        <f t="shared" si="12"/>
        <v>30.12</v>
      </c>
      <c r="L508" s="8">
        <f t="shared" si="3"/>
        <v>0.3050968037</v>
      </c>
      <c r="M508" s="8">
        <f t="shared" si="4"/>
        <v>0.0915290411</v>
      </c>
      <c r="N508" s="8">
        <f t="shared" si="5"/>
        <v>0.01830580822</v>
      </c>
      <c r="O508" s="8">
        <f t="shared" si="6"/>
        <v>0.06024</v>
      </c>
      <c r="P508" s="8">
        <f t="shared" si="7"/>
        <v>0.09036</v>
      </c>
      <c r="Q508" s="8">
        <f t="shared" si="8"/>
        <v>0.03012</v>
      </c>
      <c r="R508" s="57"/>
      <c r="S508" s="57"/>
      <c r="T508" s="57"/>
      <c r="U508" s="57"/>
      <c r="V508" s="57"/>
      <c r="W508" s="57"/>
      <c r="X508" s="57"/>
      <c r="Y508" s="57"/>
    </row>
    <row r="509" ht="34.5" customHeight="1">
      <c r="A509" s="24" t="s">
        <v>560</v>
      </c>
      <c r="B509" s="50" t="s">
        <v>561</v>
      </c>
      <c r="C509" s="50" t="s">
        <v>561</v>
      </c>
      <c r="D509" s="42" t="s">
        <v>561</v>
      </c>
      <c r="E509" s="42">
        <v>4821.0</v>
      </c>
      <c r="F509" s="43">
        <v>52.43</v>
      </c>
      <c r="G509" s="42">
        <v>70.0</v>
      </c>
      <c r="H509" s="43">
        <v>40.98</v>
      </c>
      <c r="I509" s="43">
        <v>59.72</v>
      </c>
      <c r="J509" s="51">
        <f t="shared" si="11"/>
        <v>2522.68467</v>
      </c>
      <c r="K509" s="51">
        <f t="shared" si="12"/>
        <v>2293.3497</v>
      </c>
      <c r="L509" s="8">
        <f t="shared" si="3"/>
        <v>23.2302013</v>
      </c>
      <c r="M509" s="8">
        <f t="shared" si="4"/>
        <v>6.96906039</v>
      </c>
      <c r="N509" s="8">
        <f t="shared" si="5"/>
        <v>1.393812078</v>
      </c>
      <c r="O509" s="8">
        <f t="shared" si="6"/>
        <v>4.5866994</v>
      </c>
      <c r="P509" s="8">
        <f t="shared" si="7"/>
        <v>6.8800491</v>
      </c>
      <c r="Q509" s="8">
        <f t="shared" si="8"/>
        <v>2.2933497</v>
      </c>
      <c r="R509" s="57"/>
      <c r="S509" s="57"/>
      <c r="T509" s="57"/>
      <c r="U509" s="57"/>
      <c r="V509" s="57"/>
      <c r="W509" s="57"/>
      <c r="X509" s="57"/>
      <c r="Y509" s="57"/>
    </row>
    <row r="510" ht="34.5" customHeight="1">
      <c r="A510" s="24" t="s">
        <v>560</v>
      </c>
      <c r="B510" s="50" t="s">
        <v>561</v>
      </c>
      <c r="C510" s="50" t="s">
        <v>561</v>
      </c>
      <c r="D510" s="42" t="s">
        <v>576</v>
      </c>
      <c r="E510" s="42">
        <v>96.0</v>
      </c>
      <c r="F510" s="43">
        <v>42.88</v>
      </c>
      <c r="G510" s="42">
        <v>2.0</v>
      </c>
      <c r="H510" s="43">
        <v>0.0</v>
      </c>
      <c r="I510" s="43">
        <v>100.0</v>
      </c>
      <c r="J510" s="51">
        <f t="shared" si="11"/>
        <v>60.31872</v>
      </c>
      <c r="K510" s="51">
        <f t="shared" si="12"/>
        <v>54.8352</v>
      </c>
      <c r="L510" s="8">
        <f t="shared" si="3"/>
        <v>0.5554463562</v>
      </c>
      <c r="M510" s="8">
        <f t="shared" si="4"/>
        <v>0.1666339068</v>
      </c>
      <c r="N510" s="8">
        <f t="shared" si="5"/>
        <v>0.03332678137</v>
      </c>
      <c r="O510" s="8">
        <f t="shared" si="6"/>
        <v>0.1096704</v>
      </c>
      <c r="P510" s="8">
        <f t="shared" si="7"/>
        <v>0.1645056</v>
      </c>
      <c r="Q510" s="8">
        <f t="shared" si="8"/>
        <v>0.0548352</v>
      </c>
      <c r="R510" s="57"/>
      <c r="S510" s="57"/>
      <c r="T510" s="57"/>
      <c r="U510" s="57"/>
      <c r="V510" s="57"/>
      <c r="W510" s="57"/>
      <c r="X510" s="57"/>
      <c r="Y510" s="57"/>
    </row>
    <row r="511" ht="34.5" customHeight="1">
      <c r="A511" s="24" t="s">
        <v>560</v>
      </c>
      <c r="B511" s="50" t="s">
        <v>561</v>
      </c>
      <c r="C511" s="50" t="s">
        <v>561</v>
      </c>
      <c r="D511" s="42" t="s">
        <v>577</v>
      </c>
      <c r="E511" s="42">
        <v>342.0</v>
      </c>
      <c r="F511" s="43">
        <v>48.46</v>
      </c>
      <c r="G511" s="42">
        <v>3.0</v>
      </c>
      <c r="H511" s="43">
        <v>9.79</v>
      </c>
      <c r="I511" s="43">
        <v>41.3</v>
      </c>
      <c r="J511" s="51">
        <f t="shared" si="11"/>
        <v>193.89348</v>
      </c>
      <c r="K511" s="51">
        <f t="shared" si="12"/>
        <v>176.2668</v>
      </c>
      <c r="L511" s="8">
        <f t="shared" si="3"/>
        <v>1.785472685</v>
      </c>
      <c r="M511" s="8">
        <f t="shared" si="4"/>
        <v>0.5356418055</v>
      </c>
      <c r="N511" s="8">
        <f t="shared" si="5"/>
        <v>0.1071283611</v>
      </c>
      <c r="O511" s="8">
        <f t="shared" si="6"/>
        <v>0.3525336</v>
      </c>
      <c r="P511" s="8">
        <f t="shared" si="7"/>
        <v>0.5288004</v>
      </c>
      <c r="Q511" s="8">
        <f t="shared" si="8"/>
        <v>0.1762668</v>
      </c>
      <c r="R511" s="57"/>
      <c r="S511" s="57"/>
      <c r="T511" s="57"/>
      <c r="U511" s="57"/>
      <c r="V511" s="57"/>
      <c r="W511" s="57"/>
      <c r="X511" s="57"/>
      <c r="Y511" s="57"/>
    </row>
    <row r="512" ht="34.5" customHeight="1">
      <c r="A512" s="24" t="s">
        <v>560</v>
      </c>
      <c r="B512" s="50" t="s">
        <v>561</v>
      </c>
      <c r="C512" s="50" t="s">
        <v>561</v>
      </c>
      <c r="D512" s="42" t="s">
        <v>578</v>
      </c>
      <c r="E512" s="42">
        <v>80.0</v>
      </c>
      <c r="F512" s="43">
        <v>49.73</v>
      </c>
      <c r="G512" s="42">
        <v>2.0</v>
      </c>
      <c r="H512" s="43">
        <v>41.64</v>
      </c>
      <c r="I512" s="43">
        <v>100.0</v>
      </c>
      <c r="J512" s="51">
        <f t="shared" si="11"/>
        <v>44.2376</v>
      </c>
      <c r="K512" s="51">
        <f t="shared" si="12"/>
        <v>40.216</v>
      </c>
      <c r="L512" s="8">
        <f t="shared" si="3"/>
        <v>0.4073629833</v>
      </c>
      <c r="M512" s="8">
        <f t="shared" si="4"/>
        <v>0.122208895</v>
      </c>
      <c r="N512" s="8">
        <f t="shared" si="5"/>
        <v>0.024441779</v>
      </c>
      <c r="O512" s="8">
        <f t="shared" si="6"/>
        <v>0.080432</v>
      </c>
      <c r="P512" s="8">
        <f t="shared" si="7"/>
        <v>0.120648</v>
      </c>
      <c r="Q512" s="8">
        <f t="shared" si="8"/>
        <v>0.040216</v>
      </c>
      <c r="R512" s="57"/>
      <c r="S512" s="57"/>
      <c r="T512" s="57"/>
      <c r="U512" s="57"/>
      <c r="V512" s="57"/>
      <c r="W512" s="57"/>
      <c r="X512" s="57"/>
      <c r="Y512" s="57"/>
    </row>
    <row r="513" ht="34.5" customHeight="1">
      <c r="A513" s="24" t="s">
        <v>560</v>
      </c>
      <c r="B513" s="50" t="s">
        <v>561</v>
      </c>
      <c r="C513" s="50" t="s">
        <v>561</v>
      </c>
      <c r="D513" s="42" t="s">
        <v>579</v>
      </c>
      <c r="E513" s="42">
        <v>65.0</v>
      </c>
      <c r="F513" s="43">
        <v>13.95</v>
      </c>
      <c r="G513" s="42">
        <v>2.0</v>
      </c>
      <c r="H513" s="43">
        <v>0.0</v>
      </c>
      <c r="I513" s="43">
        <v>48.6</v>
      </c>
      <c r="J513" s="51">
        <f t="shared" si="11"/>
        <v>61.52575</v>
      </c>
      <c r="K513" s="51">
        <f t="shared" si="12"/>
        <v>55.9325</v>
      </c>
      <c r="L513" s="8">
        <f t="shared" si="3"/>
        <v>0.5665613204</v>
      </c>
      <c r="M513" s="8">
        <f t="shared" si="4"/>
        <v>0.1699683961</v>
      </c>
      <c r="N513" s="8">
        <f t="shared" si="5"/>
        <v>0.03399367922</v>
      </c>
      <c r="O513" s="8">
        <f t="shared" si="6"/>
        <v>0.111865</v>
      </c>
      <c r="P513" s="8">
        <f t="shared" si="7"/>
        <v>0.1677975</v>
      </c>
      <c r="Q513" s="8">
        <f t="shared" si="8"/>
        <v>0.0559325</v>
      </c>
      <c r="R513" s="57"/>
      <c r="S513" s="57"/>
      <c r="T513" s="57"/>
      <c r="U513" s="57"/>
      <c r="V513" s="57"/>
      <c r="W513" s="57"/>
      <c r="X513" s="57"/>
      <c r="Y513" s="57"/>
    </row>
    <row r="514" ht="34.5" customHeight="1">
      <c r="A514" s="24" t="s">
        <v>560</v>
      </c>
      <c r="B514" s="50" t="s">
        <v>561</v>
      </c>
      <c r="C514" s="50" t="s">
        <v>561</v>
      </c>
      <c r="D514" s="42" t="s">
        <v>580</v>
      </c>
      <c r="E514" s="42">
        <v>392.0</v>
      </c>
      <c r="F514" s="43">
        <v>21.77</v>
      </c>
      <c r="G514" s="42">
        <v>9.0</v>
      </c>
      <c r="H514" s="43">
        <v>40.98</v>
      </c>
      <c r="I514" s="43">
        <v>59.72</v>
      </c>
      <c r="J514" s="51">
        <f t="shared" si="11"/>
        <v>337.32776</v>
      </c>
      <c r="K514" s="51">
        <f t="shared" si="12"/>
        <v>306.6616</v>
      </c>
      <c r="L514" s="8">
        <f t="shared" si="3"/>
        <v>3.106290636</v>
      </c>
      <c r="M514" s="8">
        <f t="shared" si="4"/>
        <v>0.9318871909</v>
      </c>
      <c r="N514" s="8">
        <f t="shared" si="5"/>
        <v>0.1863774382</v>
      </c>
      <c r="O514" s="8">
        <f t="shared" si="6"/>
        <v>0.6133232</v>
      </c>
      <c r="P514" s="8">
        <f t="shared" si="7"/>
        <v>0.9199848</v>
      </c>
      <c r="Q514" s="8">
        <f t="shared" si="8"/>
        <v>0.3066616</v>
      </c>
      <c r="R514" s="57"/>
      <c r="S514" s="57"/>
      <c r="T514" s="57"/>
      <c r="U514" s="57"/>
      <c r="V514" s="57"/>
      <c r="W514" s="57"/>
      <c r="X514" s="57"/>
      <c r="Y514" s="57"/>
    </row>
    <row r="515" ht="34.5" customHeight="1">
      <c r="A515" s="24" t="s">
        <v>560</v>
      </c>
      <c r="B515" s="50" t="s">
        <v>561</v>
      </c>
      <c r="C515" s="50" t="s">
        <v>581</v>
      </c>
      <c r="D515" s="42" t="s">
        <v>582</v>
      </c>
      <c r="E515" s="42">
        <v>52.0</v>
      </c>
      <c r="F515" s="43">
        <v>16.58</v>
      </c>
      <c r="G515" s="42">
        <v>2.0</v>
      </c>
      <c r="H515" s="43">
        <v>0.0</v>
      </c>
      <c r="I515" s="43">
        <v>100.0</v>
      </c>
      <c r="J515" s="51">
        <f t="shared" si="11"/>
        <v>47.71624</v>
      </c>
      <c r="K515" s="51">
        <f t="shared" si="12"/>
        <v>43.3784</v>
      </c>
      <c r="L515" s="8">
        <f t="shared" si="3"/>
        <v>0.4393961218</v>
      </c>
      <c r="M515" s="8">
        <f t="shared" si="4"/>
        <v>0.1318188365</v>
      </c>
      <c r="N515" s="8">
        <f t="shared" si="5"/>
        <v>0.02636376731</v>
      </c>
      <c r="O515" s="8">
        <f t="shared" si="6"/>
        <v>0.0867568</v>
      </c>
      <c r="P515" s="8">
        <f t="shared" si="7"/>
        <v>0.1301352</v>
      </c>
      <c r="Q515" s="8">
        <f t="shared" si="8"/>
        <v>0.0433784</v>
      </c>
      <c r="R515" s="57"/>
      <c r="S515" s="57"/>
      <c r="T515" s="57"/>
      <c r="U515" s="57"/>
      <c r="V515" s="57"/>
      <c r="W515" s="57"/>
      <c r="X515" s="57"/>
      <c r="Y515" s="57"/>
    </row>
    <row r="516" ht="34.5" customHeight="1">
      <c r="A516" s="24" t="s">
        <v>560</v>
      </c>
      <c r="B516" s="50" t="s">
        <v>561</v>
      </c>
      <c r="C516" s="50" t="s">
        <v>581</v>
      </c>
      <c r="D516" s="42" t="s">
        <v>583</v>
      </c>
      <c r="E516" s="42">
        <v>40.0</v>
      </c>
      <c r="F516" s="43">
        <v>29.34</v>
      </c>
      <c r="G516" s="42">
        <v>2.0</v>
      </c>
      <c r="H516" s="43">
        <v>0.0</v>
      </c>
      <c r="I516" s="43">
        <v>73.98</v>
      </c>
      <c r="J516" s="51">
        <f t="shared" si="11"/>
        <v>31.0904</v>
      </c>
      <c r="K516" s="51">
        <f t="shared" si="12"/>
        <v>28.264</v>
      </c>
      <c r="L516" s="8">
        <f t="shared" si="3"/>
        <v>0.2862966819</v>
      </c>
      <c r="M516" s="8">
        <f t="shared" si="4"/>
        <v>0.08588900457</v>
      </c>
      <c r="N516" s="8">
        <f t="shared" si="5"/>
        <v>0.01717780091</v>
      </c>
      <c r="O516" s="8">
        <f t="shared" si="6"/>
        <v>0.056528</v>
      </c>
      <c r="P516" s="8">
        <f t="shared" si="7"/>
        <v>0.084792</v>
      </c>
      <c r="Q516" s="8">
        <f t="shared" si="8"/>
        <v>0.028264</v>
      </c>
      <c r="R516" s="57"/>
      <c r="S516" s="57"/>
      <c r="T516" s="57"/>
      <c r="U516" s="57"/>
      <c r="V516" s="57"/>
      <c r="W516" s="57"/>
      <c r="X516" s="57"/>
      <c r="Y516" s="57"/>
    </row>
    <row r="517" ht="34.5" customHeight="1">
      <c r="A517" s="24" t="s">
        <v>560</v>
      </c>
      <c r="B517" s="50" t="s">
        <v>561</v>
      </c>
      <c r="C517" s="50" t="s">
        <v>581</v>
      </c>
      <c r="D517" s="42" t="s">
        <v>584</v>
      </c>
      <c r="E517" s="42">
        <v>85.0</v>
      </c>
      <c r="F517" s="43">
        <v>26.76</v>
      </c>
      <c r="G517" s="42">
        <v>2.0</v>
      </c>
      <c r="H517" s="43">
        <v>45.72</v>
      </c>
      <c r="I517" s="43">
        <v>100.0</v>
      </c>
      <c r="J517" s="51">
        <f t="shared" si="11"/>
        <v>68.4794</v>
      </c>
      <c r="K517" s="51">
        <f t="shared" si="12"/>
        <v>62.254</v>
      </c>
      <c r="L517" s="8">
        <f t="shared" si="3"/>
        <v>0.6305941705</v>
      </c>
      <c r="M517" s="8">
        <f t="shared" si="4"/>
        <v>0.1891782511</v>
      </c>
      <c r="N517" s="8">
        <f t="shared" si="5"/>
        <v>0.03783565023</v>
      </c>
      <c r="O517" s="8">
        <f t="shared" si="6"/>
        <v>0.124508</v>
      </c>
      <c r="P517" s="8">
        <f t="shared" si="7"/>
        <v>0.186762</v>
      </c>
      <c r="Q517" s="8">
        <f t="shared" si="8"/>
        <v>0.062254</v>
      </c>
      <c r="R517" s="57"/>
      <c r="S517" s="57"/>
      <c r="T517" s="57"/>
      <c r="U517" s="57"/>
      <c r="V517" s="57"/>
      <c r="W517" s="57"/>
      <c r="X517" s="57"/>
      <c r="Y517" s="57"/>
    </row>
    <row r="518" ht="34.5" customHeight="1">
      <c r="A518" s="24" t="s">
        <v>560</v>
      </c>
      <c r="B518" s="50" t="s">
        <v>561</v>
      </c>
      <c r="C518" s="50" t="s">
        <v>581</v>
      </c>
      <c r="D518" s="42" t="s">
        <v>585</v>
      </c>
      <c r="E518" s="42">
        <v>135.0</v>
      </c>
      <c r="F518" s="43">
        <v>17.61</v>
      </c>
      <c r="G518" s="42">
        <v>4.0</v>
      </c>
      <c r="H518" s="43">
        <v>38.0</v>
      </c>
      <c r="I518" s="43">
        <v>99.96</v>
      </c>
      <c r="J518" s="51">
        <f t="shared" si="11"/>
        <v>122.34915</v>
      </c>
      <c r="K518" s="51">
        <f t="shared" si="12"/>
        <v>111.2265</v>
      </c>
      <c r="L518" s="8">
        <f t="shared" si="3"/>
        <v>1.126655034</v>
      </c>
      <c r="M518" s="8">
        <f t="shared" si="4"/>
        <v>0.3379965103</v>
      </c>
      <c r="N518" s="8">
        <f t="shared" si="5"/>
        <v>0.06759930205</v>
      </c>
      <c r="O518" s="8">
        <f t="shared" si="6"/>
        <v>0.222453</v>
      </c>
      <c r="P518" s="8">
        <f t="shared" si="7"/>
        <v>0.3336795</v>
      </c>
      <c r="Q518" s="8">
        <f t="shared" si="8"/>
        <v>0.1112265</v>
      </c>
      <c r="R518" s="57"/>
      <c r="S518" s="57"/>
      <c r="T518" s="57"/>
      <c r="U518" s="57"/>
      <c r="V518" s="57"/>
      <c r="W518" s="57"/>
      <c r="X518" s="57"/>
      <c r="Y518" s="57"/>
    </row>
    <row r="519" ht="34.5" customHeight="1">
      <c r="A519" s="24" t="s">
        <v>560</v>
      </c>
      <c r="B519" s="50" t="s">
        <v>561</v>
      </c>
      <c r="C519" s="50" t="s">
        <v>581</v>
      </c>
      <c r="D519" s="42" t="s">
        <v>581</v>
      </c>
      <c r="E519" s="42">
        <v>2099.0</v>
      </c>
      <c r="F519" s="43">
        <v>46.73</v>
      </c>
      <c r="G519" s="42">
        <v>21.0</v>
      </c>
      <c r="H519" s="43">
        <v>38.44</v>
      </c>
      <c r="I519" s="43">
        <v>49.82</v>
      </c>
      <c r="J519" s="51">
        <f t="shared" si="11"/>
        <v>1229.95103</v>
      </c>
      <c r="K519" s="51">
        <f t="shared" si="12"/>
        <v>1118.1373</v>
      </c>
      <c r="L519" s="8">
        <f t="shared" si="3"/>
        <v>11.32603308</v>
      </c>
      <c r="M519" s="8">
        <f t="shared" si="4"/>
        <v>3.397809923</v>
      </c>
      <c r="N519" s="8">
        <f t="shared" si="5"/>
        <v>0.6795619846</v>
      </c>
      <c r="O519" s="8">
        <f t="shared" si="6"/>
        <v>2.2362746</v>
      </c>
      <c r="P519" s="8">
        <f t="shared" si="7"/>
        <v>3.3544119</v>
      </c>
      <c r="Q519" s="8">
        <f t="shared" si="8"/>
        <v>1.1181373</v>
      </c>
      <c r="R519" s="57"/>
      <c r="S519" s="57"/>
      <c r="T519" s="57"/>
      <c r="U519" s="57"/>
      <c r="V519" s="57"/>
      <c r="W519" s="57"/>
      <c r="X519" s="57"/>
      <c r="Y519" s="57"/>
    </row>
    <row r="520" ht="34.5" customHeight="1">
      <c r="A520" s="24" t="s">
        <v>560</v>
      </c>
      <c r="B520" s="50" t="s">
        <v>561</v>
      </c>
      <c r="C520" s="50" t="s">
        <v>581</v>
      </c>
      <c r="D520" s="42" t="s">
        <v>586</v>
      </c>
      <c r="E520" s="42">
        <v>301.0</v>
      </c>
      <c r="F520" s="43">
        <v>39.1</v>
      </c>
      <c r="G520" s="42">
        <v>5.0</v>
      </c>
      <c r="H520" s="43">
        <v>38.48</v>
      </c>
      <c r="I520" s="43">
        <v>83.76</v>
      </c>
      <c r="J520" s="51">
        <f t="shared" si="11"/>
        <v>201.6399</v>
      </c>
      <c r="K520" s="51">
        <f t="shared" si="12"/>
        <v>183.309</v>
      </c>
      <c r="L520" s="8">
        <f t="shared" si="3"/>
        <v>1.856805776</v>
      </c>
      <c r="M520" s="8">
        <f t="shared" si="4"/>
        <v>0.5570417329</v>
      </c>
      <c r="N520" s="8">
        <f t="shared" si="5"/>
        <v>0.1114083466</v>
      </c>
      <c r="O520" s="8">
        <f t="shared" si="6"/>
        <v>0.366618</v>
      </c>
      <c r="P520" s="8">
        <f t="shared" si="7"/>
        <v>0.549927</v>
      </c>
      <c r="Q520" s="8">
        <f t="shared" si="8"/>
        <v>0.183309</v>
      </c>
      <c r="R520" s="57"/>
      <c r="S520" s="57"/>
      <c r="T520" s="57"/>
      <c r="U520" s="57"/>
      <c r="V520" s="57"/>
      <c r="W520" s="57"/>
      <c r="X520" s="57"/>
      <c r="Y520" s="57"/>
    </row>
    <row r="521" ht="34.5" customHeight="1">
      <c r="A521" s="24" t="s">
        <v>587</v>
      </c>
      <c r="B521" s="50" t="s">
        <v>588</v>
      </c>
      <c r="C521" s="50" t="s">
        <v>589</v>
      </c>
      <c r="D521" s="50" t="s">
        <v>590</v>
      </c>
      <c r="E521" s="50">
        <v>221.0</v>
      </c>
      <c r="F521" s="49">
        <v>15.78</v>
      </c>
      <c r="G521" s="50">
        <v>4.0</v>
      </c>
      <c r="H521" s="49">
        <v>36.89</v>
      </c>
      <c r="I521" s="49">
        <v>100.0</v>
      </c>
      <c r="J521" s="51">
        <f t="shared" si="11"/>
        <v>204.73882</v>
      </c>
      <c r="K521" s="51">
        <f t="shared" si="12"/>
        <v>186.1262</v>
      </c>
      <c r="L521" s="8">
        <f t="shared" si="3"/>
        <v>1.885342254</v>
      </c>
      <c r="M521" s="8">
        <f t="shared" si="4"/>
        <v>0.5656026763</v>
      </c>
      <c r="N521" s="8">
        <f t="shared" si="5"/>
        <v>0.1131205353</v>
      </c>
      <c r="O521" s="8">
        <f t="shared" si="6"/>
        <v>0.3722524</v>
      </c>
      <c r="P521" s="8">
        <f t="shared" si="7"/>
        <v>0.5583786</v>
      </c>
      <c r="Q521" s="8">
        <f t="shared" si="8"/>
        <v>0.1861262</v>
      </c>
      <c r="R521" s="57"/>
      <c r="S521" s="57"/>
      <c r="T521" s="57"/>
      <c r="U521" s="57"/>
      <c r="V521" s="57"/>
      <c r="W521" s="57"/>
      <c r="X521" s="57"/>
      <c r="Y521" s="57"/>
    </row>
    <row r="522" ht="34.5" customHeight="1">
      <c r="A522" s="24" t="s">
        <v>587</v>
      </c>
      <c r="B522" s="50" t="s">
        <v>588</v>
      </c>
      <c r="C522" s="50" t="s">
        <v>591</v>
      </c>
      <c r="D522" s="50" t="s">
        <v>592</v>
      </c>
      <c r="E522" s="50">
        <v>2311.0</v>
      </c>
      <c r="F522" s="49">
        <v>54.32</v>
      </c>
      <c r="G522" s="50">
        <v>21.0</v>
      </c>
      <c r="H522" s="49">
        <v>14.4</v>
      </c>
      <c r="I522" s="49" t="s">
        <v>593</v>
      </c>
      <c r="J522" s="51">
        <f t="shared" si="11"/>
        <v>1161.23128</v>
      </c>
      <c r="K522" s="51">
        <f t="shared" si="12"/>
        <v>1055.6648</v>
      </c>
      <c r="L522" s="8">
        <f t="shared" si="3"/>
        <v>10.69322564</v>
      </c>
      <c r="M522" s="8">
        <f t="shared" si="4"/>
        <v>3.207967691</v>
      </c>
      <c r="N522" s="8">
        <f t="shared" si="5"/>
        <v>0.6415935383</v>
      </c>
      <c r="O522" s="8">
        <f t="shared" si="6"/>
        <v>2.1113296</v>
      </c>
      <c r="P522" s="8">
        <f t="shared" si="7"/>
        <v>3.1669944</v>
      </c>
      <c r="Q522" s="8">
        <f t="shared" si="8"/>
        <v>1.0556648</v>
      </c>
      <c r="R522" s="57"/>
      <c r="S522" s="57"/>
      <c r="T522" s="57"/>
      <c r="U522" s="57"/>
      <c r="V522" s="57"/>
      <c r="W522" s="57"/>
      <c r="X522" s="57"/>
      <c r="Y522" s="57"/>
    </row>
    <row r="523" ht="34.5" customHeight="1">
      <c r="A523" s="24" t="s">
        <v>587</v>
      </c>
      <c r="B523" s="50" t="s">
        <v>588</v>
      </c>
      <c r="C523" s="50" t="s">
        <v>589</v>
      </c>
      <c r="D523" s="50" t="s">
        <v>594</v>
      </c>
      <c r="E523" s="50">
        <v>721.0</v>
      </c>
      <c r="F523" s="49">
        <v>47.7</v>
      </c>
      <c r="G523" s="50">
        <v>16.0</v>
      </c>
      <c r="H523" s="49">
        <v>100.0</v>
      </c>
      <c r="I523" s="49">
        <v>100.0</v>
      </c>
      <c r="J523" s="51">
        <f t="shared" si="11"/>
        <v>414.7913</v>
      </c>
      <c r="K523" s="51">
        <f t="shared" si="12"/>
        <v>377.083</v>
      </c>
      <c r="L523" s="8">
        <f t="shared" si="3"/>
        <v>3.819615472</v>
      </c>
      <c r="M523" s="8">
        <f t="shared" si="4"/>
        <v>1.145884642</v>
      </c>
      <c r="N523" s="8">
        <f t="shared" si="5"/>
        <v>0.2291769283</v>
      </c>
      <c r="O523" s="8">
        <f t="shared" si="6"/>
        <v>0.754166</v>
      </c>
      <c r="P523" s="8">
        <f t="shared" si="7"/>
        <v>1.131249</v>
      </c>
      <c r="Q523" s="8">
        <f t="shared" si="8"/>
        <v>0.377083</v>
      </c>
      <c r="R523" s="57"/>
      <c r="S523" s="57"/>
      <c r="T523" s="57"/>
      <c r="U523" s="57"/>
      <c r="V523" s="57"/>
      <c r="W523" s="57"/>
      <c r="X523" s="57"/>
      <c r="Y523" s="57"/>
    </row>
    <row r="524" ht="34.5" customHeight="1">
      <c r="A524" s="24" t="s">
        <v>587</v>
      </c>
      <c r="B524" s="50" t="s">
        <v>588</v>
      </c>
      <c r="C524" s="50" t="s">
        <v>591</v>
      </c>
      <c r="D524" s="50" t="s">
        <v>595</v>
      </c>
      <c r="E524" s="50">
        <v>605.0</v>
      </c>
      <c r="F524" s="49">
        <v>27.16</v>
      </c>
      <c r="G524" s="50">
        <v>13.0</v>
      </c>
      <c r="H524" s="49">
        <v>69.75</v>
      </c>
      <c r="I524" s="49" t="s">
        <v>596</v>
      </c>
      <c r="J524" s="51">
        <f t="shared" si="11"/>
        <v>484.7502</v>
      </c>
      <c r="K524" s="51">
        <f t="shared" si="12"/>
        <v>440.682</v>
      </c>
      <c r="L524" s="8">
        <f t="shared" si="3"/>
        <v>4.463833653</v>
      </c>
      <c r="M524" s="8">
        <f t="shared" si="4"/>
        <v>1.339150096</v>
      </c>
      <c r="N524" s="8">
        <f t="shared" si="5"/>
        <v>0.2678300192</v>
      </c>
      <c r="O524" s="8">
        <f t="shared" si="6"/>
        <v>0.881364</v>
      </c>
      <c r="P524" s="8">
        <f t="shared" si="7"/>
        <v>1.322046</v>
      </c>
      <c r="Q524" s="8">
        <f t="shared" si="8"/>
        <v>0.440682</v>
      </c>
      <c r="R524" s="57"/>
      <c r="S524" s="57"/>
      <c r="T524" s="57"/>
      <c r="U524" s="57"/>
      <c r="V524" s="57"/>
      <c r="W524" s="57"/>
      <c r="X524" s="57"/>
      <c r="Y524" s="57"/>
    </row>
    <row r="525" ht="34.5" customHeight="1">
      <c r="A525" s="24" t="s">
        <v>587</v>
      </c>
      <c r="B525" s="50" t="s">
        <v>588</v>
      </c>
      <c r="C525" s="50" t="s">
        <v>591</v>
      </c>
      <c r="D525" s="50" t="s">
        <v>588</v>
      </c>
      <c r="E525" s="50">
        <v>12257.0</v>
      </c>
      <c r="F525" s="49">
        <v>50.92</v>
      </c>
      <c r="G525" s="50">
        <v>68.0</v>
      </c>
      <c r="H525" s="49">
        <v>56.16</v>
      </c>
      <c r="I525" s="49" t="s">
        <v>597</v>
      </c>
      <c r="J525" s="51">
        <f t="shared" si="11"/>
        <v>6617.30916</v>
      </c>
      <c r="K525" s="51">
        <f t="shared" si="12"/>
        <v>6015.7356</v>
      </c>
      <c r="L525" s="8">
        <f t="shared" si="3"/>
        <v>60.93564752</v>
      </c>
      <c r="M525" s="8">
        <f t="shared" si="4"/>
        <v>18.28069425</v>
      </c>
      <c r="N525" s="8">
        <f t="shared" si="5"/>
        <v>3.656138851</v>
      </c>
      <c r="O525" s="8">
        <f t="shared" si="6"/>
        <v>12.0314712</v>
      </c>
      <c r="P525" s="8">
        <f t="shared" si="7"/>
        <v>18.0472068</v>
      </c>
      <c r="Q525" s="8">
        <f t="shared" si="8"/>
        <v>6.0157356</v>
      </c>
      <c r="R525" s="57"/>
      <c r="S525" s="57"/>
      <c r="T525" s="57"/>
      <c r="U525" s="57"/>
      <c r="V525" s="57"/>
      <c r="W525" s="57"/>
      <c r="X525" s="57"/>
      <c r="Y525" s="57"/>
    </row>
    <row r="526" ht="34.5" customHeight="1">
      <c r="A526" s="24" t="s">
        <v>587</v>
      </c>
      <c r="B526" s="50" t="s">
        <v>588</v>
      </c>
      <c r="C526" s="50" t="s">
        <v>591</v>
      </c>
      <c r="D526" s="50" t="s">
        <v>598</v>
      </c>
      <c r="E526" s="50">
        <v>609.0</v>
      </c>
      <c r="F526" s="49">
        <v>36.7</v>
      </c>
      <c r="G526" s="50">
        <v>8.0</v>
      </c>
      <c r="H526" s="49">
        <v>14.32</v>
      </c>
      <c r="I526" s="49" t="s">
        <v>599</v>
      </c>
      <c r="J526" s="51">
        <f t="shared" si="11"/>
        <v>424.0467</v>
      </c>
      <c r="K526" s="51">
        <f t="shared" si="12"/>
        <v>385.497</v>
      </c>
      <c r="L526" s="8">
        <f t="shared" si="3"/>
        <v>3.904844041</v>
      </c>
      <c r="M526" s="8">
        <f t="shared" si="4"/>
        <v>1.171453212</v>
      </c>
      <c r="N526" s="8">
        <f t="shared" si="5"/>
        <v>0.2342906425</v>
      </c>
      <c r="O526" s="8">
        <f t="shared" si="6"/>
        <v>0.770994</v>
      </c>
      <c r="P526" s="8">
        <f t="shared" si="7"/>
        <v>1.156491</v>
      </c>
      <c r="Q526" s="8">
        <f t="shared" si="8"/>
        <v>0.385497</v>
      </c>
      <c r="R526" s="57"/>
      <c r="S526" s="57"/>
      <c r="T526" s="57"/>
      <c r="U526" s="57"/>
      <c r="V526" s="57"/>
      <c r="W526" s="57"/>
      <c r="X526" s="57"/>
      <c r="Y526" s="57"/>
    </row>
    <row r="527" ht="34.5" customHeight="1">
      <c r="A527" s="24" t="s">
        <v>587</v>
      </c>
      <c r="B527" s="50" t="s">
        <v>588</v>
      </c>
      <c r="C527" s="50" t="s">
        <v>591</v>
      </c>
      <c r="D527" s="50" t="s">
        <v>600</v>
      </c>
      <c r="E527" s="50">
        <v>215.0</v>
      </c>
      <c r="F527" s="49">
        <v>30.79</v>
      </c>
      <c r="G527" s="50">
        <v>4.0</v>
      </c>
      <c r="H527" s="49">
        <v>23.11</v>
      </c>
      <c r="I527" s="49">
        <v>100.0</v>
      </c>
      <c r="J527" s="51">
        <f t="shared" si="11"/>
        <v>163.68165</v>
      </c>
      <c r="K527" s="51">
        <f t="shared" si="12"/>
        <v>148.8015</v>
      </c>
      <c r="L527" s="8">
        <f t="shared" si="3"/>
        <v>1.507266336</v>
      </c>
      <c r="M527" s="8">
        <f t="shared" si="4"/>
        <v>0.4521799007</v>
      </c>
      <c r="N527" s="8">
        <f t="shared" si="5"/>
        <v>0.09043598014</v>
      </c>
      <c r="O527" s="8">
        <f t="shared" si="6"/>
        <v>0.297603</v>
      </c>
      <c r="P527" s="8">
        <f t="shared" si="7"/>
        <v>0.4464045</v>
      </c>
      <c r="Q527" s="8">
        <f t="shared" si="8"/>
        <v>0.1488015</v>
      </c>
      <c r="R527" s="57"/>
      <c r="S527" s="57"/>
      <c r="T527" s="57"/>
      <c r="U527" s="57"/>
      <c r="V527" s="57"/>
      <c r="W527" s="57"/>
      <c r="X527" s="57"/>
      <c r="Y527" s="57"/>
    </row>
    <row r="528" ht="34.5" customHeight="1">
      <c r="A528" s="24" t="s">
        <v>587</v>
      </c>
      <c r="B528" s="50" t="s">
        <v>588</v>
      </c>
      <c r="C528" s="50" t="s">
        <v>591</v>
      </c>
      <c r="D528" s="50" t="s">
        <v>601</v>
      </c>
      <c r="E528" s="50">
        <v>2822.0</v>
      </c>
      <c r="F528" s="49">
        <v>30.79</v>
      </c>
      <c r="G528" s="50">
        <v>15.0</v>
      </c>
      <c r="H528" s="49">
        <v>41.85</v>
      </c>
      <c r="I528" s="49" t="s">
        <v>602</v>
      </c>
      <c r="J528" s="51">
        <f t="shared" si="11"/>
        <v>2148.41682</v>
      </c>
      <c r="K528" s="51">
        <f t="shared" si="12"/>
        <v>1953.1062</v>
      </c>
      <c r="L528" s="8">
        <f t="shared" si="3"/>
        <v>19.78374697</v>
      </c>
      <c r="M528" s="8">
        <f t="shared" si="4"/>
        <v>5.935124092</v>
      </c>
      <c r="N528" s="8">
        <f t="shared" si="5"/>
        <v>1.187024818</v>
      </c>
      <c r="O528" s="8">
        <f t="shared" si="6"/>
        <v>3.9062124</v>
      </c>
      <c r="P528" s="8">
        <f t="shared" si="7"/>
        <v>5.8593186</v>
      </c>
      <c r="Q528" s="8">
        <f t="shared" si="8"/>
        <v>1.9531062</v>
      </c>
      <c r="R528" s="57"/>
      <c r="S528" s="57"/>
      <c r="T528" s="57"/>
      <c r="U528" s="57"/>
      <c r="V528" s="57"/>
      <c r="W528" s="57"/>
      <c r="X528" s="57"/>
      <c r="Y528" s="57"/>
    </row>
    <row r="529" ht="34.5" customHeight="1">
      <c r="A529" s="24" t="s">
        <v>587</v>
      </c>
      <c r="B529" s="50" t="s">
        <v>588</v>
      </c>
      <c r="C529" s="50" t="s">
        <v>591</v>
      </c>
      <c r="D529" s="50" t="s">
        <v>603</v>
      </c>
      <c r="E529" s="50">
        <v>3088.0</v>
      </c>
      <c r="F529" s="49">
        <v>43.84</v>
      </c>
      <c r="G529" s="50">
        <v>17.0</v>
      </c>
      <c r="H529" s="49">
        <v>34.28</v>
      </c>
      <c r="I529" s="49">
        <v>52.1</v>
      </c>
      <c r="J529" s="51">
        <f t="shared" si="11"/>
        <v>1907.64288</v>
      </c>
      <c r="K529" s="51">
        <f t="shared" si="12"/>
        <v>1734.2208</v>
      </c>
      <c r="L529" s="8">
        <f t="shared" si="3"/>
        <v>17.56657447</v>
      </c>
      <c r="M529" s="8">
        <f t="shared" si="4"/>
        <v>5.26997234</v>
      </c>
      <c r="N529" s="8">
        <f t="shared" si="5"/>
        <v>1.053994468</v>
      </c>
      <c r="O529" s="8">
        <f t="shared" si="6"/>
        <v>3.4684416</v>
      </c>
      <c r="P529" s="8">
        <f t="shared" si="7"/>
        <v>5.2026624</v>
      </c>
      <c r="Q529" s="8">
        <f t="shared" si="8"/>
        <v>1.7342208</v>
      </c>
      <c r="R529" s="57"/>
      <c r="S529" s="57"/>
      <c r="T529" s="57"/>
      <c r="U529" s="57"/>
      <c r="V529" s="57"/>
      <c r="W529" s="57"/>
      <c r="X529" s="57"/>
      <c r="Y529" s="57"/>
    </row>
    <row r="530" ht="34.5" customHeight="1">
      <c r="A530" s="24" t="s">
        <v>587</v>
      </c>
      <c r="B530" s="50" t="s">
        <v>588</v>
      </c>
      <c r="C530" s="50" t="s">
        <v>591</v>
      </c>
      <c r="D530" s="50" t="s">
        <v>604</v>
      </c>
      <c r="E530" s="50">
        <v>1287.0</v>
      </c>
      <c r="F530" s="49">
        <v>30.43</v>
      </c>
      <c r="G530" s="50">
        <v>22.0</v>
      </c>
      <c r="H530" s="49">
        <v>54.24</v>
      </c>
      <c r="I530" s="49" t="s">
        <v>605</v>
      </c>
      <c r="J530" s="51">
        <f t="shared" si="11"/>
        <v>984.90249</v>
      </c>
      <c r="K530" s="51">
        <f t="shared" si="12"/>
        <v>895.3659</v>
      </c>
      <c r="L530" s="8">
        <f t="shared" si="3"/>
        <v>9.069497815</v>
      </c>
      <c r="M530" s="8">
        <f t="shared" si="4"/>
        <v>2.720849345</v>
      </c>
      <c r="N530" s="8">
        <f t="shared" si="5"/>
        <v>0.5441698689</v>
      </c>
      <c r="O530" s="8">
        <f t="shared" si="6"/>
        <v>1.7907318</v>
      </c>
      <c r="P530" s="8">
        <f t="shared" si="7"/>
        <v>2.6860977</v>
      </c>
      <c r="Q530" s="8">
        <f t="shared" si="8"/>
        <v>0.8953659</v>
      </c>
      <c r="R530" s="57"/>
      <c r="S530" s="57"/>
      <c r="T530" s="57"/>
      <c r="U530" s="57"/>
      <c r="V530" s="57"/>
      <c r="W530" s="57"/>
      <c r="X530" s="57"/>
      <c r="Y530" s="57"/>
    </row>
    <row r="531" ht="34.5" customHeight="1">
      <c r="A531" s="24" t="s">
        <v>587</v>
      </c>
      <c r="B531" s="50" t="s">
        <v>588</v>
      </c>
      <c r="C531" s="50" t="s">
        <v>591</v>
      </c>
      <c r="D531" s="50" t="s">
        <v>606</v>
      </c>
      <c r="E531" s="50">
        <v>717.0</v>
      </c>
      <c r="F531" s="49">
        <v>33.15</v>
      </c>
      <c r="G531" s="50">
        <v>11.0</v>
      </c>
      <c r="H531" s="49">
        <v>6.0</v>
      </c>
      <c r="I531" s="49" t="s">
        <v>607</v>
      </c>
      <c r="J531" s="51">
        <f t="shared" si="11"/>
        <v>527.24595</v>
      </c>
      <c r="K531" s="51">
        <f t="shared" si="12"/>
        <v>479.3145</v>
      </c>
      <c r="L531" s="8">
        <f t="shared" si="3"/>
        <v>4.855156769</v>
      </c>
      <c r="M531" s="8">
        <f t="shared" si="4"/>
        <v>1.456547031</v>
      </c>
      <c r="N531" s="8">
        <f t="shared" si="5"/>
        <v>0.2913094062</v>
      </c>
      <c r="O531" s="8">
        <f t="shared" si="6"/>
        <v>0.958629</v>
      </c>
      <c r="P531" s="8">
        <f t="shared" si="7"/>
        <v>1.4379435</v>
      </c>
      <c r="Q531" s="8">
        <f t="shared" si="8"/>
        <v>0.4793145</v>
      </c>
      <c r="R531" s="57"/>
      <c r="S531" s="57"/>
      <c r="T531" s="57"/>
      <c r="U531" s="57"/>
      <c r="V531" s="57"/>
      <c r="W531" s="57"/>
      <c r="X531" s="57"/>
      <c r="Y531" s="57"/>
    </row>
    <row r="532" ht="34.5" customHeight="1">
      <c r="A532" s="24" t="s">
        <v>587</v>
      </c>
      <c r="B532" s="50" t="s">
        <v>588</v>
      </c>
      <c r="C532" s="50" t="s">
        <v>589</v>
      </c>
      <c r="D532" s="50" t="s">
        <v>608</v>
      </c>
      <c r="E532" s="50">
        <v>67.0</v>
      </c>
      <c r="F532" s="49">
        <v>10.85</v>
      </c>
      <c r="G532" s="50">
        <v>4.0</v>
      </c>
      <c r="H532" s="49">
        <v>86.47</v>
      </c>
      <c r="I532" s="49">
        <v>86.47</v>
      </c>
      <c r="J532" s="51">
        <f t="shared" si="11"/>
        <v>65.70355</v>
      </c>
      <c r="K532" s="51">
        <f t="shared" si="12"/>
        <v>59.7305</v>
      </c>
      <c r="L532" s="8">
        <f t="shared" si="3"/>
        <v>0.6050326903</v>
      </c>
      <c r="M532" s="8">
        <f t="shared" si="4"/>
        <v>0.1815098071</v>
      </c>
      <c r="N532" s="8">
        <f t="shared" si="5"/>
        <v>0.03630196142</v>
      </c>
      <c r="O532" s="8">
        <f t="shared" si="6"/>
        <v>0.119461</v>
      </c>
      <c r="P532" s="8">
        <f t="shared" si="7"/>
        <v>0.1791915</v>
      </c>
      <c r="Q532" s="8">
        <f t="shared" si="8"/>
        <v>0.0597305</v>
      </c>
      <c r="R532" s="57"/>
      <c r="S532" s="57"/>
      <c r="T532" s="57"/>
      <c r="U532" s="57"/>
      <c r="V532" s="57"/>
      <c r="W532" s="57"/>
      <c r="X532" s="57"/>
      <c r="Y532" s="57"/>
    </row>
    <row r="533" ht="34.5" customHeight="1">
      <c r="A533" s="24" t="s">
        <v>587</v>
      </c>
      <c r="B533" s="50" t="s">
        <v>588</v>
      </c>
      <c r="C533" s="50" t="s">
        <v>589</v>
      </c>
      <c r="D533" s="50" t="s">
        <v>609</v>
      </c>
      <c r="E533" s="50">
        <v>66.0</v>
      </c>
      <c r="F533" s="49">
        <v>40.85</v>
      </c>
      <c r="G533" s="50">
        <v>3.0</v>
      </c>
      <c r="H533" s="49">
        <v>85.84</v>
      </c>
      <c r="I533" s="49" t="s">
        <v>610</v>
      </c>
      <c r="J533" s="51">
        <f t="shared" si="11"/>
        <v>42.9429</v>
      </c>
      <c r="K533" s="51">
        <f t="shared" si="12"/>
        <v>39.039</v>
      </c>
      <c r="L533" s="8">
        <f t="shared" si="3"/>
        <v>0.3954407078</v>
      </c>
      <c r="M533" s="8">
        <f t="shared" si="4"/>
        <v>0.1186322123</v>
      </c>
      <c r="N533" s="8">
        <f t="shared" si="5"/>
        <v>0.02372644247</v>
      </c>
      <c r="O533" s="8">
        <f t="shared" si="6"/>
        <v>0.078078</v>
      </c>
      <c r="P533" s="8">
        <f t="shared" si="7"/>
        <v>0.117117</v>
      </c>
      <c r="Q533" s="8">
        <f t="shared" si="8"/>
        <v>0.039039</v>
      </c>
      <c r="R533" s="57"/>
      <c r="S533" s="57"/>
      <c r="T533" s="57"/>
      <c r="U533" s="57"/>
      <c r="V533" s="57"/>
      <c r="W533" s="57"/>
      <c r="X533" s="57"/>
      <c r="Y533" s="57"/>
    </row>
    <row r="534" ht="34.5" customHeight="1">
      <c r="A534" s="24" t="s">
        <v>587</v>
      </c>
      <c r="B534" s="50" t="s">
        <v>588</v>
      </c>
      <c r="C534" s="50" t="s">
        <v>591</v>
      </c>
      <c r="D534" s="50" t="s">
        <v>611</v>
      </c>
      <c r="E534" s="50">
        <v>820.0</v>
      </c>
      <c r="F534" s="49">
        <v>30.56</v>
      </c>
      <c r="G534" s="50">
        <v>11.0</v>
      </c>
      <c r="H534" s="49">
        <v>51.95</v>
      </c>
      <c r="I534" s="49" t="s">
        <v>612</v>
      </c>
      <c r="J534" s="51">
        <f t="shared" si="11"/>
        <v>626.3488</v>
      </c>
      <c r="K534" s="51">
        <f t="shared" si="12"/>
        <v>569.408</v>
      </c>
      <c r="L534" s="8">
        <f t="shared" si="3"/>
        <v>5.767747702</v>
      </c>
      <c r="M534" s="8">
        <f t="shared" si="4"/>
        <v>1.730324311</v>
      </c>
      <c r="N534" s="8">
        <f t="shared" si="5"/>
        <v>0.3460648621</v>
      </c>
      <c r="O534" s="8">
        <f t="shared" si="6"/>
        <v>1.138816</v>
      </c>
      <c r="P534" s="8">
        <f t="shared" si="7"/>
        <v>1.708224</v>
      </c>
      <c r="Q534" s="8">
        <f t="shared" si="8"/>
        <v>0.569408</v>
      </c>
      <c r="R534" s="57"/>
      <c r="S534" s="57"/>
      <c r="T534" s="57"/>
      <c r="U534" s="57"/>
      <c r="V534" s="57"/>
      <c r="W534" s="57"/>
      <c r="X534" s="57"/>
      <c r="Y534" s="57"/>
    </row>
    <row r="535" ht="34.5" customHeight="1">
      <c r="A535" s="24" t="s">
        <v>587</v>
      </c>
      <c r="B535" s="50" t="s">
        <v>588</v>
      </c>
      <c r="C535" s="50" t="s">
        <v>591</v>
      </c>
      <c r="D535" s="50" t="s">
        <v>613</v>
      </c>
      <c r="E535" s="50">
        <v>179.0</v>
      </c>
      <c r="F535" s="49">
        <v>27.03</v>
      </c>
      <c r="G535" s="50">
        <v>3.0</v>
      </c>
      <c r="H535" s="49">
        <v>50.65</v>
      </c>
      <c r="I535" s="49">
        <v>91.4</v>
      </c>
      <c r="J535" s="51">
        <f t="shared" si="11"/>
        <v>143.67793</v>
      </c>
      <c r="K535" s="51">
        <f t="shared" si="12"/>
        <v>130.6163</v>
      </c>
      <c r="L535" s="8">
        <f t="shared" si="3"/>
        <v>1.323061608</v>
      </c>
      <c r="M535" s="8">
        <f t="shared" si="4"/>
        <v>0.3969184824</v>
      </c>
      <c r="N535" s="8">
        <f t="shared" si="5"/>
        <v>0.07938369648</v>
      </c>
      <c r="O535" s="8">
        <f t="shared" si="6"/>
        <v>0.2612326</v>
      </c>
      <c r="P535" s="8">
        <f t="shared" si="7"/>
        <v>0.3918489</v>
      </c>
      <c r="Q535" s="8">
        <f t="shared" si="8"/>
        <v>0.1306163</v>
      </c>
      <c r="R535" s="57"/>
      <c r="S535" s="57"/>
      <c r="T535" s="57"/>
      <c r="U535" s="57"/>
      <c r="V535" s="57"/>
      <c r="W535" s="57"/>
      <c r="X535" s="57"/>
      <c r="Y535" s="57"/>
    </row>
    <row r="536" ht="34.5" customHeight="1">
      <c r="A536" s="24" t="s">
        <v>587</v>
      </c>
      <c r="B536" s="50" t="s">
        <v>588</v>
      </c>
      <c r="C536" s="50" t="s">
        <v>591</v>
      </c>
      <c r="D536" s="50" t="s">
        <v>614</v>
      </c>
      <c r="E536" s="50">
        <v>615.0</v>
      </c>
      <c r="F536" s="49">
        <v>40.88</v>
      </c>
      <c r="G536" s="50">
        <v>7.0</v>
      </c>
      <c r="H536" s="49">
        <v>5.73</v>
      </c>
      <c r="I536" s="49" t="s">
        <v>615</v>
      </c>
      <c r="J536" s="51">
        <f t="shared" si="11"/>
        <v>399.9468</v>
      </c>
      <c r="K536" s="51">
        <f t="shared" si="12"/>
        <v>363.588</v>
      </c>
      <c r="L536" s="8">
        <f t="shared" si="3"/>
        <v>3.682919543</v>
      </c>
      <c r="M536" s="8">
        <f t="shared" si="4"/>
        <v>1.104875863</v>
      </c>
      <c r="N536" s="8">
        <f t="shared" si="5"/>
        <v>0.2209751726</v>
      </c>
      <c r="O536" s="8">
        <f t="shared" si="6"/>
        <v>0.727176</v>
      </c>
      <c r="P536" s="8">
        <f t="shared" si="7"/>
        <v>1.090764</v>
      </c>
      <c r="Q536" s="8">
        <f t="shared" si="8"/>
        <v>0.363588</v>
      </c>
      <c r="R536" s="57"/>
      <c r="S536" s="57"/>
      <c r="T536" s="57"/>
      <c r="U536" s="57"/>
      <c r="V536" s="57"/>
      <c r="W536" s="57"/>
      <c r="X536" s="57"/>
      <c r="Y536" s="57"/>
    </row>
    <row r="537" ht="34.5" customHeight="1">
      <c r="A537" s="24" t="s">
        <v>587</v>
      </c>
      <c r="B537" s="50" t="s">
        <v>588</v>
      </c>
      <c r="C537" s="50" t="s">
        <v>591</v>
      </c>
      <c r="D537" s="50" t="s">
        <v>616</v>
      </c>
      <c r="E537" s="50">
        <v>1400.0</v>
      </c>
      <c r="F537" s="49">
        <v>49.22</v>
      </c>
      <c r="G537" s="50">
        <v>10.0</v>
      </c>
      <c r="H537" s="49">
        <v>0.0</v>
      </c>
      <c r="I537" s="49" t="s">
        <v>617</v>
      </c>
      <c r="J537" s="51">
        <f t="shared" si="11"/>
        <v>782.012</v>
      </c>
      <c r="K537" s="51">
        <f t="shared" si="12"/>
        <v>710.92</v>
      </c>
      <c r="L537" s="8">
        <f t="shared" si="3"/>
        <v>7.201175951</v>
      </c>
      <c r="M537" s="8">
        <f t="shared" si="4"/>
        <v>2.160352785</v>
      </c>
      <c r="N537" s="8">
        <f t="shared" si="5"/>
        <v>0.4320705571</v>
      </c>
      <c r="O537" s="8">
        <f t="shared" si="6"/>
        <v>1.42184</v>
      </c>
      <c r="P537" s="8">
        <f t="shared" si="7"/>
        <v>2.13276</v>
      </c>
      <c r="Q537" s="8">
        <f t="shared" si="8"/>
        <v>0.71092</v>
      </c>
      <c r="R537" s="57"/>
      <c r="S537" s="57"/>
      <c r="T537" s="57"/>
      <c r="U537" s="57"/>
      <c r="V537" s="57"/>
      <c r="W537" s="57"/>
      <c r="X537" s="57"/>
      <c r="Y537" s="57"/>
    </row>
    <row r="538" ht="34.5" customHeight="1">
      <c r="A538" s="24" t="s">
        <v>587</v>
      </c>
      <c r="B538" s="50" t="s">
        <v>588</v>
      </c>
      <c r="C538" s="50" t="s">
        <v>591</v>
      </c>
      <c r="D538" s="50" t="s">
        <v>618</v>
      </c>
      <c r="E538" s="50">
        <v>485.0</v>
      </c>
      <c r="F538" s="49">
        <v>29.23</v>
      </c>
      <c r="G538" s="50">
        <v>9.0</v>
      </c>
      <c r="H538" s="49">
        <v>72.0</v>
      </c>
      <c r="I538" s="49" t="s">
        <v>619</v>
      </c>
      <c r="J538" s="51">
        <f t="shared" si="11"/>
        <v>377.55795</v>
      </c>
      <c r="K538" s="51">
        <f t="shared" si="12"/>
        <v>343.2345</v>
      </c>
      <c r="L538" s="8">
        <f t="shared" si="3"/>
        <v>3.47675129</v>
      </c>
      <c r="M538" s="8">
        <f t="shared" si="4"/>
        <v>1.043025387</v>
      </c>
      <c r="N538" s="8">
        <f t="shared" si="5"/>
        <v>0.2086050774</v>
      </c>
      <c r="O538" s="8">
        <f t="shared" si="6"/>
        <v>0.686469</v>
      </c>
      <c r="P538" s="8">
        <f t="shared" si="7"/>
        <v>1.0297035</v>
      </c>
      <c r="Q538" s="8">
        <f t="shared" si="8"/>
        <v>0.3432345</v>
      </c>
      <c r="R538" s="57"/>
      <c r="S538" s="57"/>
      <c r="T538" s="57"/>
      <c r="U538" s="57"/>
      <c r="V538" s="57"/>
      <c r="W538" s="57"/>
      <c r="X538" s="57"/>
      <c r="Y538" s="57"/>
    </row>
    <row r="539" ht="34.5" customHeight="1">
      <c r="A539" s="24" t="s">
        <v>587</v>
      </c>
      <c r="B539" s="50" t="s">
        <v>588</v>
      </c>
      <c r="C539" s="50" t="s">
        <v>591</v>
      </c>
      <c r="D539" s="50" t="s">
        <v>620</v>
      </c>
      <c r="E539" s="50">
        <v>1971.0</v>
      </c>
      <c r="F539" s="49">
        <v>44.99</v>
      </c>
      <c r="G539" s="50">
        <v>17.0</v>
      </c>
      <c r="H539" s="49">
        <v>10.7</v>
      </c>
      <c r="I539" s="49" t="s">
        <v>621</v>
      </c>
      <c r="J539" s="51">
        <f t="shared" si="11"/>
        <v>1192.67181</v>
      </c>
      <c r="K539" s="51">
        <f t="shared" si="12"/>
        <v>1084.2471</v>
      </c>
      <c r="L539" s="8">
        <f t="shared" si="3"/>
        <v>10.9827465</v>
      </c>
      <c r="M539" s="8">
        <f t="shared" si="4"/>
        <v>3.29482395</v>
      </c>
      <c r="N539" s="8">
        <f t="shared" si="5"/>
        <v>0.65896479</v>
      </c>
      <c r="O539" s="8">
        <f t="shared" si="6"/>
        <v>2.1684942</v>
      </c>
      <c r="P539" s="8">
        <f t="shared" si="7"/>
        <v>3.2527413</v>
      </c>
      <c r="Q539" s="8">
        <f t="shared" si="8"/>
        <v>1.0842471</v>
      </c>
      <c r="R539" s="57"/>
      <c r="S539" s="57"/>
      <c r="T539" s="57"/>
      <c r="U539" s="57"/>
      <c r="V539" s="57"/>
      <c r="W539" s="57"/>
      <c r="X539" s="57"/>
      <c r="Y539" s="57"/>
    </row>
    <row r="540" ht="34.5" customHeight="1">
      <c r="A540" s="24" t="s">
        <v>587</v>
      </c>
      <c r="B540" s="50" t="s">
        <v>588</v>
      </c>
      <c r="C540" s="50" t="s">
        <v>591</v>
      </c>
      <c r="D540" s="50" t="s">
        <v>622</v>
      </c>
      <c r="E540" s="50">
        <v>278.0</v>
      </c>
      <c r="F540" s="49">
        <v>23.36</v>
      </c>
      <c r="G540" s="50">
        <v>7.0</v>
      </c>
      <c r="H540" s="49">
        <v>88.8</v>
      </c>
      <c r="I540" s="49" t="s">
        <v>623</v>
      </c>
      <c r="J540" s="51">
        <f t="shared" si="11"/>
        <v>234.36512</v>
      </c>
      <c r="K540" s="51">
        <f t="shared" si="12"/>
        <v>213.0592</v>
      </c>
      <c r="L540" s="8">
        <f t="shared" si="3"/>
        <v>2.158156737</v>
      </c>
      <c r="M540" s="8">
        <f t="shared" si="4"/>
        <v>0.647447021</v>
      </c>
      <c r="N540" s="8">
        <f t="shared" si="5"/>
        <v>0.1294894042</v>
      </c>
      <c r="O540" s="8">
        <f t="shared" si="6"/>
        <v>0.4261184</v>
      </c>
      <c r="P540" s="8">
        <f t="shared" si="7"/>
        <v>0.6391776</v>
      </c>
      <c r="Q540" s="8">
        <f t="shared" si="8"/>
        <v>0.2130592</v>
      </c>
      <c r="R540" s="57"/>
      <c r="S540" s="57"/>
      <c r="T540" s="57"/>
      <c r="U540" s="57"/>
      <c r="V540" s="57"/>
      <c r="W540" s="57"/>
      <c r="X540" s="57"/>
      <c r="Y540" s="57"/>
    </row>
    <row r="541" ht="34.5" customHeight="1">
      <c r="A541" s="24" t="s">
        <v>587</v>
      </c>
      <c r="B541" s="50" t="s">
        <v>588</v>
      </c>
      <c r="C541" s="50" t="s">
        <v>589</v>
      </c>
      <c r="D541" s="50" t="s">
        <v>624</v>
      </c>
      <c r="E541" s="50">
        <v>254.0</v>
      </c>
      <c r="F541" s="49">
        <v>19.91</v>
      </c>
      <c r="G541" s="50">
        <v>9.0</v>
      </c>
      <c r="H541" s="49">
        <v>82.62</v>
      </c>
      <c r="I541" s="49">
        <v>100.0</v>
      </c>
      <c r="J541" s="51">
        <f t="shared" si="11"/>
        <v>223.77146</v>
      </c>
      <c r="K541" s="51">
        <f t="shared" si="12"/>
        <v>203.4286</v>
      </c>
      <c r="L541" s="8">
        <f t="shared" si="3"/>
        <v>2.060604769</v>
      </c>
      <c r="M541" s="8">
        <f t="shared" si="4"/>
        <v>0.6181814306</v>
      </c>
      <c r="N541" s="8">
        <f t="shared" si="5"/>
        <v>0.1236362861</v>
      </c>
      <c r="O541" s="8">
        <f t="shared" si="6"/>
        <v>0.4068572</v>
      </c>
      <c r="P541" s="8">
        <f t="shared" si="7"/>
        <v>0.6102858</v>
      </c>
      <c r="Q541" s="8">
        <f t="shared" si="8"/>
        <v>0.2034286</v>
      </c>
      <c r="R541" s="57"/>
      <c r="S541" s="57"/>
      <c r="T541" s="57"/>
      <c r="U541" s="57"/>
      <c r="V541" s="57"/>
      <c r="W541" s="57"/>
      <c r="X541" s="57"/>
      <c r="Y541" s="57"/>
    </row>
    <row r="542" ht="34.5" customHeight="1">
      <c r="A542" s="24" t="s">
        <v>587</v>
      </c>
      <c r="B542" s="50" t="s">
        <v>588</v>
      </c>
      <c r="C542" s="50" t="s">
        <v>591</v>
      </c>
      <c r="D542" s="50" t="s">
        <v>625</v>
      </c>
      <c r="E542" s="50">
        <v>3329.0</v>
      </c>
      <c r="F542" s="49">
        <v>38.25</v>
      </c>
      <c r="G542" s="50">
        <v>22.0</v>
      </c>
      <c r="H542" s="49">
        <v>25.65</v>
      </c>
      <c r="I542" s="49" t="s">
        <v>626</v>
      </c>
      <c r="J542" s="51">
        <f t="shared" si="11"/>
        <v>2261.22325</v>
      </c>
      <c r="K542" s="51">
        <f t="shared" si="12"/>
        <v>2055.6575</v>
      </c>
      <c r="L542" s="8">
        <f t="shared" si="3"/>
        <v>20.82252764</v>
      </c>
      <c r="M542" s="8">
        <f t="shared" si="4"/>
        <v>6.246758293</v>
      </c>
      <c r="N542" s="8">
        <f t="shared" si="5"/>
        <v>1.249351659</v>
      </c>
      <c r="O542" s="8">
        <f t="shared" si="6"/>
        <v>4.111315</v>
      </c>
      <c r="P542" s="8">
        <f t="shared" si="7"/>
        <v>6.1669725</v>
      </c>
      <c r="Q542" s="8">
        <f t="shared" si="8"/>
        <v>2.0556575</v>
      </c>
      <c r="R542" s="57"/>
      <c r="S542" s="57"/>
      <c r="T542" s="57"/>
      <c r="U542" s="57"/>
      <c r="V542" s="57"/>
      <c r="W542" s="57"/>
      <c r="X542" s="57"/>
      <c r="Y542" s="57"/>
    </row>
    <row r="543" ht="34.5" customHeight="1">
      <c r="A543" s="24" t="s">
        <v>587</v>
      </c>
      <c r="B543" s="50" t="s">
        <v>588</v>
      </c>
      <c r="C543" s="50" t="s">
        <v>591</v>
      </c>
      <c r="D543" s="50" t="s">
        <v>627</v>
      </c>
      <c r="E543" s="50">
        <v>1251.0</v>
      </c>
      <c r="F543" s="49">
        <v>55.25</v>
      </c>
      <c r="G543" s="50">
        <v>14.0</v>
      </c>
      <c r="H543" s="49">
        <v>0.0</v>
      </c>
      <c r="I543" s="49" t="s">
        <v>628</v>
      </c>
      <c r="J543" s="51">
        <f t="shared" si="11"/>
        <v>615.80475</v>
      </c>
      <c r="K543" s="51">
        <f t="shared" si="12"/>
        <v>559.8225</v>
      </c>
      <c r="L543" s="8">
        <f t="shared" si="3"/>
        <v>5.670652568</v>
      </c>
      <c r="M543" s="8">
        <f t="shared" si="4"/>
        <v>1.701195771</v>
      </c>
      <c r="N543" s="8">
        <f t="shared" si="5"/>
        <v>0.3402391541</v>
      </c>
      <c r="O543" s="8">
        <f t="shared" si="6"/>
        <v>1.119645</v>
      </c>
      <c r="P543" s="8">
        <f t="shared" si="7"/>
        <v>1.6794675</v>
      </c>
      <c r="Q543" s="8">
        <f t="shared" si="8"/>
        <v>0.5598225</v>
      </c>
      <c r="R543" s="57"/>
      <c r="S543" s="57"/>
      <c r="T543" s="57"/>
      <c r="U543" s="57"/>
      <c r="V543" s="57"/>
      <c r="W543" s="57"/>
      <c r="X543" s="57"/>
      <c r="Y543" s="57"/>
    </row>
    <row r="544" ht="34.5" customHeight="1">
      <c r="A544" s="24" t="s">
        <v>587</v>
      </c>
      <c r="B544" s="50" t="s">
        <v>588</v>
      </c>
      <c r="C544" s="50" t="s">
        <v>591</v>
      </c>
      <c r="D544" s="50" t="s">
        <v>629</v>
      </c>
      <c r="E544" s="50">
        <v>787.0</v>
      </c>
      <c r="F544" s="49">
        <v>53.27</v>
      </c>
      <c r="G544" s="50">
        <v>6.0</v>
      </c>
      <c r="H544" s="49">
        <v>0.0</v>
      </c>
      <c r="I544" s="49">
        <v>70.0</v>
      </c>
      <c r="J544" s="51">
        <f t="shared" si="11"/>
        <v>404.54161</v>
      </c>
      <c r="K544" s="51">
        <f t="shared" si="12"/>
        <v>367.7651</v>
      </c>
      <c r="L544" s="8">
        <f t="shared" si="3"/>
        <v>3.72523096</v>
      </c>
      <c r="M544" s="8">
        <f t="shared" si="4"/>
        <v>1.117569288</v>
      </c>
      <c r="N544" s="8">
        <f t="shared" si="5"/>
        <v>0.2235138576</v>
      </c>
      <c r="O544" s="8">
        <f t="shared" si="6"/>
        <v>0.7355302</v>
      </c>
      <c r="P544" s="8">
        <f t="shared" si="7"/>
        <v>1.1032953</v>
      </c>
      <c r="Q544" s="8">
        <f t="shared" si="8"/>
        <v>0.3677651</v>
      </c>
      <c r="R544" s="57"/>
      <c r="S544" s="57"/>
      <c r="T544" s="57"/>
      <c r="U544" s="57"/>
      <c r="V544" s="57"/>
      <c r="W544" s="57"/>
      <c r="X544" s="57"/>
      <c r="Y544" s="57"/>
    </row>
    <row r="545" ht="34.5" customHeight="1">
      <c r="A545" s="24" t="s">
        <v>587</v>
      </c>
      <c r="B545" s="42" t="s">
        <v>630</v>
      </c>
      <c r="C545" s="42" t="s">
        <v>631</v>
      </c>
      <c r="D545" s="42" t="s">
        <v>632</v>
      </c>
      <c r="E545" s="42">
        <v>378.0</v>
      </c>
      <c r="F545" s="43">
        <v>20.86</v>
      </c>
      <c r="G545" s="42">
        <v>6.0</v>
      </c>
      <c r="H545" s="43">
        <v>28.51</v>
      </c>
      <c r="I545" s="43">
        <v>53.3</v>
      </c>
      <c r="J545" s="44">
        <f t="shared" si="11"/>
        <v>329.06412</v>
      </c>
      <c r="K545" s="44">
        <f t="shared" si="12"/>
        <v>299.1492</v>
      </c>
      <c r="L545" s="8">
        <f t="shared" si="3"/>
        <v>3.030194712</v>
      </c>
      <c r="M545" s="8">
        <f t="shared" si="4"/>
        <v>0.9090584137</v>
      </c>
      <c r="N545" s="8">
        <f t="shared" si="5"/>
        <v>0.1818116827</v>
      </c>
      <c r="O545" s="8">
        <f t="shared" si="6"/>
        <v>0.5982984</v>
      </c>
      <c r="P545" s="8">
        <f t="shared" si="7"/>
        <v>0.8974476</v>
      </c>
      <c r="Q545" s="8">
        <f t="shared" si="8"/>
        <v>0.2991492</v>
      </c>
      <c r="R545" s="57"/>
      <c r="S545" s="57"/>
      <c r="T545" s="57"/>
      <c r="U545" s="57"/>
      <c r="V545" s="57"/>
      <c r="W545" s="57"/>
      <c r="X545" s="57"/>
      <c r="Y545" s="57"/>
      <c r="Z545" s="61"/>
    </row>
    <row r="546" ht="34.5" customHeight="1">
      <c r="A546" s="24" t="s">
        <v>587</v>
      </c>
      <c r="B546" s="42" t="s">
        <v>630</v>
      </c>
      <c r="C546" s="42" t="s">
        <v>631</v>
      </c>
      <c r="D546" s="42" t="s">
        <v>633</v>
      </c>
      <c r="E546" s="42">
        <v>57.0</v>
      </c>
      <c r="F546" s="43">
        <v>23.81</v>
      </c>
      <c r="G546" s="42">
        <v>3.0</v>
      </c>
      <c r="H546" s="43">
        <v>84.35</v>
      </c>
      <c r="I546" s="43">
        <v>100.0</v>
      </c>
      <c r="J546" s="44">
        <f t="shared" si="11"/>
        <v>47.77113</v>
      </c>
      <c r="K546" s="44">
        <f t="shared" si="12"/>
        <v>43.4283</v>
      </c>
      <c r="L546" s="8">
        <f t="shared" si="3"/>
        <v>0.4399015776</v>
      </c>
      <c r="M546" s="8">
        <f t="shared" si="4"/>
        <v>0.1319704733</v>
      </c>
      <c r="N546" s="8">
        <f t="shared" si="5"/>
        <v>0.02639409466</v>
      </c>
      <c r="O546" s="8">
        <f t="shared" si="6"/>
        <v>0.0868566</v>
      </c>
      <c r="P546" s="8">
        <f t="shared" si="7"/>
        <v>0.1302849</v>
      </c>
      <c r="Q546" s="8">
        <f t="shared" si="8"/>
        <v>0.0434283</v>
      </c>
      <c r="R546" s="57"/>
      <c r="S546" s="57"/>
      <c r="T546" s="57"/>
      <c r="U546" s="57"/>
      <c r="V546" s="57"/>
      <c r="W546" s="57"/>
      <c r="X546" s="57"/>
      <c r="Y546" s="57"/>
      <c r="Z546" s="61"/>
    </row>
    <row r="547" ht="34.5" customHeight="1">
      <c r="A547" s="24" t="s">
        <v>587</v>
      </c>
      <c r="B547" s="42" t="s">
        <v>630</v>
      </c>
      <c r="C547" s="42" t="s">
        <v>634</v>
      </c>
      <c r="D547" s="42" t="s">
        <v>635</v>
      </c>
      <c r="E547" s="42">
        <v>190.0</v>
      </c>
      <c r="F547" s="43">
        <v>13.21</v>
      </c>
      <c r="G547" s="42">
        <v>6.0</v>
      </c>
      <c r="H547" s="43">
        <v>72.69</v>
      </c>
      <c r="I547" s="43" t="s">
        <v>636</v>
      </c>
      <c r="J547" s="44">
        <f t="shared" si="11"/>
        <v>181.3911</v>
      </c>
      <c r="K547" s="44">
        <f t="shared" si="12"/>
        <v>164.901</v>
      </c>
      <c r="L547" s="8">
        <f t="shared" si="3"/>
        <v>1.670344224</v>
      </c>
      <c r="M547" s="8">
        <f t="shared" si="4"/>
        <v>0.5011032671</v>
      </c>
      <c r="N547" s="8">
        <f t="shared" si="5"/>
        <v>0.1002206534</v>
      </c>
      <c r="O547" s="8">
        <f t="shared" si="6"/>
        <v>0.329802</v>
      </c>
      <c r="P547" s="8">
        <f t="shared" si="7"/>
        <v>0.494703</v>
      </c>
      <c r="Q547" s="8">
        <f t="shared" si="8"/>
        <v>0.164901</v>
      </c>
      <c r="R547" s="57"/>
      <c r="S547" s="57"/>
      <c r="T547" s="57"/>
      <c r="U547" s="57"/>
      <c r="V547" s="57"/>
      <c r="W547" s="57"/>
      <c r="X547" s="57"/>
      <c r="Y547" s="57"/>
      <c r="Z547" s="61"/>
    </row>
    <row r="548" ht="34.5" customHeight="1">
      <c r="A548" s="24" t="s">
        <v>587</v>
      </c>
      <c r="B548" s="42" t="s">
        <v>630</v>
      </c>
      <c r="C548" s="42" t="s">
        <v>634</v>
      </c>
      <c r="D548" s="42" t="s">
        <v>637</v>
      </c>
      <c r="E548" s="42">
        <v>268.0</v>
      </c>
      <c r="F548" s="43">
        <v>20.44</v>
      </c>
      <c r="G548" s="42">
        <v>6.0</v>
      </c>
      <c r="H548" s="43">
        <v>22.71</v>
      </c>
      <c r="I548" s="43">
        <v>32.59</v>
      </c>
      <c r="J548" s="44">
        <f t="shared" si="11"/>
        <v>234.54288</v>
      </c>
      <c r="K548" s="44">
        <f t="shared" si="12"/>
        <v>213.2208</v>
      </c>
      <c r="L548" s="8">
        <f t="shared" si="3"/>
        <v>2.159793644</v>
      </c>
      <c r="M548" s="8">
        <f t="shared" si="4"/>
        <v>0.6479380932</v>
      </c>
      <c r="N548" s="8">
        <f t="shared" si="5"/>
        <v>0.1295876186</v>
      </c>
      <c r="O548" s="8">
        <f t="shared" si="6"/>
        <v>0.4264416</v>
      </c>
      <c r="P548" s="8">
        <f t="shared" si="7"/>
        <v>0.6396624</v>
      </c>
      <c r="Q548" s="8">
        <f t="shared" si="8"/>
        <v>0.2132208</v>
      </c>
      <c r="R548" s="57"/>
      <c r="S548" s="57"/>
      <c r="T548" s="57"/>
      <c r="U548" s="57"/>
      <c r="V548" s="57"/>
      <c r="W548" s="57"/>
      <c r="X548" s="57"/>
      <c r="Y548" s="57"/>
      <c r="Z548" s="61"/>
    </row>
    <row r="549" ht="34.5" customHeight="1">
      <c r="A549" s="24" t="s">
        <v>587</v>
      </c>
      <c r="B549" s="42" t="s">
        <v>630</v>
      </c>
      <c r="C549" s="42" t="s">
        <v>634</v>
      </c>
      <c r="D549" s="42" t="s">
        <v>638</v>
      </c>
      <c r="E549" s="42">
        <v>126.0</v>
      </c>
      <c r="F549" s="43">
        <v>11.63</v>
      </c>
      <c r="G549" s="42">
        <v>3.0</v>
      </c>
      <c r="H549" s="43">
        <v>0.0</v>
      </c>
      <c r="I549" s="43">
        <v>49.26</v>
      </c>
      <c r="J549" s="44">
        <f t="shared" si="11"/>
        <v>122.48082</v>
      </c>
      <c r="K549" s="44">
        <f t="shared" si="12"/>
        <v>111.3462</v>
      </c>
      <c r="L549" s="8">
        <f t="shared" si="3"/>
        <v>1.127867521</v>
      </c>
      <c r="M549" s="8">
        <f t="shared" si="4"/>
        <v>0.3383602562</v>
      </c>
      <c r="N549" s="8">
        <f t="shared" si="5"/>
        <v>0.06767205123</v>
      </c>
      <c r="O549" s="8">
        <f t="shared" si="6"/>
        <v>0.2226924</v>
      </c>
      <c r="P549" s="8">
        <f t="shared" si="7"/>
        <v>0.3340386</v>
      </c>
      <c r="Q549" s="8">
        <f t="shared" si="8"/>
        <v>0.1113462</v>
      </c>
      <c r="R549" s="57"/>
      <c r="S549" s="57"/>
      <c r="T549" s="57"/>
      <c r="U549" s="57"/>
      <c r="V549" s="57"/>
      <c r="W549" s="57"/>
      <c r="X549" s="57"/>
      <c r="Y549" s="57"/>
      <c r="Z549" s="61"/>
    </row>
    <row r="550" ht="34.5" customHeight="1">
      <c r="A550" s="24" t="s">
        <v>587</v>
      </c>
      <c r="B550" s="42" t="s">
        <v>630</v>
      </c>
      <c r="C550" s="42" t="s">
        <v>631</v>
      </c>
      <c r="D550" s="42" t="s">
        <v>639</v>
      </c>
      <c r="E550" s="42">
        <v>413.0</v>
      </c>
      <c r="F550" s="43">
        <v>39.75</v>
      </c>
      <c r="G550" s="42">
        <v>7.0</v>
      </c>
      <c r="H550" s="43">
        <v>62.26</v>
      </c>
      <c r="I550" s="43">
        <v>100.0</v>
      </c>
      <c r="J550" s="44">
        <f t="shared" si="11"/>
        <v>273.71575</v>
      </c>
      <c r="K550" s="44">
        <f t="shared" si="12"/>
        <v>248.8325</v>
      </c>
      <c r="L550" s="8">
        <f t="shared" si="3"/>
        <v>2.520517941</v>
      </c>
      <c r="M550" s="8">
        <f t="shared" si="4"/>
        <v>0.7561553824</v>
      </c>
      <c r="N550" s="8">
        <f t="shared" si="5"/>
        <v>0.1512310765</v>
      </c>
      <c r="O550" s="8">
        <f t="shared" si="6"/>
        <v>0.497665</v>
      </c>
      <c r="P550" s="8">
        <f t="shared" si="7"/>
        <v>0.7464975</v>
      </c>
      <c r="Q550" s="8">
        <f t="shared" si="8"/>
        <v>0.2488325</v>
      </c>
      <c r="R550" s="57"/>
      <c r="S550" s="57"/>
      <c r="T550" s="57"/>
      <c r="U550" s="57"/>
      <c r="V550" s="57"/>
      <c r="W550" s="57"/>
      <c r="X550" s="57"/>
      <c r="Y550" s="57"/>
      <c r="Z550" s="61"/>
    </row>
    <row r="551" ht="34.5" customHeight="1">
      <c r="A551" s="24" t="s">
        <v>587</v>
      </c>
      <c r="B551" s="42" t="s">
        <v>630</v>
      </c>
      <c r="C551" s="42" t="s">
        <v>640</v>
      </c>
      <c r="D551" s="42" t="s">
        <v>641</v>
      </c>
      <c r="E551" s="42">
        <v>129.0</v>
      </c>
      <c r="F551" s="43">
        <v>29.42</v>
      </c>
      <c r="G551" s="42">
        <v>5.0</v>
      </c>
      <c r="H551" s="43">
        <v>91.56</v>
      </c>
      <c r="I551" s="43">
        <v>91.56</v>
      </c>
      <c r="J551" s="44">
        <f t="shared" si="11"/>
        <v>100.15302</v>
      </c>
      <c r="K551" s="44">
        <f t="shared" si="12"/>
        <v>91.0482</v>
      </c>
      <c r="L551" s="8">
        <f t="shared" si="3"/>
        <v>0.9222614475</v>
      </c>
      <c r="M551" s="8">
        <f t="shared" si="4"/>
        <v>0.2766784342</v>
      </c>
      <c r="N551" s="8">
        <f t="shared" si="5"/>
        <v>0.05533568685</v>
      </c>
      <c r="O551" s="8">
        <f t="shared" si="6"/>
        <v>0.1820964</v>
      </c>
      <c r="P551" s="8">
        <f t="shared" si="7"/>
        <v>0.2731446</v>
      </c>
      <c r="Q551" s="8">
        <f t="shared" si="8"/>
        <v>0.0910482</v>
      </c>
      <c r="R551" s="57"/>
      <c r="S551" s="57"/>
      <c r="T551" s="57"/>
      <c r="U551" s="57"/>
      <c r="V551" s="57"/>
      <c r="W551" s="57"/>
      <c r="X551" s="57"/>
      <c r="Y551" s="57"/>
      <c r="Z551" s="61"/>
    </row>
    <row r="552" ht="34.5" customHeight="1">
      <c r="A552" s="24" t="s">
        <v>587</v>
      </c>
      <c r="B552" s="42" t="s">
        <v>630</v>
      </c>
      <c r="C552" s="42" t="s">
        <v>640</v>
      </c>
      <c r="D552" s="42" t="s">
        <v>642</v>
      </c>
      <c r="E552" s="42">
        <v>735.0</v>
      </c>
      <c r="F552" s="43">
        <v>30.43</v>
      </c>
      <c r="G552" s="42">
        <v>13.0</v>
      </c>
      <c r="H552" s="43">
        <v>36.91</v>
      </c>
      <c r="I552" s="43">
        <v>41.53</v>
      </c>
      <c r="J552" s="44">
        <f t="shared" si="11"/>
        <v>562.47345</v>
      </c>
      <c r="K552" s="44">
        <f t="shared" si="12"/>
        <v>511.3395</v>
      </c>
      <c r="L552" s="8">
        <f t="shared" si="3"/>
        <v>5.179550034</v>
      </c>
      <c r="M552" s="8">
        <f t="shared" si="4"/>
        <v>1.55386501</v>
      </c>
      <c r="N552" s="8">
        <f t="shared" si="5"/>
        <v>0.3107730021</v>
      </c>
      <c r="O552" s="8">
        <f t="shared" si="6"/>
        <v>1.022679</v>
      </c>
      <c r="P552" s="8">
        <f t="shared" si="7"/>
        <v>1.5340185</v>
      </c>
      <c r="Q552" s="8">
        <f t="shared" si="8"/>
        <v>0.5113395</v>
      </c>
      <c r="R552" s="57"/>
      <c r="S552" s="57"/>
      <c r="T552" s="57"/>
      <c r="U552" s="57"/>
      <c r="V552" s="57"/>
      <c r="W552" s="57"/>
      <c r="X552" s="57"/>
      <c r="Y552" s="57"/>
      <c r="Z552" s="61"/>
    </row>
    <row r="553" ht="34.5" customHeight="1">
      <c r="A553" s="24" t="s">
        <v>587</v>
      </c>
      <c r="B553" s="42" t="s">
        <v>630</v>
      </c>
      <c r="C553" s="42" t="s">
        <v>634</v>
      </c>
      <c r="D553" s="42" t="s">
        <v>643</v>
      </c>
      <c r="E553" s="42">
        <v>74.0</v>
      </c>
      <c r="F553" s="43">
        <v>19.86</v>
      </c>
      <c r="G553" s="42">
        <v>1.0</v>
      </c>
      <c r="H553" s="43">
        <v>0.0</v>
      </c>
      <c r="I553" s="43">
        <v>100.0</v>
      </c>
      <c r="J553" s="44">
        <f t="shared" si="11"/>
        <v>65.23396</v>
      </c>
      <c r="K553" s="44">
        <f t="shared" si="12"/>
        <v>59.3036</v>
      </c>
      <c r="L553" s="8">
        <f t="shared" si="3"/>
        <v>0.6007084597</v>
      </c>
      <c r="M553" s="8">
        <f t="shared" si="4"/>
        <v>0.1802125379</v>
      </c>
      <c r="N553" s="8">
        <f t="shared" si="5"/>
        <v>0.03604250758</v>
      </c>
      <c r="O553" s="8">
        <f t="shared" si="6"/>
        <v>0.1186072</v>
      </c>
      <c r="P553" s="8">
        <f t="shared" si="7"/>
        <v>0.1779108</v>
      </c>
      <c r="Q553" s="8">
        <f t="shared" si="8"/>
        <v>0.0593036</v>
      </c>
      <c r="R553" s="57"/>
      <c r="S553" s="57"/>
      <c r="T553" s="57"/>
      <c r="U553" s="57"/>
      <c r="V553" s="57"/>
      <c r="W553" s="57"/>
      <c r="X553" s="57"/>
      <c r="Y553" s="57"/>
      <c r="Z553" s="61"/>
    </row>
    <row r="554" ht="34.5" customHeight="1">
      <c r="A554" s="24" t="s">
        <v>587</v>
      </c>
      <c r="B554" s="42" t="s">
        <v>630</v>
      </c>
      <c r="C554" s="42" t="s">
        <v>634</v>
      </c>
      <c r="D554" s="42" t="s">
        <v>644</v>
      </c>
      <c r="E554" s="42">
        <v>659.0</v>
      </c>
      <c r="F554" s="43">
        <v>29.69</v>
      </c>
      <c r="G554" s="42">
        <v>12.0</v>
      </c>
      <c r="H554" s="43">
        <v>15.03</v>
      </c>
      <c r="I554" s="43">
        <v>40.28</v>
      </c>
      <c r="J554" s="44">
        <f t="shared" si="11"/>
        <v>509.67719</v>
      </c>
      <c r="K554" s="44">
        <f t="shared" si="12"/>
        <v>463.3429</v>
      </c>
      <c r="L554" s="8">
        <f t="shared" si="3"/>
        <v>4.693374428</v>
      </c>
      <c r="M554" s="8">
        <f t="shared" si="4"/>
        <v>1.408012329</v>
      </c>
      <c r="N554" s="8">
        <f t="shared" si="5"/>
        <v>0.2816024657</v>
      </c>
      <c r="O554" s="8">
        <f t="shared" si="6"/>
        <v>0.9266858</v>
      </c>
      <c r="P554" s="8">
        <f t="shared" si="7"/>
        <v>1.3900287</v>
      </c>
      <c r="Q554" s="8">
        <f t="shared" si="8"/>
        <v>0.4633429</v>
      </c>
      <c r="R554" s="57"/>
      <c r="S554" s="57"/>
      <c r="T554" s="57"/>
      <c r="U554" s="57"/>
      <c r="V554" s="57"/>
      <c r="W554" s="57"/>
      <c r="X554" s="57"/>
      <c r="Y554" s="57"/>
      <c r="Z554" s="61"/>
    </row>
    <row r="555" ht="34.5" customHeight="1">
      <c r="A555" s="24" t="s">
        <v>587</v>
      </c>
      <c r="B555" s="42" t="s">
        <v>630</v>
      </c>
      <c r="C555" s="42" t="s">
        <v>640</v>
      </c>
      <c r="D555" s="42" t="s">
        <v>645</v>
      </c>
      <c r="E555" s="42">
        <v>1751.0</v>
      </c>
      <c r="F555" s="43">
        <v>35.5</v>
      </c>
      <c r="G555" s="42">
        <v>23.0</v>
      </c>
      <c r="H555" s="43">
        <v>38.61</v>
      </c>
      <c r="I555" s="43">
        <v>55.42</v>
      </c>
      <c r="J555" s="44">
        <f t="shared" si="11"/>
        <v>1242.3345</v>
      </c>
      <c r="K555" s="44">
        <f t="shared" si="12"/>
        <v>1129.395</v>
      </c>
      <c r="L555" s="8">
        <f t="shared" si="3"/>
        <v>11.44006655</v>
      </c>
      <c r="M555" s="8">
        <f t="shared" si="4"/>
        <v>3.432019966</v>
      </c>
      <c r="N555" s="8">
        <f t="shared" si="5"/>
        <v>0.6864039932</v>
      </c>
      <c r="O555" s="8">
        <f t="shared" si="6"/>
        <v>2.25879</v>
      </c>
      <c r="P555" s="8">
        <f t="shared" si="7"/>
        <v>3.388185</v>
      </c>
      <c r="Q555" s="8">
        <f t="shared" si="8"/>
        <v>1.129395</v>
      </c>
      <c r="R555" s="57"/>
      <c r="S555" s="57"/>
      <c r="T555" s="57"/>
      <c r="U555" s="57"/>
      <c r="V555" s="57"/>
      <c r="W555" s="57"/>
      <c r="X555" s="57"/>
      <c r="Y555" s="57"/>
      <c r="Z555" s="61"/>
    </row>
    <row r="556" ht="34.5" customHeight="1">
      <c r="A556" s="24" t="s">
        <v>587</v>
      </c>
      <c r="B556" s="42" t="s">
        <v>630</v>
      </c>
      <c r="C556" s="42" t="s">
        <v>640</v>
      </c>
      <c r="D556" s="42" t="s">
        <v>646</v>
      </c>
      <c r="E556" s="42">
        <v>931.0</v>
      </c>
      <c r="F556" s="43">
        <v>35.58</v>
      </c>
      <c r="G556" s="42">
        <v>13.0</v>
      </c>
      <c r="H556" s="43">
        <v>11.11</v>
      </c>
      <c r="I556" s="43">
        <v>23.92</v>
      </c>
      <c r="J556" s="44">
        <f t="shared" si="11"/>
        <v>659.72522</v>
      </c>
      <c r="K556" s="44">
        <f t="shared" si="12"/>
        <v>599.7502</v>
      </c>
      <c r="L556" s="8">
        <f t="shared" si="3"/>
        <v>6.075095253</v>
      </c>
      <c r="M556" s="8">
        <f t="shared" si="4"/>
        <v>1.822528576</v>
      </c>
      <c r="N556" s="8">
        <f t="shared" si="5"/>
        <v>0.3645057152</v>
      </c>
      <c r="O556" s="8">
        <f t="shared" si="6"/>
        <v>1.1995004</v>
      </c>
      <c r="P556" s="8">
        <f t="shared" si="7"/>
        <v>1.7992506</v>
      </c>
      <c r="Q556" s="8">
        <f t="shared" si="8"/>
        <v>0.5997502</v>
      </c>
      <c r="R556" s="57"/>
      <c r="S556" s="57"/>
      <c r="T556" s="57"/>
      <c r="U556" s="57"/>
      <c r="V556" s="57"/>
      <c r="W556" s="57"/>
      <c r="X556" s="57"/>
      <c r="Y556" s="57"/>
      <c r="Z556" s="61"/>
    </row>
    <row r="557" ht="34.5" customHeight="1">
      <c r="A557" s="24" t="s">
        <v>587</v>
      </c>
      <c r="B557" s="42" t="s">
        <v>630</v>
      </c>
      <c r="C557" s="42" t="s">
        <v>631</v>
      </c>
      <c r="D557" s="42" t="s">
        <v>647</v>
      </c>
      <c r="E557" s="42">
        <v>342.0</v>
      </c>
      <c r="F557" s="43">
        <v>40.71</v>
      </c>
      <c r="G557" s="42">
        <v>3.0</v>
      </c>
      <c r="H557" s="43">
        <v>40.16</v>
      </c>
      <c r="I557" s="43">
        <v>52.21</v>
      </c>
      <c r="J557" s="44">
        <f t="shared" si="11"/>
        <v>223.04898</v>
      </c>
      <c r="K557" s="44">
        <f t="shared" si="12"/>
        <v>202.7718</v>
      </c>
      <c r="L557" s="8">
        <f t="shared" si="3"/>
        <v>2.053951795</v>
      </c>
      <c r="M557" s="8">
        <f t="shared" si="4"/>
        <v>0.6161855384</v>
      </c>
      <c r="N557" s="8">
        <f t="shared" si="5"/>
        <v>0.1232371077</v>
      </c>
      <c r="O557" s="8">
        <f t="shared" si="6"/>
        <v>0.4055436</v>
      </c>
      <c r="P557" s="8">
        <f t="shared" si="7"/>
        <v>0.6083154</v>
      </c>
      <c r="Q557" s="8">
        <f t="shared" si="8"/>
        <v>0.2027718</v>
      </c>
      <c r="R557" s="57"/>
      <c r="S557" s="57"/>
      <c r="T557" s="57"/>
      <c r="U557" s="57"/>
      <c r="V557" s="57"/>
      <c r="W557" s="57"/>
      <c r="X557" s="57"/>
      <c r="Y557" s="57"/>
      <c r="Z557" s="61"/>
    </row>
    <row r="558" ht="34.5" customHeight="1">
      <c r="A558" s="24" t="s">
        <v>587</v>
      </c>
      <c r="B558" s="42" t="s">
        <v>630</v>
      </c>
      <c r="C558" s="42" t="s">
        <v>631</v>
      </c>
      <c r="D558" s="42" t="s">
        <v>648</v>
      </c>
      <c r="E558" s="42">
        <v>64.0</v>
      </c>
      <c r="F558" s="43">
        <v>21.23</v>
      </c>
      <c r="G558" s="42">
        <v>2.0</v>
      </c>
      <c r="H558" s="43">
        <v>57.94</v>
      </c>
      <c r="I558" s="43">
        <v>100.0</v>
      </c>
      <c r="J558" s="44">
        <f t="shared" si="11"/>
        <v>55.45408</v>
      </c>
      <c r="K558" s="44">
        <f t="shared" si="12"/>
        <v>50.4128</v>
      </c>
      <c r="L558" s="8">
        <f t="shared" si="3"/>
        <v>0.510650204</v>
      </c>
      <c r="M558" s="8">
        <f t="shared" si="4"/>
        <v>0.1531950612</v>
      </c>
      <c r="N558" s="8">
        <f t="shared" si="5"/>
        <v>0.03063901224</v>
      </c>
      <c r="O558" s="8">
        <f t="shared" si="6"/>
        <v>0.1008256</v>
      </c>
      <c r="P558" s="8">
        <f t="shared" si="7"/>
        <v>0.1512384</v>
      </c>
      <c r="Q558" s="8">
        <f t="shared" si="8"/>
        <v>0.0504128</v>
      </c>
      <c r="R558" s="57"/>
      <c r="S558" s="57"/>
      <c r="T558" s="57"/>
      <c r="U558" s="57"/>
      <c r="V558" s="57"/>
      <c r="W558" s="57"/>
      <c r="X558" s="57"/>
      <c r="Y558" s="57"/>
      <c r="Z558" s="61"/>
    </row>
    <row r="559" ht="34.5" customHeight="1">
      <c r="A559" s="24" t="s">
        <v>587</v>
      </c>
      <c r="B559" s="42" t="s">
        <v>630</v>
      </c>
      <c r="C559" s="42" t="s">
        <v>631</v>
      </c>
      <c r="D559" s="42" t="s">
        <v>630</v>
      </c>
      <c r="E559" s="42">
        <v>928.0</v>
      </c>
      <c r="F559" s="43">
        <v>38.1</v>
      </c>
      <c r="G559" s="42">
        <v>14.0</v>
      </c>
      <c r="H559" s="43">
        <v>34.04</v>
      </c>
      <c r="I559" s="43">
        <v>57.07</v>
      </c>
      <c r="J559" s="44">
        <f t="shared" si="11"/>
        <v>631.8752</v>
      </c>
      <c r="K559" s="44">
        <f t="shared" si="12"/>
        <v>574.432</v>
      </c>
      <c r="L559" s="8">
        <f t="shared" si="3"/>
        <v>5.818637686</v>
      </c>
      <c r="M559" s="8">
        <f t="shared" si="4"/>
        <v>1.745591306</v>
      </c>
      <c r="N559" s="8">
        <f t="shared" si="5"/>
        <v>0.3491182612</v>
      </c>
      <c r="O559" s="8">
        <f t="shared" si="6"/>
        <v>1.148864</v>
      </c>
      <c r="P559" s="8">
        <f t="shared" si="7"/>
        <v>1.723296</v>
      </c>
      <c r="Q559" s="8">
        <f t="shared" si="8"/>
        <v>0.574432</v>
      </c>
      <c r="R559" s="57"/>
      <c r="S559" s="57"/>
      <c r="T559" s="57"/>
      <c r="U559" s="57"/>
      <c r="V559" s="57"/>
      <c r="W559" s="57"/>
      <c r="X559" s="57"/>
      <c r="Y559" s="57"/>
      <c r="Z559" s="61"/>
    </row>
    <row r="560" ht="34.5" customHeight="1">
      <c r="A560" s="24" t="s">
        <v>587</v>
      </c>
      <c r="B560" s="42" t="s">
        <v>630</v>
      </c>
      <c r="C560" s="42" t="s">
        <v>634</v>
      </c>
      <c r="D560" s="42" t="s">
        <v>649</v>
      </c>
      <c r="E560" s="42">
        <v>520.0</v>
      </c>
      <c r="F560" s="43">
        <v>32.95</v>
      </c>
      <c r="G560" s="42">
        <v>9.0</v>
      </c>
      <c r="H560" s="43">
        <v>43.95</v>
      </c>
      <c r="I560" s="43">
        <v>75.35</v>
      </c>
      <c r="J560" s="44">
        <f t="shared" si="11"/>
        <v>383.526</v>
      </c>
      <c r="K560" s="44">
        <f t="shared" si="12"/>
        <v>348.66</v>
      </c>
      <c r="L560" s="8">
        <f t="shared" si="3"/>
        <v>3.531708219</v>
      </c>
      <c r="M560" s="8">
        <f t="shared" si="4"/>
        <v>1.059512466</v>
      </c>
      <c r="N560" s="8">
        <f t="shared" si="5"/>
        <v>0.2119024932</v>
      </c>
      <c r="O560" s="8">
        <f t="shared" si="6"/>
        <v>0.69732</v>
      </c>
      <c r="P560" s="8">
        <f t="shared" si="7"/>
        <v>1.04598</v>
      </c>
      <c r="Q560" s="8">
        <f t="shared" si="8"/>
        <v>0.34866</v>
      </c>
      <c r="R560" s="57"/>
      <c r="S560" s="57"/>
      <c r="T560" s="57"/>
      <c r="U560" s="57"/>
      <c r="V560" s="57"/>
      <c r="W560" s="57"/>
      <c r="X560" s="57"/>
      <c r="Y560" s="57"/>
      <c r="Z560" s="61"/>
    </row>
    <row r="561" ht="34.5" customHeight="1">
      <c r="A561" s="24" t="s">
        <v>587</v>
      </c>
      <c r="B561" s="42" t="s">
        <v>630</v>
      </c>
      <c r="C561" s="42" t="s">
        <v>634</v>
      </c>
      <c r="D561" s="42" t="s">
        <v>650</v>
      </c>
      <c r="E561" s="42">
        <v>80.0</v>
      </c>
      <c r="F561" s="43">
        <v>14.06</v>
      </c>
      <c r="G561" s="42">
        <v>5.0</v>
      </c>
      <c r="H561" s="43">
        <v>84.98</v>
      </c>
      <c r="I561" s="43">
        <v>100.0</v>
      </c>
      <c r="J561" s="44">
        <f t="shared" si="11"/>
        <v>75.6272</v>
      </c>
      <c r="K561" s="44">
        <f t="shared" si="12"/>
        <v>68.752</v>
      </c>
      <c r="L561" s="8">
        <f t="shared" si="3"/>
        <v>0.6964148554</v>
      </c>
      <c r="M561" s="8">
        <f t="shared" si="4"/>
        <v>0.2089244566</v>
      </c>
      <c r="N561" s="8">
        <f t="shared" si="5"/>
        <v>0.04178489132</v>
      </c>
      <c r="O561" s="8">
        <f t="shared" si="6"/>
        <v>0.137504</v>
      </c>
      <c r="P561" s="8">
        <f t="shared" si="7"/>
        <v>0.206256</v>
      </c>
      <c r="Q561" s="8">
        <f t="shared" si="8"/>
        <v>0.068752</v>
      </c>
      <c r="R561" s="57"/>
      <c r="S561" s="57"/>
      <c r="T561" s="57"/>
      <c r="U561" s="57"/>
      <c r="V561" s="57"/>
      <c r="W561" s="57"/>
      <c r="X561" s="57"/>
      <c r="Y561" s="57"/>
      <c r="Z561" s="61"/>
    </row>
    <row r="562" ht="34.5" customHeight="1">
      <c r="A562" s="24" t="s">
        <v>587</v>
      </c>
      <c r="B562" s="42" t="s">
        <v>630</v>
      </c>
      <c r="C562" s="42" t="s">
        <v>631</v>
      </c>
      <c r="D562" s="42" t="s">
        <v>651</v>
      </c>
      <c r="E562" s="42">
        <v>230.0</v>
      </c>
      <c r="F562" s="43">
        <v>25.69</v>
      </c>
      <c r="G562" s="42">
        <v>7.0</v>
      </c>
      <c r="H562" s="43">
        <v>59.46</v>
      </c>
      <c r="I562" s="43">
        <v>59.46</v>
      </c>
      <c r="J562" s="44">
        <f t="shared" si="11"/>
        <v>188.0043</v>
      </c>
      <c r="K562" s="44">
        <f t="shared" si="12"/>
        <v>170.913</v>
      </c>
      <c r="L562" s="8">
        <f t="shared" si="3"/>
        <v>1.731242032</v>
      </c>
      <c r="M562" s="8">
        <f t="shared" si="4"/>
        <v>0.5193726096</v>
      </c>
      <c r="N562" s="8">
        <f t="shared" si="5"/>
        <v>0.1038745219</v>
      </c>
      <c r="O562" s="8">
        <f t="shared" si="6"/>
        <v>0.341826</v>
      </c>
      <c r="P562" s="8">
        <f t="shared" si="7"/>
        <v>0.512739</v>
      </c>
      <c r="Q562" s="8">
        <f t="shared" si="8"/>
        <v>0.170913</v>
      </c>
      <c r="R562" s="57"/>
      <c r="S562" s="57"/>
      <c r="T562" s="57"/>
      <c r="U562" s="57"/>
      <c r="V562" s="57"/>
      <c r="W562" s="57"/>
      <c r="X562" s="57"/>
      <c r="Y562" s="57"/>
      <c r="Z562" s="61"/>
    </row>
    <row r="563" ht="34.5" customHeight="1">
      <c r="A563" s="24" t="s">
        <v>587</v>
      </c>
      <c r="B563" s="42" t="s">
        <v>630</v>
      </c>
      <c r="C563" s="42" t="s">
        <v>634</v>
      </c>
      <c r="D563" s="42" t="s">
        <v>652</v>
      </c>
      <c r="E563" s="42">
        <v>107.0</v>
      </c>
      <c r="F563" s="43">
        <v>16.61</v>
      </c>
      <c r="G563" s="42">
        <v>5.0</v>
      </c>
      <c r="H563" s="43">
        <v>100.0</v>
      </c>
      <c r="I563" s="43">
        <v>100.0</v>
      </c>
      <c r="J563" s="44">
        <f t="shared" si="11"/>
        <v>98.15003</v>
      </c>
      <c r="K563" s="44">
        <f t="shared" si="12"/>
        <v>89.2273</v>
      </c>
      <c r="L563" s="8">
        <f t="shared" si="3"/>
        <v>0.9038168668</v>
      </c>
      <c r="M563" s="8">
        <f t="shared" si="4"/>
        <v>0.27114506</v>
      </c>
      <c r="N563" s="8">
        <f t="shared" si="5"/>
        <v>0.05422901201</v>
      </c>
      <c r="O563" s="8">
        <f t="shared" si="6"/>
        <v>0.1784546</v>
      </c>
      <c r="P563" s="8">
        <f t="shared" si="7"/>
        <v>0.2676819</v>
      </c>
      <c r="Q563" s="8">
        <f t="shared" si="8"/>
        <v>0.0892273</v>
      </c>
      <c r="R563" s="57"/>
      <c r="S563" s="57"/>
      <c r="T563" s="57"/>
      <c r="U563" s="57"/>
      <c r="V563" s="57"/>
      <c r="W563" s="57"/>
      <c r="X563" s="57"/>
      <c r="Y563" s="57"/>
      <c r="Z563" s="61"/>
    </row>
    <row r="564" ht="34.5" customHeight="1">
      <c r="A564" s="24" t="s">
        <v>587</v>
      </c>
      <c r="B564" s="42" t="s">
        <v>630</v>
      </c>
      <c r="C564" s="42" t="s">
        <v>631</v>
      </c>
      <c r="D564" s="42" t="s">
        <v>653</v>
      </c>
      <c r="E564" s="42">
        <v>495.0</v>
      </c>
      <c r="F564" s="43">
        <v>27.74</v>
      </c>
      <c r="G564" s="42">
        <v>9.0</v>
      </c>
      <c r="H564" s="43">
        <v>80.52</v>
      </c>
      <c r="I564" s="43">
        <v>80.52</v>
      </c>
      <c r="J564" s="44">
        <f t="shared" si="11"/>
        <v>393.4557</v>
      </c>
      <c r="K564" s="44">
        <f t="shared" si="12"/>
        <v>357.687</v>
      </c>
      <c r="L564" s="8">
        <f t="shared" si="3"/>
        <v>3.623146096</v>
      </c>
      <c r="M564" s="8">
        <f t="shared" si="4"/>
        <v>1.086943829</v>
      </c>
      <c r="N564" s="8">
        <f t="shared" si="5"/>
        <v>0.2173887658</v>
      </c>
      <c r="O564" s="8">
        <f t="shared" si="6"/>
        <v>0.715374</v>
      </c>
      <c r="P564" s="8">
        <f t="shared" si="7"/>
        <v>1.073061</v>
      </c>
      <c r="Q564" s="8">
        <f t="shared" si="8"/>
        <v>0.357687</v>
      </c>
      <c r="R564" s="57"/>
      <c r="S564" s="57"/>
      <c r="T564" s="57"/>
      <c r="U564" s="57"/>
      <c r="V564" s="57"/>
      <c r="W564" s="57"/>
      <c r="X564" s="57"/>
      <c r="Y564" s="57"/>
      <c r="Z564" s="61"/>
    </row>
    <row r="565" ht="34.5" customHeight="1">
      <c r="A565" s="24" t="s">
        <v>654</v>
      </c>
      <c r="B565" s="50" t="s">
        <v>588</v>
      </c>
      <c r="C565" s="50" t="s">
        <v>655</v>
      </c>
      <c r="D565" s="50" t="s">
        <v>656</v>
      </c>
      <c r="E565" s="50">
        <v>2026.0</v>
      </c>
      <c r="F565" s="49">
        <v>45.89</v>
      </c>
      <c r="G565" s="50">
        <v>17.0</v>
      </c>
      <c r="H565" s="49">
        <v>29.0</v>
      </c>
      <c r="I565" s="49">
        <v>76.81</v>
      </c>
      <c r="J565" s="51">
        <f t="shared" si="11"/>
        <v>1205.89546</v>
      </c>
      <c r="K565" s="51">
        <f t="shared" si="12"/>
        <v>1096.2686</v>
      </c>
      <c r="L565" s="8">
        <f t="shared" si="3"/>
        <v>11.10451679</v>
      </c>
      <c r="M565" s="8">
        <f t="shared" si="4"/>
        <v>3.331355038</v>
      </c>
      <c r="N565" s="8">
        <f t="shared" si="5"/>
        <v>0.6662710076</v>
      </c>
      <c r="O565" s="8">
        <f t="shared" si="6"/>
        <v>2.1925372</v>
      </c>
      <c r="P565" s="8">
        <f t="shared" si="7"/>
        <v>3.2888058</v>
      </c>
      <c r="Q565" s="8">
        <f t="shared" si="8"/>
        <v>1.0962686</v>
      </c>
      <c r="R565" s="57"/>
      <c r="S565" s="57"/>
      <c r="T565" s="57"/>
      <c r="U565" s="57"/>
      <c r="V565" s="57"/>
      <c r="W565" s="57"/>
      <c r="X565" s="57"/>
      <c r="Y565" s="57"/>
    </row>
    <row r="566" ht="34.5" customHeight="1">
      <c r="A566" s="24" t="s">
        <v>654</v>
      </c>
      <c r="B566" s="50" t="s">
        <v>588</v>
      </c>
      <c r="C566" s="50" t="s">
        <v>655</v>
      </c>
      <c r="D566" s="50" t="s">
        <v>657</v>
      </c>
      <c r="E566" s="50">
        <v>299.0</v>
      </c>
      <c r="F566" s="49">
        <v>25.86</v>
      </c>
      <c r="G566" s="50">
        <v>3.0</v>
      </c>
      <c r="H566" s="49">
        <v>0.0</v>
      </c>
      <c r="I566" s="49">
        <v>35.37</v>
      </c>
      <c r="J566" s="51">
        <f t="shared" si="11"/>
        <v>243.84646</v>
      </c>
      <c r="K566" s="51">
        <f t="shared" si="12"/>
        <v>221.6786</v>
      </c>
      <c r="L566" s="8">
        <f t="shared" si="3"/>
        <v>2.24546588</v>
      </c>
      <c r="M566" s="8">
        <f t="shared" si="4"/>
        <v>0.6736397639</v>
      </c>
      <c r="N566" s="8">
        <f t="shared" si="5"/>
        <v>0.1347279528</v>
      </c>
      <c r="O566" s="8">
        <f t="shared" si="6"/>
        <v>0.4433572</v>
      </c>
      <c r="P566" s="8">
        <f t="shared" si="7"/>
        <v>0.6650358</v>
      </c>
      <c r="Q566" s="8">
        <f t="shared" si="8"/>
        <v>0.2216786</v>
      </c>
      <c r="R566" s="57"/>
      <c r="S566" s="57"/>
      <c r="T566" s="57"/>
      <c r="U566" s="57"/>
      <c r="V566" s="57"/>
      <c r="W566" s="57"/>
      <c r="X566" s="57"/>
      <c r="Y566" s="57"/>
    </row>
    <row r="567" ht="34.5" customHeight="1">
      <c r="A567" s="24" t="s">
        <v>654</v>
      </c>
      <c r="B567" s="50" t="s">
        <v>588</v>
      </c>
      <c r="C567" s="50" t="s">
        <v>655</v>
      </c>
      <c r="D567" s="50" t="s">
        <v>658</v>
      </c>
      <c r="E567" s="50">
        <v>2219.0</v>
      </c>
      <c r="F567" s="49">
        <v>37.41</v>
      </c>
      <c r="G567" s="50">
        <v>30.0</v>
      </c>
      <c r="H567" s="49">
        <v>4.09</v>
      </c>
      <c r="I567" s="49">
        <v>18.32</v>
      </c>
      <c r="J567" s="51">
        <f t="shared" si="11"/>
        <v>1527.75931</v>
      </c>
      <c r="K567" s="51">
        <f t="shared" si="12"/>
        <v>1388.8721</v>
      </c>
      <c r="L567" s="8">
        <f t="shared" si="3"/>
        <v>14.06840765</v>
      </c>
      <c r="M567" s="8">
        <f t="shared" si="4"/>
        <v>4.220522295</v>
      </c>
      <c r="N567" s="8">
        <f t="shared" si="5"/>
        <v>0.8441044589</v>
      </c>
      <c r="O567" s="8">
        <f t="shared" si="6"/>
        <v>2.7777442</v>
      </c>
      <c r="P567" s="8">
        <f t="shared" si="7"/>
        <v>4.1666163</v>
      </c>
      <c r="Q567" s="8">
        <f t="shared" si="8"/>
        <v>1.3888721</v>
      </c>
      <c r="R567" s="57"/>
      <c r="S567" s="57"/>
      <c r="T567" s="57"/>
      <c r="U567" s="57"/>
      <c r="V567" s="57"/>
      <c r="W567" s="57"/>
      <c r="X567" s="57"/>
      <c r="Y567" s="57"/>
    </row>
    <row r="568" ht="34.5" customHeight="1">
      <c r="A568" s="24" t="s">
        <v>654</v>
      </c>
      <c r="B568" s="50" t="s">
        <v>588</v>
      </c>
      <c r="C568" s="50" t="s">
        <v>655</v>
      </c>
      <c r="D568" s="50" t="s">
        <v>659</v>
      </c>
      <c r="E568" s="50">
        <v>140.0</v>
      </c>
      <c r="F568" s="49">
        <v>14.21</v>
      </c>
      <c r="G568" s="50">
        <v>2.0</v>
      </c>
      <c r="H568" s="49">
        <v>52.19</v>
      </c>
      <c r="I568" s="49">
        <v>80.79</v>
      </c>
      <c r="J568" s="51">
        <f t="shared" si="11"/>
        <v>132.1166</v>
      </c>
      <c r="K568" s="51">
        <f t="shared" si="12"/>
        <v>120.106</v>
      </c>
      <c r="L568" s="8">
        <f t="shared" si="3"/>
        <v>1.216598828</v>
      </c>
      <c r="M568" s="8">
        <f t="shared" si="4"/>
        <v>0.3649796484</v>
      </c>
      <c r="N568" s="8">
        <f t="shared" si="5"/>
        <v>0.07299592968</v>
      </c>
      <c r="O568" s="8">
        <f t="shared" si="6"/>
        <v>0.240212</v>
      </c>
      <c r="P568" s="8">
        <f t="shared" si="7"/>
        <v>0.360318</v>
      </c>
      <c r="Q568" s="8">
        <f t="shared" si="8"/>
        <v>0.120106</v>
      </c>
      <c r="R568" s="57"/>
      <c r="S568" s="57"/>
      <c r="T568" s="57"/>
      <c r="U568" s="57"/>
      <c r="V568" s="57"/>
      <c r="W568" s="57"/>
      <c r="X568" s="57"/>
      <c r="Y568" s="57"/>
    </row>
    <row r="569" ht="34.5" customHeight="1">
      <c r="A569" s="24" t="s">
        <v>654</v>
      </c>
      <c r="B569" s="50" t="s">
        <v>588</v>
      </c>
      <c r="C569" s="50" t="s">
        <v>655</v>
      </c>
      <c r="D569" s="50" t="s">
        <v>660</v>
      </c>
      <c r="E569" s="50">
        <v>207.0</v>
      </c>
      <c r="F569" s="49">
        <v>13.09</v>
      </c>
      <c r="G569" s="50">
        <v>2.0</v>
      </c>
      <c r="H569" s="49">
        <v>0.0</v>
      </c>
      <c r="I569" s="49">
        <v>16.2</v>
      </c>
      <c r="J569" s="51">
        <f t="shared" si="11"/>
        <v>197.89407</v>
      </c>
      <c r="K569" s="51">
        <f t="shared" si="12"/>
        <v>179.9037</v>
      </c>
      <c r="L569" s="8">
        <f t="shared" si="3"/>
        <v>1.822312212</v>
      </c>
      <c r="M569" s="8">
        <f t="shared" si="4"/>
        <v>0.5466936637</v>
      </c>
      <c r="N569" s="8">
        <f t="shared" si="5"/>
        <v>0.1093387327</v>
      </c>
      <c r="O569" s="8">
        <f t="shared" si="6"/>
        <v>0.3598074</v>
      </c>
      <c r="P569" s="8">
        <f t="shared" si="7"/>
        <v>0.5397111</v>
      </c>
      <c r="Q569" s="8">
        <f t="shared" si="8"/>
        <v>0.1799037</v>
      </c>
      <c r="R569" s="57"/>
      <c r="S569" s="57"/>
      <c r="T569" s="57"/>
      <c r="U569" s="57"/>
      <c r="V569" s="57"/>
      <c r="W569" s="57"/>
      <c r="X569" s="57"/>
      <c r="Y569" s="57"/>
    </row>
    <row r="570" ht="34.5" customHeight="1">
      <c r="A570" s="24" t="s">
        <v>654</v>
      </c>
      <c r="B570" s="50" t="s">
        <v>588</v>
      </c>
      <c r="C570" s="50" t="s">
        <v>655</v>
      </c>
      <c r="D570" s="50" t="s">
        <v>661</v>
      </c>
      <c r="E570" s="50">
        <v>77.0</v>
      </c>
      <c r="F570" s="49">
        <v>8.34</v>
      </c>
      <c r="G570" s="50">
        <v>1.0</v>
      </c>
      <c r="H570" s="49">
        <v>100.0</v>
      </c>
      <c r="I570" s="49">
        <v>100.0</v>
      </c>
      <c r="J570" s="51">
        <f t="shared" si="11"/>
        <v>77.63602</v>
      </c>
      <c r="K570" s="51">
        <f t="shared" si="12"/>
        <v>70.5782</v>
      </c>
      <c r="L570" s="8">
        <f t="shared" si="3"/>
        <v>0.7149131218</v>
      </c>
      <c r="M570" s="8">
        <f t="shared" si="4"/>
        <v>0.2144739365</v>
      </c>
      <c r="N570" s="8">
        <f t="shared" si="5"/>
        <v>0.04289478731</v>
      </c>
      <c r="O570" s="8">
        <f t="shared" si="6"/>
        <v>0.1411564</v>
      </c>
      <c r="P570" s="8">
        <f t="shared" si="7"/>
        <v>0.2117346</v>
      </c>
      <c r="Q570" s="8">
        <f t="shared" si="8"/>
        <v>0.0705782</v>
      </c>
      <c r="R570" s="57"/>
      <c r="S570" s="57"/>
      <c r="T570" s="57"/>
      <c r="U570" s="57"/>
      <c r="V570" s="57"/>
      <c r="W570" s="57"/>
      <c r="X570" s="57"/>
      <c r="Y570" s="57"/>
    </row>
    <row r="571" ht="34.5" customHeight="1">
      <c r="A571" s="24" t="s">
        <v>654</v>
      </c>
      <c r="B571" s="50" t="s">
        <v>588</v>
      </c>
      <c r="C571" s="50" t="s">
        <v>655</v>
      </c>
      <c r="D571" s="50" t="s">
        <v>662</v>
      </c>
      <c r="E571" s="50">
        <v>164.0</v>
      </c>
      <c r="F571" s="49">
        <v>13.84</v>
      </c>
      <c r="G571" s="50">
        <v>4.0</v>
      </c>
      <c r="H571" s="49">
        <v>0.0</v>
      </c>
      <c r="I571" s="49">
        <v>39.46</v>
      </c>
      <c r="J571" s="51">
        <f t="shared" si="11"/>
        <v>155.43264</v>
      </c>
      <c r="K571" s="51">
        <f t="shared" si="12"/>
        <v>141.3024</v>
      </c>
      <c r="L571" s="8">
        <f t="shared" si="3"/>
        <v>1.431305132</v>
      </c>
      <c r="M571" s="8">
        <f t="shared" si="4"/>
        <v>0.4293915397</v>
      </c>
      <c r="N571" s="8">
        <f t="shared" si="5"/>
        <v>0.08587830795</v>
      </c>
      <c r="O571" s="8">
        <f t="shared" si="6"/>
        <v>0.2826048</v>
      </c>
      <c r="P571" s="8">
        <f t="shared" si="7"/>
        <v>0.4239072</v>
      </c>
      <c r="Q571" s="8">
        <f t="shared" si="8"/>
        <v>0.1413024</v>
      </c>
      <c r="R571" s="57"/>
      <c r="S571" s="57"/>
      <c r="T571" s="57"/>
      <c r="U571" s="57"/>
      <c r="V571" s="57"/>
      <c r="W571" s="57"/>
      <c r="X571" s="57"/>
      <c r="Y571" s="57"/>
    </row>
    <row r="572" ht="34.5" customHeight="1">
      <c r="A572" s="24" t="s">
        <v>654</v>
      </c>
      <c r="B572" s="50" t="s">
        <v>588</v>
      </c>
      <c r="C572" s="50" t="s">
        <v>655</v>
      </c>
      <c r="D572" s="50" t="s">
        <v>663</v>
      </c>
      <c r="E572" s="50">
        <v>313.0</v>
      </c>
      <c r="F572" s="49">
        <v>18.85</v>
      </c>
      <c r="G572" s="50">
        <v>4.0</v>
      </c>
      <c r="H572" s="49">
        <v>0.0</v>
      </c>
      <c r="I572" s="49">
        <v>65.93</v>
      </c>
      <c r="J572" s="51">
        <f t="shared" si="11"/>
        <v>279.39945</v>
      </c>
      <c r="K572" s="51">
        <f t="shared" si="12"/>
        <v>253.9995</v>
      </c>
      <c r="L572" s="8">
        <f t="shared" si="3"/>
        <v>2.572856427</v>
      </c>
      <c r="M572" s="8">
        <f t="shared" si="4"/>
        <v>0.7718569281</v>
      </c>
      <c r="N572" s="8">
        <f t="shared" si="5"/>
        <v>0.1543713856</v>
      </c>
      <c r="O572" s="8">
        <f t="shared" si="6"/>
        <v>0.507999</v>
      </c>
      <c r="P572" s="8">
        <f t="shared" si="7"/>
        <v>0.7619985</v>
      </c>
      <c r="Q572" s="8">
        <f t="shared" si="8"/>
        <v>0.2539995</v>
      </c>
      <c r="R572" s="57"/>
      <c r="S572" s="57"/>
      <c r="T572" s="57"/>
      <c r="U572" s="57"/>
      <c r="V572" s="57"/>
      <c r="W572" s="57"/>
      <c r="X572" s="57"/>
      <c r="Y572" s="57"/>
    </row>
    <row r="573" ht="34.5" customHeight="1">
      <c r="A573" s="24" t="s">
        <v>654</v>
      </c>
      <c r="B573" s="50" t="s">
        <v>588</v>
      </c>
      <c r="C573" s="50" t="s">
        <v>655</v>
      </c>
      <c r="D573" s="50" t="s">
        <v>664</v>
      </c>
      <c r="E573" s="50">
        <v>383.0</v>
      </c>
      <c r="F573" s="49">
        <v>10.61</v>
      </c>
      <c r="G573" s="50">
        <v>10.0</v>
      </c>
      <c r="H573" s="49">
        <v>75.72</v>
      </c>
      <c r="I573" s="49">
        <v>94.74</v>
      </c>
      <c r="J573" s="51">
        <f t="shared" si="11"/>
        <v>376.60007</v>
      </c>
      <c r="K573" s="51">
        <f t="shared" si="12"/>
        <v>342.3637</v>
      </c>
      <c r="L573" s="8">
        <f t="shared" si="3"/>
        <v>3.467930629</v>
      </c>
      <c r="M573" s="8">
        <f t="shared" si="4"/>
        <v>1.040379189</v>
      </c>
      <c r="N573" s="8">
        <f t="shared" si="5"/>
        <v>0.2080758378</v>
      </c>
      <c r="O573" s="8">
        <f t="shared" si="6"/>
        <v>0.6847274</v>
      </c>
      <c r="P573" s="8">
        <f t="shared" si="7"/>
        <v>1.0270911</v>
      </c>
      <c r="Q573" s="8">
        <f t="shared" si="8"/>
        <v>0.3423637</v>
      </c>
      <c r="R573" s="57"/>
      <c r="S573" s="57"/>
      <c r="T573" s="57"/>
      <c r="U573" s="57"/>
      <c r="V573" s="57"/>
      <c r="W573" s="57"/>
      <c r="X573" s="57"/>
      <c r="Y573" s="57"/>
    </row>
    <row r="574" ht="34.5" customHeight="1">
      <c r="A574" s="24" t="s">
        <v>654</v>
      </c>
      <c r="B574" s="50" t="s">
        <v>588</v>
      </c>
      <c r="C574" s="50" t="s">
        <v>655</v>
      </c>
      <c r="D574" s="50" t="s">
        <v>665</v>
      </c>
      <c r="E574" s="50">
        <v>65.0</v>
      </c>
      <c r="F574" s="49">
        <v>11.95</v>
      </c>
      <c r="G574" s="50">
        <v>1.0</v>
      </c>
      <c r="H574" s="49">
        <v>50.04</v>
      </c>
      <c r="I574" s="49">
        <v>100.0</v>
      </c>
      <c r="J574" s="51">
        <f t="shared" si="11"/>
        <v>62.95575</v>
      </c>
      <c r="K574" s="51">
        <f t="shared" si="12"/>
        <v>57.2325</v>
      </c>
      <c r="L574" s="8">
        <f t="shared" si="3"/>
        <v>0.5797295091</v>
      </c>
      <c r="M574" s="8">
        <f t="shared" si="4"/>
        <v>0.1739188527</v>
      </c>
      <c r="N574" s="8">
        <f t="shared" si="5"/>
        <v>0.03478377055</v>
      </c>
      <c r="O574" s="8">
        <f t="shared" si="6"/>
        <v>0.114465</v>
      </c>
      <c r="P574" s="8">
        <f t="shared" si="7"/>
        <v>0.1716975</v>
      </c>
      <c r="Q574" s="8">
        <f t="shared" si="8"/>
        <v>0.0572325</v>
      </c>
      <c r="R574" s="57"/>
      <c r="S574" s="57"/>
      <c r="T574" s="57"/>
      <c r="U574" s="57"/>
      <c r="V574" s="57"/>
      <c r="W574" s="57"/>
      <c r="X574" s="57"/>
      <c r="Y574" s="57"/>
    </row>
    <row r="575" ht="34.5" customHeight="1">
      <c r="A575" s="24" t="s">
        <v>654</v>
      </c>
      <c r="B575" s="50" t="s">
        <v>588</v>
      </c>
      <c r="C575" s="50" t="s">
        <v>655</v>
      </c>
      <c r="D575" s="50" t="s">
        <v>666</v>
      </c>
      <c r="E575" s="50">
        <v>131.0</v>
      </c>
      <c r="F575" s="49">
        <v>22.95</v>
      </c>
      <c r="G575" s="50">
        <v>2.0</v>
      </c>
      <c r="H575" s="49">
        <v>0.0</v>
      </c>
      <c r="I575" s="49">
        <v>85.41</v>
      </c>
      <c r="J575" s="51">
        <f t="shared" si="11"/>
        <v>111.02905</v>
      </c>
      <c r="K575" s="51">
        <f t="shared" si="12"/>
        <v>100.9355</v>
      </c>
      <c r="L575" s="8">
        <f t="shared" si="3"/>
        <v>1.022413626</v>
      </c>
      <c r="M575" s="8">
        <f t="shared" si="4"/>
        <v>0.3067240879</v>
      </c>
      <c r="N575" s="8">
        <f t="shared" si="5"/>
        <v>0.06134481758</v>
      </c>
      <c r="O575" s="8">
        <f t="shared" si="6"/>
        <v>0.201871</v>
      </c>
      <c r="P575" s="8">
        <f t="shared" si="7"/>
        <v>0.3028065</v>
      </c>
      <c r="Q575" s="8">
        <f t="shared" si="8"/>
        <v>0.1009355</v>
      </c>
      <c r="R575" s="57"/>
      <c r="S575" s="57"/>
      <c r="T575" s="57"/>
      <c r="U575" s="57"/>
      <c r="V575" s="57"/>
      <c r="W575" s="57"/>
      <c r="X575" s="57"/>
      <c r="Y575" s="57"/>
    </row>
    <row r="576" ht="34.5" customHeight="1">
      <c r="A576" s="24" t="s">
        <v>654</v>
      </c>
      <c r="B576" s="50" t="s">
        <v>588</v>
      </c>
      <c r="C576" s="50" t="s">
        <v>667</v>
      </c>
      <c r="D576" s="50" t="s">
        <v>668</v>
      </c>
      <c r="E576" s="50">
        <v>730.0</v>
      </c>
      <c r="F576" s="49">
        <v>38.44</v>
      </c>
      <c r="G576" s="50">
        <v>8.0</v>
      </c>
      <c r="H576" s="49">
        <v>34.7</v>
      </c>
      <c r="I576" s="49">
        <v>47.38</v>
      </c>
      <c r="J576" s="51">
        <f t="shared" si="11"/>
        <v>494.3268</v>
      </c>
      <c r="K576" s="51">
        <f t="shared" si="12"/>
        <v>449.388</v>
      </c>
      <c r="L576" s="8">
        <f t="shared" si="3"/>
        <v>4.55202</v>
      </c>
      <c r="M576" s="8">
        <f t="shared" si="4"/>
        <v>1.365606</v>
      </c>
      <c r="N576" s="8">
        <f t="shared" si="5"/>
        <v>0.2731212</v>
      </c>
      <c r="O576" s="8">
        <f t="shared" si="6"/>
        <v>0.898776</v>
      </c>
      <c r="P576" s="8">
        <f t="shared" si="7"/>
        <v>1.348164</v>
      </c>
      <c r="Q576" s="8">
        <f t="shared" si="8"/>
        <v>0.449388</v>
      </c>
      <c r="R576" s="57"/>
      <c r="S576" s="57"/>
      <c r="T576" s="57"/>
      <c r="U576" s="57"/>
      <c r="V576" s="57"/>
      <c r="W576" s="57"/>
      <c r="X576" s="57"/>
      <c r="Y576" s="57"/>
    </row>
    <row r="577" ht="34.5" customHeight="1">
      <c r="A577" s="24" t="s">
        <v>654</v>
      </c>
      <c r="B577" s="50" t="s">
        <v>588</v>
      </c>
      <c r="C577" s="50" t="s">
        <v>667</v>
      </c>
      <c r="D577" s="50" t="s">
        <v>669</v>
      </c>
      <c r="E577" s="50">
        <v>881.0</v>
      </c>
      <c r="F577" s="49">
        <v>42.04</v>
      </c>
      <c r="G577" s="50">
        <v>8.0</v>
      </c>
      <c r="H577" s="49">
        <v>12.23</v>
      </c>
      <c r="I577" s="49">
        <v>33.07</v>
      </c>
      <c r="J577" s="51">
        <f t="shared" si="11"/>
        <v>561.69036</v>
      </c>
      <c r="K577" s="51">
        <f t="shared" si="12"/>
        <v>510.6276</v>
      </c>
      <c r="L577" s="8">
        <f t="shared" si="3"/>
        <v>5.172338932</v>
      </c>
      <c r="M577" s="8">
        <f t="shared" si="4"/>
        <v>1.551701679</v>
      </c>
      <c r="N577" s="8">
        <f t="shared" si="5"/>
        <v>0.3103403359</v>
      </c>
      <c r="O577" s="8">
        <f t="shared" si="6"/>
        <v>1.0212552</v>
      </c>
      <c r="P577" s="8">
        <f t="shared" si="7"/>
        <v>1.5318828</v>
      </c>
      <c r="Q577" s="8">
        <f t="shared" si="8"/>
        <v>0.5106276</v>
      </c>
      <c r="R577" s="57"/>
      <c r="S577" s="57"/>
      <c r="T577" s="57"/>
      <c r="U577" s="57"/>
      <c r="V577" s="57"/>
      <c r="W577" s="57"/>
      <c r="X577" s="57"/>
      <c r="Y577" s="57"/>
    </row>
    <row r="578" ht="34.5" customHeight="1">
      <c r="A578" s="24" t="s">
        <v>654</v>
      </c>
      <c r="B578" s="50" t="s">
        <v>588</v>
      </c>
      <c r="C578" s="50" t="s">
        <v>667</v>
      </c>
      <c r="D578" s="50" t="s">
        <v>670</v>
      </c>
      <c r="E578" s="50">
        <v>963.0</v>
      </c>
      <c r="F578" s="49">
        <v>42.85</v>
      </c>
      <c r="G578" s="50">
        <v>12.0</v>
      </c>
      <c r="H578" s="49">
        <v>16.9</v>
      </c>
      <c r="I578" s="49">
        <v>42.9</v>
      </c>
      <c r="J578" s="51">
        <f t="shared" si="11"/>
        <v>605.38995</v>
      </c>
      <c r="K578" s="51">
        <f t="shared" si="12"/>
        <v>550.3545</v>
      </c>
      <c r="L578" s="8">
        <f t="shared" si="3"/>
        <v>5.574747637</v>
      </c>
      <c r="M578" s="8">
        <f t="shared" si="4"/>
        <v>1.672424291</v>
      </c>
      <c r="N578" s="8">
        <f t="shared" si="5"/>
        <v>0.3344848582</v>
      </c>
      <c r="O578" s="8">
        <f t="shared" si="6"/>
        <v>1.100709</v>
      </c>
      <c r="P578" s="8">
        <f t="shared" si="7"/>
        <v>1.6510635</v>
      </c>
      <c r="Q578" s="8">
        <f t="shared" si="8"/>
        <v>0.5503545</v>
      </c>
      <c r="R578" s="57"/>
      <c r="S578" s="57"/>
      <c r="T578" s="57"/>
      <c r="U578" s="57"/>
      <c r="V578" s="57"/>
      <c r="W578" s="57"/>
      <c r="X578" s="57"/>
      <c r="Y578" s="57"/>
    </row>
    <row r="579" ht="34.5" customHeight="1">
      <c r="A579" s="24" t="s">
        <v>654</v>
      </c>
      <c r="B579" s="50" t="s">
        <v>588</v>
      </c>
      <c r="C579" s="50" t="s">
        <v>667</v>
      </c>
      <c r="D579" s="50" t="s">
        <v>671</v>
      </c>
      <c r="E579" s="50">
        <v>466.0</v>
      </c>
      <c r="F579" s="49">
        <v>27.88</v>
      </c>
      <c r="G579" s="50">
        <v>5.0</v>
      </c>
      <c r="H579" s="49">
        <v>80.38</v>
      </c>
      <c r="I579" s="49">
        <v>90.37</v>
      </c>
      <c r="J579" s="51">
        <f t="shared" si="11"/>
        <v>369.68712</v>
      </c>
      <c r="K579" s="51">
        <f t="shared" si="12"/>
        <v>336.0792</v>
      </c>
      <c r="L579" s="8">
        <f t="shared" si="3"/>
        <v>3.404272566</v>
      </c>
      <c r="M579" s="8">
        <f t="shared" si="4"/>
        <v>1.02128177</v>
      </c>
      <c r="N579" s="8">
        <f t="shared" si="5"/>
        <v>0.204256354</v>
      </c>
      <c r="O579" s="8">
        <f t="shared" si="6"/>
        <v>0.6721584</v>
      </c>
      <c r="P579" s="8">
        <f t="shared" si="7"/>
        <v>1.0082376</v>
      </c>
      <c r="Q579" s="8">
        <f t="shared" si="8"/>
        <v>0.3360792</v>
      </c>
      <c r="R579" s="57"/>
      <c r="S579" s="57"/>
      <c r="T579" s="57"/>
      <c r="U579" s="57"/>
      <c r="V579" s="57"/>
      <c r="W579" s="57"/>
      <c r="X579" s="57"/>
      <c r="Y579" s="57"/>
    </row>
    <row r="580" ht="34.5" customHeight="1">
      <c r="A580" s="24" t="s">
        <v>654</v>
      </c>
      <c r="B580" s="50" t="s">
        <v>588</v>
      </c>
      <c r="C580" s="50" t="s">
        <v>667</v>
      </c>
      <c r="D580" s="50" t="s">
        <v>667</v>
      </c>
      <c r="E580" s="50">
        <v>5295.0</v>
      </c>
      <c r="F580" s="49">
        <v>59.54</v>
      </c>
      <c r="G580" s="50">
        <v>35.0</v>
      </c>
      <c r="H580" s="49">
        <v>14.82</v>
      </c>
      <c r="I580" s="49">
        <v>60.22</v>
      </c>
      <c r="J580" s="51">
        <f t="shared" si="11"/>
        <v>2356.5927</v>
      </c>
      <c r="K580" s="51">
        <f t="shared" si="12"/>
        <v>2142.357</v>
      </c>
      <c r="L580" s="8">
        <f t="shared" si="3"/>
        <v>21.70073947</v>
      </c>
      <c r="M580" s="8">
        <f t="shared" si="4"/>
        <v>6.510221842</v>
      </c>
      <c r="N580" s="8">
        <f t="shared" si="5"/>
        <v>1.302044368</v>
      </c>
      <c r="O580" s="8">
        <f t="shared" si="6"/>
        <v>4.284714</v>
      </c>
      <c r="P580" s="8">
        <f t="shared" si="7"/>
        <v>6.427071</v>
      </c>
      <c r="Q580" s="8">
        <f t="shared" si="8"/>
        <v>2.142357</v>
      </c>
      <c r="R580" s="57"/>
      <c r="S580" s="57"/>
      <c r="T580" s="57"/>
      <c r="U580" s="57"/>
      <c r="V580" s="57"/>
      <c r="W580" s="57"/>
      <c r="X580" s="57"/>
      <c r="Y580" s="57"/>
    </row>
    <row r="581" ht="34.5" customHeight="1">
      <c r="A581" s="24" t="s">
        <v>654</v>
      </c>
      <c r="B581" s="50" t="s">
        <v>588</v>
      </c>
      <c r="C581" s="50" t="s">
        <v>667</v>
      </c>
      <c r="D581" s="50" t="s">
        <v>672</v>
      </c>
      <c r="E581" s="50">
        <v>722.0</v>
      </c>
      <c r="F581" s="49">
        <v>36.98</v>
      </c>
      <c r="G581" s="50">
        <v>6.0</v>
      </c>
      <c r="H581" s="49">
        <v>0.0</v>
      </c>
      <c r="I581" s="49">
        <v>87.33</v>
      </c>
      <c r="J581" s="51">
        <f t="shared" si="11"/>
        <v>500.50484</v>
      </c>
      <c r="K581" s="51">
        <f t="shared" si="12"/>
        <v>455.0044</v>
      </c>
      <c r="L581" s="8">
        <f t="shared" si="3"/>
        <v>4.608910627</v>
      </c>
      <c r="M581" s="8">
        <f t="shared" si="4"/>
        <v>1.382673188</v>
      </c>
      <c r="N581" s="8">
        <f t="shared" si="5"/>
        <v>0.2765346376</v>
      </c>
      <c r="O581" s="8">
        <f t="shared" si="6"/>
        <v>0.9100088</v>
      </c>
      <c r="P581" s="8">
        <f t="shared" si="7"/>
        <v>1.3650132</v>
      </c>
      <c r="Q581" s="8">
        <f t="shared" si="8"/>
        <v>0.4550044</v>
      </c>
      <c r="R581" s="57"/>
      <c r="S581" s="57"/>
      <c r="T581" s="57"/>
      <c r="U581" s="57"/>
      <c r="V581" s="57"/>
      <c r="W581" s="57"/>
      <c r="X581" s="57"/>
      <c r="Y581" s="57"/>
    </row>
    <row r="582" ht="34.5" customHeight="1">
      <c r="A582" s="24" t="s">
        <v>654</v>
      </c>
      <c r="B582" s="50" t="s">
        <v>588</v>
      </c>
      <c r="C582" s="50" t="s">
        <v>667</v>
      </c>
      <c r="D582" s="50" t="s">
        <v>673</v>
      </c>
      <c r="E582" s="50">
        <v>1163.0</v>
      </c>
      <c r="F582" s="49">
        <v>46.23</v>
      </c>
      <c r="G582" s="50">
        <v>13.0</v>
      </c>
      <c r="H582" s="49">
        <v>22.65</v>
      </c>
      <c r="I582" s="49">
        <v>39.89</v>
      </c>
      <c r="J582" s="51">
        <f t="shared" si="11"/>
        <v>687.87961</v>
      </c>
      <c r="K582" s="51">
        <f t="shared" si="12"/>
        <v>625.3451</v>
      </c>
      <c r="L582" s="8">
        <f t="shared" si="3"/>
        <v>6.334355617</v>
      </c>
      <c r="M582" s="8">
        <f t="shared" si="4"/>
        <v>1.900306685</v>
      </c>
      <c r="N582" s="8">
        <f t="shared" si="5"/>
        <v>0.380061337</v>
      </c>
      <c r="O582" s="8">
        <f t="shared" si="6"/>
        <v>1.2506902</v>
      </c>
      <c r="P582" s="8">
        <f t="shared" si="7"/>
        <v>1.8760353</v>
      </c>
      <c r="Q582" s="8">
        <f t="shared" si="8"/>
        <v>0.6253451</v>
      </c>
      <c r="R582" s="57"/>
      <c r="S582" s="57"/>
      <c r="T582" s="57"/>
      <c r="U582" s="57"/>
      <c r="V582" s="57"/>
      <c r="W582" s="57"/>
      <c r="X582" s="57"/>
      <c r="Y582" s="57"/>
    </row>
    <row r="583" ht="34.5" customHeight="1">
      <c r="A583" s="24" t="s">
        <v>674</v>
      </c>
      <c r="B583" s="50" t="s">
        <v>675</v>
      </c>
      <c r="C583" s="50" t="s">
        <v>676</v>
      </c>
      <c r="D583" s="50" t="s">
        <v>677</v>
      </c>
      <c r="E583" s="50">
        <v>1041.0</v>
      </c>
      <c r="F583" s="49">
        <v>35.9</v>
      </c>
      <c r="G583" s="50">
        <v>21.0</v>
      </c>
      <c r="H583" s="49">
        <v>54.9</v>
      </c>
      <c r="I583" s="49">
        <v>61.26</v>
      </c>
      <c r="J583" s="51">
        <f t="shared" si="11"/>
        <v>734.0091</v>
      </c>
      <c r="K583" s="51">
        <f t="shared" si="12"/>
        <v>667.281</v>
      </c>
      <c r="L583" s="8">
        <f t="shared" si="3"/>
        <v>6.759140114</v>
      </c>
      <c r="M583" s="8">
        <f t="shared" si="4"/>
        <v>2.027742034</v>
      </c>
      <c r="N583" s="8">
        <f t="shared" si="5"/>
        <v>0.4055484068</v>
      </c>
      <c r="O583" s="8">
        <f t="shared" si="6"/>
        <v>1.334562</v>
      </c>
      <c r="P583" s="8">
        <f t="shared" si="7"/>
        <v>2.001843</v>
      </c>
      <c r="Q583" s="8">
        <f t="shared" si="8"/>
        <v>0.667281</v>
      </c>
      <c r="R583" s="57"/>
      <c r="S583" s="57"/>
      <c r="T583" s="57"/>
      <c r="U583" s="57"/>
      <c r="V583" s="57"/>
      <c r="W583" s="57"/>
      <c r="X583" s="57"/>
      <c r="Y583" s="57"/>
    </row>
    <row r="584" ht="34.5" customHeight="1">
      <c r="A584" s="24" t="s">
        <v>674</v>
      </c>
      <c r="B584" s="50" t="s">
        <v>675</v>
      </c>
      <c r="C584" s="50" t="s">
        <v>676</v>
      </c>
      <c r="D584" s="50" t="s">
        <v>678</v>
      </c>
      <c r="E584" s="50">
        <v>124.0</v>
      </c>
      <c r="F584" s="49">
        <v>12.55</v>
      </c>
      <c r="G584" s="50">
        <v>3.0</v>
      </c>
      <c r="H584" s="49">
        <v>0.0</v>
      </c>
      <c r="I584" s="49">
        <v>0.0</v>
      </c>
      <c r="J584" s="51">
        <f t="shared" si="11"/>
        <v>119.2818</v>
      </c>
      <c r="K584" s="51">
        <f t="shared" si="12"/>
        <v>108.438</v>
      </c>
      <c r="L584" s="8">
        <f t="shared" si="3"/>
        <v>1.098409269</v>
      </c>
      <c r="M584" s="8">
        <f t="shared" si="4"/>
        <v>0.3295227808</v>
      </c>
      <c r="N584" s="8">
        <f t="shared" si="5"/>
        <v>0.06590455616</v>
      </c>
      <c r="O584" s="8">
        <f t="shared" si="6"/>
        <v>0.216876</v>
      </c>
      <c r="P584" s="8">
        <f t="shared" si="7"/>
        <v>0.325314</v>
      </c>
      <c r="Q584" s="8">
        <f t="shared" si="8"/>
        <v>0.108438</v>
      </c>
      <c r="R584" s="57"/>
      <c r="S584" s="57"/>
      <c r="T584" s="57"/>
      <c r="U584" s="57"/>
      <c r="V584" s="57"/>
      <c r="W584" s="57"/>
      <c r="X584" s="57"/>
      <c r="Y584" s="57"/>
    </row>
    <row r="585" ht="34.5" customHeight="1">
      <c r="A585" s="24" t="s">
        <v>674</v>
      </c>
      <c r="B585" s="50" t="s">
        <v>675</v>
      </c>
      <c r="C585" s="50" t="s">
        <v>676</v>
      </c>
      <c r="D585" s="50" t="s">
        <v>679</v>
      </c>
      <c r="E585" s="50">
        <v>2642.0</v>
      </c>
      <c r="F585" s="49">
        <v>42.82</v>
      </c>
      <c r="G585" s="50">
        <v>53.0</v>
      </c>
      <c r="H585" s="49">
        <v>64.97</v>
      </c>
      <c r="I585" s="49">
        <v>88.49</v>
      </c>
      <c r="J585" s="51">
        <f t="shared" si="11"/>
        <v>1661.76516</v>
      </c>
      <c r="K585" s="51">
        <f t="shared" si="12"/>
        <v>1510.6956</v>
      </c>
      <c r="L585" s="8">
        <f t="shared" si="3"/>
        <v>15.30240368</v>
      </c>
      <c r="M585" s="8">
        <f t="shared" si="4"/>
        <v>4.590721104</v>
      </c>
      <c r="N585" s="8">
        <f t="shared" si="5"/>
        <v>0.9181442208</v>
      </c>
      <c r="O585" s="8">
        <f t="shared" si="6"/>
        <v>3.0213912</v>
      </c>
      <c r="P585" s="8">
        <f t="shared" si="7"/>
        <v>4.5320868</v>
      </c>
      <c r="Q585" s="8">
        <f t="shared" si="8"/>
        <v>1.5106956</v>
      </c>
      <c r="R585" s="57"/>
      <c r="S585" s="57"/>
      <c r="T585" s="57"/>
      <c r="U585" s="57"/>
      <c r="V585" s="57"/>
      <c r="W585" s="57"/>
      <c r="X585" s="57"/>
      <c r="Y585" s="57"/>
    </row>
    <row r="586" ht="34.5" customHeight="1">
      <c r="A586" s="24" t="s">
        <v>674</v>
      </c>
      <c r="B586" s="50" t="s">
        <v>675</v>
      </c>
      <c r="C586" s="50" t="s">
        <v>676</v>
      </c>
      <c r="D586" s="50" t="s">
        <v>680</v>
      </c>
      <c r="E586" s="50">
        <v>73.0</v>
      </c>
      <c r="F586" s="49">
        <v>21.9</v>
      </c>
      <c r="G586" s="50">
        <v>1.0</v>
      </c>
      <c r="H586" s="49">
        <v>52.26</v>
      </c>
      <c r="I586" s="49">
        <v>52.26</v>
      </c>
      <c r="J586" s="51">
        <f t="shared" si="11"/>
        <v>62.7143</v>
      </c>
      <c r="K586" s="51">
        <f t="shared" si="12"/>
        <v>57.013</v>
      </c>
      <c r="L586" s="8">
        <f t="shared" si="3"/>
        <v>0.5775061111</v>
      </c>
      <c r="M586" s="8">
        <f t="shared" si="4"/>
        <v>0.1732518333</v>
      </c>
      <c r="N586" s="8">
        <f t="shared" si="5"/>
        <v>0.03465036667</v>
      </c>
      <c r="O586" s="8">
        <f t="shared" si="6"/>
        <v>0.114026</v>
      </c>
      <c r="P586" s="8">
        <f t="shared" si="7"/>
        <v>0.171039</v>
      </c>
      <c r="Q586" s="8">
        <f t="shared" si="8"/>
        <v>0.057013</v>
      </c>
      <c r="R586" s="57"/>
      <c r="S586" s="57"/>
      <c r="T586" s="57"/>
      <c r="U586" s="57"/>
      <c r="V586" s="57"/>
      <c r="W586" s="57"/>
      <c r="X586" s="57"/>
      <c r="Y586" s="57"/>
    </row>
    <row r="587" ht="34.5" customHeight="1">
      <c r="A587" s="24" t="s">
        <v>674</v>
      </c>
      <c r="B587" s="50" t="s">
        <v>675</v>
      </c>
      <c r="C587" s="50" t="s">
        <v>676</v>
      </c>
      <c r="D587" s="50" t="s">
        <v>681</v>
      </c>
      <c r="E587" s="50">
        <v>54.0</v>
      </c>
      <c r="F587" s="49">
        <v>13.3</v>
      </c>
      <c r="G587" s="50">
        <v>1.0</v>
      </c>
      <c r="H587" s="49">
        <v>74.15</v>
      </c>
      <c r="I587" s="49">
        <v>74.15</v>
      </c>
      <c r="J587" s="51">
        <f t="shared" si="11"/>
        <v>51.4998</v>
      </c>
      <c r="K587" s="51">
        <f t="shared" si="12"/>
        <v>46.818</v>
      </c>
      <c r="L587" s="8">
        <f t="shared" si="3"/>
        <v>0.4742371233</v>
      </c>
      <c r="M587" s="8">
        <f t="shared" si="4"/>
        <v>0.142271137</v>
      </c>
      <c r="N587" s="8">
        <f t="shared" si="5"/>
        <v>0.0284542274</v>
      </c>
      <c r="O587" s="8">
        <f t="shared" si="6"/>
        <v>0.093636</v>
      </c>
      <c r="P587" s="8">
        <f t="shared" si="7"/>
        <v>0.140454</v>
      </c>
      <c r="Q587" s="8">
        <f t="shared" si="8"/>
        <v>0.046818</v>
      </c>
      <c r="R587" s="57"/>
      <c r="S587" s="57"/>
      <c r="T587" s="57"/>
      <c r="U587" s="57"/>
      <c r="V587" s="57"/>
      <c r="W587" s="57"/>
      <c r="X587" s="57"/>
      <c r="Y587" s="57"/>
    </row>
    <row r="588" ht="34.5" customHeight="1">
      <c r="A588" s="24" t="s">
        <v>674</v>
      </c>
      <c r="B588" s="50" t="s">
        <v>675</v>
      </c>
      <c r="C588" s="50" t="s">
        <v>676</v>
      </c>
      <c r="D588" s="50" t="s">
        <v>682</v>
      </c>
      <c r="E588" s="50">
        <v>196.0</v>
      </c>
      <c r="F588" s="49">
        <v>18.97</v>
      </c>
      <c r="G588" s="50">
        <v>1.0</v>
      </c>
      <c r="H588" s="49">
        <v>56.8</v>
      </c>
      <c r="I588" s="49">
        <v>73.26</v>
      </c>
      <c r="J588" s="51">
        <f t="shared" si="11"/>
        <v>174.70068</v>
      </c>
      <c r="K588" s="51">
        <f t="shared" si="12"/>
        <v>158.8188</v>
      </c>
      <c r="L588" s="8">
        <f t="shared" si="3"/>
        <v>1.608735333</v>
      </c>
      <c r="M588" s="8">
        <f t="shared" si="4"/>
        <v>0.4826206</v>
      </c>
      <c r="N588" s="8">
        <f t="shared" si="5"/>
        <v>0.09652412</v>
      </c>
      <c r="O588" s="8">
        <f t="shared" si="6"/>
        <v>0.3176376</v>
      </c>
      <c r="P588" s="8">
        <f t="shared" si="7"/>
        <v>0.4764564</v>
      </c>
      <c r="Q588" s="8">
        <f t="shared" si="8"/>
        <v>0.1588188</v>
      </c>
      <c r="R588" s="57"/>
      <c r="S588" s="57"/>
      <c r="T588" s="57"/>
      <c r="U588" s="57"/>
      <c r="V588" s="57"/>
      <c r="W588" s="57"/>
      <c r="X588" s="57"/>
      <c r="Y588" s="57"/>
    </row>
    <row r="589" ht="34.5" customHeight="1">
      <c r="A589" s="24" t="s">
        <v>674</v>
      </c>
      <c r="B589" s="50" t="s">
        <v>675</v>
      </c>
      <c r="C589" s="50" t="s">
        <v>676</v>
      </c>
      <c r="D589" s="50" t="s">
        <v>683</v>
      </c>
      <c r="E589" s="50">
        <v>153.0</v>
      </c>
      <c r="F589" s="49">
        <v>20.08</v>
      </c>
      <c r="G589" s="50">
        <v>2.0</v>
      </c>
      <c r="H589" s="49">
        <v>69.99</v>
      </c>
      <c r="I589" s="49">
        <v>100.0</v>
      </c>
      <c r="J589" s="51">
        <f t="shared" si="11"/>
        <v>134.50536</v>
      </c>
      <c r="K589" s="51">
        <f t="shared" si="12"/>
        <v>122.2776</v>
      </c>
      <c r="L589" s="8">
        <f t="shared" si="3"/>
        <v>1.238595781</v>
      </c>
      <c r="M589" s="8">
        <f t="shared" si="4"/>
        <v>0.3715787342</v>
      </c>
      <c r="N589" s="8">
        <f t="shared" si="5"/>
        <v>0.07431574685</v>
      </c>
      <c r="O589" s="8">
        <f t="shared" si="6"/>
        <v>0.2445552</v>
      </c>
      <c r="P589" s="8">
        <f t="shared" si="7"/>
        <v>0.3668328</v>
      </c>
      <c r="Q589" s="8">
        <f t="shared" si="8"/>
        <v>0.1222776</v>
      </c>
      <c r="R589" s="57"/>
      <c r="S589" s="57"/>
      <c r="T589" s="57"/>
      <c r="U589" s="57"/>
      <c r="V589" s="57"/>
      <c r="W589" s="57"/>
      <c r="X589" s="57"/>
      <c r="Y589" s="57"/>
    </row>
    <row r="590" ht="34.5" customHeight="1">
      <c r="A590" s="24" t="s">
        <v>674</v>
      </c>
      <c r="B590" s="50" t="s">
        <v>675</v>
      </c>
      <c r="C590" s="50" t="s">
        <v>676</v>
      </c>
      <c r="D590" s="50" t="s">
        <v>684</v>
      </c>
      <c r="E590" s="50">
        <v>8090.0</v>
      </c>
      <c r="F590" s="49">
        <v>45.38</v>
      </c>
      <c r="G590" s="50">
        <v>40.0</v>
      </c>
      <c r="H590" s="49">
        <v>20.07</v>
      </c>
      <c r="I590" s="49">
        <v>55.64</v>
      </c>
      <c r="J590" s="51">
        <f t="shared" si="11"/>
        <v>4860.6338</v>
      </c>
      <c r="K590" s="51">
        <f t="shared" si="12"/>
        <v>4418.758</v>
      </c>
      <c r="L590" s="8">
        <f t="shared" si="3"/>
        <v>44.75926102</v>
      </c>
      <c r="M590" s="8">
        <f t="shared" si="4"/>
        <v>13.42777831</v>
      </c>
      <c r="N590" s="8">
        <f t="shared" si="5"/>
        <v>2.685555661</v>
      </c>
      <c r="O590" s="8">
        <f t="shared" si="6"/>
        <v>8.837516</v>
      </c>
      <c r="P590" s="8">
        <f t="shared" si="7"/>
        <v>13.256274</v>
      </c>
      <c r="Q590" s="8">
        <f t="shared" si="8"/>
        <v>4.418758</v>
      </c>
      <c r="R590" s="57"/>
      <c r="S590" s="57"/>
      <c r="T590" s="57"/>
      <c r="U590" s="57"/>
      <c r="V590" s="57"/>
      <c r="W590" s="57"/>
      <c r="X590" s="57"/>
      <c r="Y590" s="57"/>
    </row>
    <row r="591" ht="34.5" customHeight="1">
      <c r="A591" s="24" t="s">
        <v>674</v>
      </c>
      <c r="B591" s="50" t="s">
        <v>675</v>
      </c>
      <c r="C591" s="50" t="s">
        <v>685</v>
      </c>
      <c r="D591" s="50" t="s">
        <v>686</v>
      </c>
      <c r="E591" s="50">
        <v>304.0</v>
      </c>
      <c r="F591" s="49">
        <v>17.64</v>
      </c>
      <c r="G591" s="50">
        <v>10.0</v>
      </c>
      <c r="H591" s="49">
        <v>66.79</v>
      </c>
      <c r="I591" s="49">
        <v>100.0</v>
      </c>
      <c r="J591" s="51">
        <f t="shared" si="11"/>
        <v>275.41184</v>
      </c>
      <c r="K591" s="51">
        <f t="shared" si="12"/>
        <v>250.3744</v>
      </c>
      <c r="L591" s="8">
        <f t="shared" si="3"/>
        <v>2.536136426</v>
      </c>
      <c r="M591" s="8">
        <f t="shared" si="4"/>
        <v>0.7608409279</v>
      </c>
      <c r="N591" s="8">
        <f t="shared" si="5"/>
        <v>0.1521681856</v>
      </c>
      <c r="O591" s="8">
        <f t="shared" si="6"/>
        <v>0.5007488</v>
      </c>
      <c r="P591" s="8">
        <f t="shared" si="7"/>
        <v>0.7511232</v>
      </c>
      <c r="Q591" s="8">
        <f t="shared" si="8"/>
        <v>0.2503744</v>
      </c>
      <c r="R591" s="57"/>
      <c r="S591" s="57"/>
      <c r="T591" s="57"/>
      <c r="U591" s="57"/>
      <c r="V591" s="57"/>
      <c r="W591" s="57"/>
      <c r="X591" s="57"/>
      <c r="Y591" s="57"/>
    </row>
    <row r="592" ht="34.5" customHeight="1">
      <c r="A592" s="24" t="s">
        <v>674</v>
      </c>
      <c r="B592" s="50" t="s">
        <v>675</v>
      </c>
      <c r="C592" s="50" t="s">
        <v>685</v>
      </c>
      <c r="D592" s="50" t="s">
        <v>687</v>
      </c>
      <c r="E592" s="50">
        <v>27.0</v>
      </c>
      <c r="F592" s="49">
        <v>2.73</v>
      </c>
      <c r="G592" s="50">
        <v>1.0</v>
      </c>
      <c r="H592" s="49">
        <v>100.0</v>
      </c>
      <c r="I592" s="49">
        <v>100.0</v>
      </c>
      <c r="J592" s="51">
        <f t="shared" si="11"/>
        <v>28.88919</v>
      </c>
      <c r="K592" s="51">
        <f t="shared" si="12"/>
        <v>26.2629</v>
      </c>
      <c r="L592" s="8">
        <f t="shared" si="3"/>
        <v>0.2660267877</v>
      </c>
      <c r="M592" s="8">
        <f t="shared" si="4"/>
        <v>0.0798080363</v>
      </c>
      <c r="N592" s="8">
        <f t="shared" si="5"/>
        <v>0.01596160726</v>
      </c>
      <c r="O592" s="8">
        <f t="shared" si="6"/>
        <v>0.0525258</v>
      </c>
      <c r="P592" s="8">
        <f t="shared" si="7"/>
        <v>0.0787887</v>
      </c>
      <c r="Q592" s="8">
        <f t="shared" si="8"/>
        <v>0.0262629</v>
      </c>
      <c r="R592" s="57"/>
      <c r="S592" s="57"/>
      <c r="T592" s="57"/>
      <c r="U592" s="57"/>
      <c r="V592" s="57"/>
      <c r="W592" s="57"/>
      <c r="X592" s="57"/>
      <c r="Y592" s="57"/>
    </row>
    <row r="593" ht="34.5" customHeight="1">
      <c r="A593" s="24" t="s">
        <v>674</v>
      </c>
      <c r="B593" s="50" t="s">
        <v>675</v>
      </c>
      <c r="C593" s="50" t="s">
        <v>685</v>
      </c>
      <c r="D593" s="50" t="s">
        <v>688</v>
      </c>
      <c r="E593" s="50">
        <v>53.0</v>
      </c>
      <c r="F593" s="49">
        <v>5.06</v>
      </c>
      <c r="G593" s="50">
        <v>1.0</v>
      </c>
      <c r="H593" s="49">
        <v>88.78</v>
      </c>
      <c r="I593" s="49">
        <v>100.0</v>
      </c>
      <c r="J593" s="51">
        <f t="shared" si="11"/>
        <v>55.35002</v>
      </c>
      <c r="K593" s="51">
        <f t="shared" si="12"/>
        <v>50.3182</v>
      </c>
      <c r="L593" s="8">
        <f t="shared" si="3"/>
        <v>0.509691965</v>
      </c>
      <c r="M593" s="8">
        <f t="shared" si="4"/>
        <v>0.1529075895</v>
      </c>
      <c r="N593" s="8">
        <f t="shared" si="5"/>
        <v>0.0305815179</v>
      </c>
      <c r="O593" s="8">
        <f t="shared" si="6"/>
        <v>0.1006364</v>
      </c>
      <c r="P593" s="8">
        <f t="shared" si="7"/>
        <v>0.1509546</v>
      </c>
      <c r="Q593" s="8">
        <f t="shared" si="8"/>
        <v>0.0503182</v>
      </c>
      <c r="R593" s="57"/>
      <c r="S593" s="57"/>
      <c r="T593" s="57"/>
      <c r="U593" s="57"/>
      <c r="V593" s="57"/>
      <c r="W593" s="57"/>
      <c r="X593" s="57"/>
      <c r="Y593" s="57"/>
    </row>
    <row r="594" ht="34.5" customHeight="1">
      <c r="A594" s="24" t="s">
        <v>674</v>
      </c>
      <c r="B594" s="50" t="s">
        <v>675</v>
      </c>
      <c r="C594" s="50" t="s">
        <v>685</v>
      </c>
      <c r="D594" s="50" t="s">
        <v>689</v>
      </c>
      <c r="E594" s="50">
        <v>89.0</v>
      </c>
      <c r="F594" s="49">
        <v>10.29</v>
      </c>
      <c r="G594" s="50">
        <v>5.0</v>
      </c>
      <c r="H594" s="49">
        <v>100.0</v>
      </c>
      <c r="I594" s="49">
        <v>100.0</v>
      </c>
      <c r="J594" s="51">
        <f t="shared" si="11"/>
        <v>87.82609</v>
      </c>
      <c r="K594" s="51">
        <f t="shared" si="12"/>
        <v>79.8419</v>
      </c>
      <c r="L594" s="8">
        <f t="shared" si="3"/>
        <v>0.8087486218</v>
      </c>
      <c r="M594" s="8">
        <f t="shared" si="4"/>
        <v>0.2426245865</v>
      </c>
      <c r="N594" s="8">
        <f t="shared" si="5"/>
        <v>0.04852491731</v>
      </c>
      <c r="O594" s="8">
        <f t="shared" si="6"/>
        <v>0.1596838</v>
      </c>
      <c r="P594" s="8">
        <f t="shared" si="7"/>
        <v>0.2395257</v>
      </c>
      <c r="Q594" s="8">
        <f t="shared" si="8"/>
        <v>0.0798419</v>
      </c>
      <c r="R594" s="57"/>
      <c r="S594" s="57"/>
      <c r="T594" s="57"/>
      <c r="U594" s="57"/>
      <c r="V594" s="57"/>
      <c r="W594" s="57"/>
      <c r="X594" s="57"/>
      <c r="Y594" s="57"/>
    </row>
    <row r="595" ht="34.5" customHeight="1">
      <c r="A595" s="24" t="s">
        <v>674</v>
      </c>
      <c r="B595" s="50" t="s">
        <v>675</v>
      </c>
      <c r="C595" s="50" t="s">
        <v>685</v>
      </c>
      <c r="D595" s="50" t="s">
        <v>690</v>
      </c>
      <c r="E595" s="50">
        <v>346.0</v>
      </c>
      <c r="F595" s="49">
        <v>24.01</v>
      </c>
      <c r="G595" s="50">
        <v>9.0</v>
      </c>
      <c r="H595" s="49">
        <v>62.11</v>
      </c>
      <c r="I595" s="49">
        <v>71.11</v>
      </c>
      <c r="J595" s="51">
        <f t="shared" si="11"/>
        <v>289.21794</v>
      </c>
      <c r="K595" s="51">
        <f t="shared" si="12"/>
        <v>262.9254</v>
      </c>
      <c r="L595" s="8">
        <f t="shared" si="3"/>
        <v>2.663270224</v>
      </c>
      <c r="M595" s="8">
        <f t="shared" si="4"/>
        <v>0.7989810671</v>
      </c>
      <c r="N595" s="8">
        <f t="shared" si="5"/>
        <v>0.1597962134</v>
      </c>
      <c r="O595" s="8">
        <f t="shared" si="6"/>
        <v>0.5258508</v>
      </c>
      <c r="P595" s="8">
        <f t="shared" si="7"/>
        <v>0.7887762</v>
      </c>
      <c r="Q595" s="8">
        <f t="shared" si="8"/>
        <v>0.2629254</v>
      </c>
      <c r="R595" s="57"/>
      <c r="S595" s="57"/>
      <c r="T595" s="57"/>
      <c r="U595" s="57"/>
      <c r="V595" s="57"/>
      <c r="W595" s="57"/>
      <c r="X595" s="57"/>
      <c r="Y595" s="57"/>
    </row>
    <row r="596" ht="34.5" customHeight="1">
      <c r="A596" s="24" t="s">
        <v>674</v>
      </c>
      <c r="B596" s="50" t="s">
        <v>675</v>
      </c>
      <c r="C596" s="50" t="s">
        <v>685</v>
      </c>
      <c r="D596" s="50" t="s">
        <v>691</v>
      </c>
      <c r="E596" s="50">
        <v>79.0</v>
      </c>
      <c r="F596" s="49">
        <v>10.05</v>
      </c>
      <c r="G596" s="50">
        <v>1.0</v>
      </c>
      <c r="H596" s="49">
        <v>67.15</v>
      </c>
      <c r="I596" s="49">
        <v>79.36</v>
      </c>
      <c r="J596" s="51">
        <f t="shared" si="11"/>
        <v>78.16655</v>
      </c>
      <c r="K596" s="51">
        <f t="shared" si="12"/>
        <v>71.0605</v>
      </c>
      <c r="L596" s="8">
        <f t="shared" si="3"/>
        <v>0.7197985198</v>
      </c>
      <c r="M596" s="8">
        <f t="shared" si="4"/>
        <v>0.2159395559</v>
      </c>
      <c r="N596" s="8">
        <f t="shared" si="5"/>
        <v>0.04318791119</v>
      </c>
      <c r="O596" s="8">
        <f t="shared" si="6"/>
        <v>0.142121</v>
      </c>
      <c r="P596" s="8">
        <f t="shared" si="7"/>
        <v>0.2131815</v>
      </c>
      <c r="Q596" s="8">
        <f t="shared" si="8"/>
        <v>0.0710605</v>
      </c>
      <c r="R596" s="57"/>
      <c r="S596" s="57"/>
      <c r="T596" s="57"/>
      <c r="U596" s="57"/>
      <c r="V596" s="57"/>
      <c r="W596" s="57"/>
      <c r="X596" s="57"/>
      <c r="Y596" s="57"/>
    </row>
    <row r="597" ht="34.5" customHeight="1">
      <c r="A597" s="24" t="s">
        <v>674</v>
      </c>
      <c r="B597" s="50" t="s">
        <v>675</v>
      </c>
      <c r="C597" s="50" t="s">
        <v>685</v>
      </c>
      <c r="D597" s="50" t="s">
        <v>692</v>
      </c>
      <c r="E597" s="50">
        <v>760.0</v>
      </c>
      <c r="F597" s="49">
        <v>30.4</v>
      </c>
      <c r="G597" s="50">
        <v>13.0</v>
      </c>
      <c r="H597" s="49">
        <v>37.76</v>
      </c>
      <c r="I597" s="49">
        <v>59.64</v>
      </c>
      <c r="J597" s="51">
        <f t="shared" si="11"/>
        <v>581.856</v>
      </c>
      <c r="K597" s="51">
        <f t="shared" si="12"/>
        <v>528.96</v>
      </c>
      <c r="L597" s="8">
        <f t="shared" si="3"/>
        <v>5.358034703</v>
      </c>
      <c r="M597" s="8">
        <f t="shared" si="4"/>
        <v>1.607410411</v>
      </c>
      <c r="N597" s="8">
        <f t="shared" si="5"/>
        <v>0.3214820822</v>
      </c>
      <c r="O597" s="8">
        <f t="shared" si="6"/>
        <v>1.05792</v>
      </c>
      <c r="P597" s="8">
        <f t="shared" si="7"/>
        <v>1.58688</v>
      </c>
      <c r="Q597" s="8">
        <f t="shared" si="8"/>
        <v>0.52896</v>
      </c>
      <c r="R597" s="57"/>
      <c r="S597" s="57"/>
      <c r="T597" s="57"/>
      <c r="U597" s="57"/>
      <c r="V597" s="57"/>
      <c r="W597" s="57"/>
      <c r="X597" s="57"/>
      <c r="Y597" s="57"/>
    </row>
    <row r="598" ht="34.5" customHeight="1">
      <c r="A598" s="24" t="s">
        <v>674</v>
      </c>
      <c r="B598" s="50" t="s">
        <v>675</v>
      </c>
      <c r="C598" s="50" t="s">
        <v>685</v>
      </c>
      <c r="D598" s="50" t="s">
        <v>693</v>
      </c>
      <c r="E598" s="50">
        <v>229.0</v>
      </c>
      <c r="F598" s="49">
        <v>5.16</v>
      </c>
      <c r="G598" s="50">
        <v>6.0</v>
      </c>
      <c r="H598" s="49">
        <v>64.05</v>
      </c>
      <c r="I598" s="49">
        <v>64.0</v>
      </c>
      <c r="J598" s="51">
        <f t="shared" si="11"/>
        <v>238.90196</v>
      </c>
      <c r="K598" s="51">
        <f t="shared" si="12"/>
        <v>217.1836</v>
      </c>
      <c r="L598" s="8">
        <f t="shared" si="3"/>
        <v>2.199934335</v>
      </c>
      <c r="M598" s="8">
        <f t="shared" si="4"/>
        <v>0.6599803005</v>
      </c>
      <c r="N598" s="8">
        <f t="shared" si="5"/>
        <v>0.1319960601</v>
      </c>
      <c r="O598" s="8">
        <f t="shared" si="6"/>
        <v>0.4343672</v>
      </c>
      <c r="P598" s="8">
        <f t="shared" si="7"/>
        <v>0.6515508</v>
      </c>
      <c r="Q598" s="8">
        <f t="shared" si="8"/>
        <v>0.2171836</v>
      </c>
      <c r="R598" s="57"/>
      <c r="S598" s="57"/>
      <c r="T598" s="57"/>
      <c r="U598" s="57"/>
      <c r="V598" s="57"/>
      <c r="W598" s="57"/>
      <c r="X598" s="57"/>
      <c r="Y598" s="57"/>
    </row>
    <row r="599" ht="34.5" customHeight="1">
      <c r="A599" s="24" t="s">
        <v>674</v>
      </c>
      <c r="B599" s="50" t="s">
        <v>675</v>
      </c>
      <c r="C599" s="50" t="s">
        <v>685</v>
      </c>
      <c r="D599" s="50" t="s">
        <v>694</v>
      </c>
      <c r="E599" s="50">
        <v>1324.0</v>
      </c>
      <c r="F599" s="49">
        <v>24.87</v>
      </c>
      <c r="G599" s="50">
        <v>16.0</v>
      </c>
      <c r="H599" s="49">
        <v>22.66</v>
      </c>
      <c r="I599" s="49">
        <v>43.84</v>
      </c>
      <c r="J599" s="51">
        <f t="shared" si="11"/>
        <v>1094.19332</v>
      </c>
      <c r="K599" s="51">
        <f t="shared" si="12"/>
        <v>994.7212</v>
      </c>
      <c r="L599" s="8">
        <f t="shared" si="3"/>
        <v>10.075905</v>
      </c>
      <c r="M599" s="8">
        <f t="shared" si="4"/>
        <v>3.0227715</v>
      </c>
      <c r="N599" s="8">
        <f t="shared" si="5"/>
        <v>0.6045543001</v>
      </c>
      <c r="O599" s="8">
        <f t="shared" si="6"/>
        <v>1.9894424</v>
      </c>
      <c r="P599" s="8">
        <f t="shared" si="7"/>
        <v>2.9841636</v>
      </c>
      <c r="Q599" s="8">
        <f t="shared" si="8"/>
        <v>0.9947212</v>
      </c>
      <c r="R599" s="57"/>
      <c r="S599" s="57"/>
      <c r="T599" s="57"/>
      <c r="U599" s="57"/>
      <c r="V599" s="57"/>
      <c r="W599" s="57"/>
      <c r="X599" s="57"/>
      <c r="Y599" s="57"/>
    </row>
    <row r="600" ht="34.5" customHeight="1">
      <c r="A600" s="24" t="s">
        <v>674</v>
      </c>
      <c r="B600" s="50" t="s">
        <v>675</v>
      </c>
      <c r="C600" s="50" t="s">
        <v>685</v>
      </c>
      <c r="D600" s="50" t="s">
        <v>695</v>
      </c>
      <c r="E600" s="50">
        <v>89.0</v>
      </c>
      <c r="F600" s="49">
        <v>25.33</v>
      </c>
      <c r="G600" s="50">
        <v>4.0</v>
      </c>
      <c r="H600" s="49">
        <v>100.0</v>
      </c>
      <c r="I600" s="49">
        <v>100.0</v>
      </c>
      <c r="J600" s="51">
        <f t="shared" si="11"/>
        <v>73.10193</v>
      </c>
      <c r="K600" s="51">
        <f t="shared" si="12"/>
        <v>66.4563</v>
      </c>
      <c r="L600" s="8">
        <f t="shared" si="3"/>
        <v>0.673160847</v>
      </c>
      <c r="M600" s="8">
        <f t="shared" si="4"/>
        <v>0.2019482541</v>
      </c>
      <c r="N600" s="8">
        <f t="shared" si="5"/>
        <v>0.04038965082</v>
      </c>
      <c r="O600" s="8">
        <f t="shared" si="6"/>
        <v>0.1329126</v>
      </c>
      <c r="P600" s="8">
        <f t="shared" si="7"/>
        <v>0.1993689</v>
      </c>
      <c r="Q600" s="8">
        <f t="shared" si="8"/>
        <v>0.0664563</v>
      </c>
      <c r="R600" s="57"/>
      <c r="S600" s="57"/>
      <c r="T600" s="57"/>
      <c r="U600" s="57"/>
      <c r="V600" s="57"/>
      <c r="W600" s="57"/>
      <c r="X600" s="57"/>
      <c r="Y600" s="57"/>
    </row>
    <row r="601" ht="34.5" customHeight="1">
      <c r="A601" s="24" t="s">
        <v>674</v>
      </c>
      <c r="B601" s="50" t="s">
        <v>675</v>
      </c>
      <c r="C601" s="50" t="s">
        <v>685</v>
      </c>
      <c r="D601" s="50" t="s">
        <v>696</v>
      </c>
      <c r="E601" s="50">
        <v>1011.0</v>
      </c>
      <c r="F601" s="49">
        <v>28.71</v>
      </c>
      <c r="G601" s="50">
        <v>17.0</v>
      </c>
      <c r="H601" s="49">
        <v>35.0</v>
      </c>
      <c r="I601" s="49">
        <v>56.14</v>
      </c>
      <c r="J601" s="51">
        <f t="shared" si="11"/>
        <v>792.81609</v>
      </c>
      <c r="K601" s="51">
        <f t="shared" si="12"/>
        <v>720.7419</v>
      </c>
      <c r="L601" s="8">
        <f t="shared" si="3"/>
        <v>7.300665669</v>
      </c>
      <c r="M601" s="8">
        <f t="shared" si="4"/>
        <v>2.190199701</v>
      </c>
      <c r="N601" s="8">
        <f t="shared" si="5"/>
        <v>0.4380399401</v>
      </c>
      <c r="O601" s="8">
        <f t="shared" si="6"/>
        <v>1.4414838</v>
      </c>
      <c r="P601" s="8">
        <f t="shared" si="7"/>
        <v>2.1622257</v>
      </c>
      <c r="Q601" s="8">
        <f t="shared" si="8"/>
        <v>0.7207419</v>
      </c>
      <c r="R601" s="57"/>
      <c r="S601" s="57"/>
      <c r="T601" s="57"/>
      <c r="U601" s="57"/>
      <c r="V601" s="57"/>
      <c r="W601" s="57"/>
      <c r="X601" s="57"/>
      <c r="Y601" s="57"/>
    </row>
    <row r="602" ht="34.5" customHeight="1">
      <c r="A602" s="24" t="s">
        <v>674</v>
      </c>
      <c r="B602" s="50" t="s">
        <v>675</v>
      </c>
      <c r="C602" s="50" t="s">
        <v>685</v>
      </c>
      <c r="D602" s="50" t="s">
        <v>697</v>
      </c>
      <c r="E602" s="50">
        <v>106.0</v>
      </c>
      <c r="F602" s="49">
        <v>15.61</v>
      </c>
      <c r="G602" s="50">
        <v>4.0</v>
      </c>
      <c r="H602" s="49">
        <v>75.79</v>
      </c>
      <c r="I602" s="49">
        <v>75.79</v>
      </c>
      <c r="J602" s="51">
        <f t="shared" si="11"/>
        <v>98.39874</v>
      </c>
      <c r="K602" s="51">
        <f t="shared" si="12"/>
        <v>89.4534</v>
      </c>
      <c r="L602" s="8">
        <f t="shared" si="3"/>
        <v>0.9061071187</v>
      </c>
      <c r="M602" s="8">
        <f t="shared" si="4"/>
        <v>0.2718321356</v>
      </c>
      <c r="N602" s="8">
        <f t="shared" si="5"/>
        <v>0.05436642712</v>
      </c>
      <c r="O602" s="8">
        <f t="shared" si="6"/>
        <v>0.1789068</v>
      </c>
      <c r="P602" s="8">
        <f t="shared" si="7"/>
        <v>0.2683602</v>
      </c>
      <c r="Q602" s="8">
        <f t="shared" si="8"/>
        <v>0.0894534</v>
      </c>
      <c r="R602" s="57"/>
      <c r="S602" s="57"/>
      <c r="T602" s="57"/>
      <c r="U602" s="57"/>
      <c r="V602" s="57"/>
      <c r="W602" s="57"/>
      <c r="X602" s="57"/>
      <c r="Y602" s="57"/>
    </row>
    <row r="603" ht="34.5" customHeight="1">
      <c r="A603" s="24" t="s">
        <v>674</v>
      </c>
      <c r="B603" s="50" t="s">
        <v>675</v>
      </c>
      <c r="C603" s="50" t="s">
        <v>685</v>
      </c>
      <c r="D603" s="50" t="s">
        <v>698</v>
      </c>
      <c r="E603" s="50">
        <v>219.0</v>
      </c>
      <c r="F603" s="49">
        <v>7.23</v>
      </c>
      <c r="G603" s="50">
        <v>6.0</v>
      </c>
      <c r="H603" s="49">
        <v>70.0</v>
      </c>
      <c r="I603" s="49">
        <v>100.0</v>
      </c>
      <c r="J603" s="51">
        <f t="shared" si="11"/>
        <v>223.48293</v>
      </c>
      <c r="K603" s="51">
        <f t="shared" si="12"/>
        <v>203.1663</v>
      </c>
      <c r="L603" s="8">
        <f t="shared" si="3"/>
        <v>2.057947833</v>
      </c>
      <c r="M603" s="8">
        <f t="shared" si="4"/>
        <v>0.61738435</v>
      </c>
      <c r="N603" s="8">
        <f t="shared" si="5"/>
        <v>0.12347687</v>
      </c>
      <c r="O603" s="8">
        <f t="shared" si="6"/>
        <v>0.4063326</v>
      </c>
      <c r="P603" s="8">
        <f t="shared" si="7"/>
        <v>0.6094989</v>
      </c>
      <c r="Q603" s="8">
        <f t="shared" si="8"/>
        <v>0.2031663</v>
      </c>
      <c r="R603" s="57"/>
      <c r="S603" s="57"/>
      <c r="T603" s="57"/>
      <c r="U603" s="57"/>
      <c r="V603" s="57"/>
      <c r="W603" s="57"/>
      <c r="X603" s="57"/>
      <c r="Y603" s="57"/>
    </row>
    <row r="604" ht="34.5" customHeight="1">
      <c r="A604" s="24" t="s">
        <v>674</v>
      </c>
      <c r="B604" s="50" t="s">
        <v>675</v>
      </c>
      <c r="C604" s="50" t="s">
        <v>685</v>
      </c>
      <c r="D604" s="50" t="s">
        <v>699</v>
      </c>
      <c r="E604" s="50">
        <v>85.0</v>
      </c>
      <c r="F604" s="49">
        <v>10.19</v>
      </c>
      <c r="G604" s="50">
        <v>3.0</v>
      </c>
      <c r="H604" s="49">
        <v>77.12</v>
      </c>
      <c r="I604" s="49">
        <v>77.12</v>
      </c>
      <c r="J604" s="51">
        <f t="shared" si="11"/>
        <v>83.97235</v>
      </c>
      <c r="K604" s="51">
        <f t="shared" si="12"/>
        <v>76.3385</v>
      </c>
      <c r="L604" s="8">
        <f t="shared" si="3"/>
        <v>0.7732613661</v>
      </c>
      <c r="M604" s="8">
        <f t="shared" si="4"/>
        <v>0.2319784098</v>
      </c>
      <c r="N604" s="8">
        <f t="shared" si="5"/>
        <v>0.04639568196</v>
      </c>
      <c r="O604" s="8">
        <f t="shared" si="6"/>
        <v>0.152677</v>
      </c>
      <c r="P604" s="8">
        <f t="shared" si="7"/>
        <v>0.2290155</v>
      </c>
      <c r="Q604" s="8">
        <f t="shared" si="8"/>
        <v>0.0763385</v>
      </c>
      <c r="R604" s="57"/>
      <c r="S604" s="57"/>
      <c r="T604" s="57"/>
      <c r="U604" s="57"/>
      <c r="V604" s="57"/>
      <c r="W604" s="57"/>
      <c r="X604" s="57"/>
      <c r="Y604" s="57"/>
    </row>
    <row r="605" ht="34.5" customHeight="1">
      <c r="A605" s="24" t="s">
        <v>674</v>
      </c>
      <c r="B605" s="50" t="s">
        <v>675</v>
      </c>
      <c r="C605" s="50" t="s">
        <v>685</v>
      </c>
      <c r="D605" s="50" t="s">
        <v>700</v>
      </c>
      <c r="E605" s="50">
        <v>112.0</v>
      </c>
      <c r="F605" s="49">
        <v>14.38</v>
      </c>
      <c r="G605" s="50">
        <v>4.0</v>
      </c>
      <c r="H605" s="49">
        <v>100.0</v>
      </c>
      <c r="I605" s="49">
        <v>100.0</v>
      </c>
      <c r="J605" s="51">
        <f t="shared" si="11"/>
        <v>105.48384</v>
      </c>
      <c r="K605" s="51">
        <f t="shared" si="12"/>
        <v>95.8944</v>
      </c>
      <c r="L605" s="8">
        <f t="shared" si="3"/>
        <v>0.9713504292</v>
      </c>
      <c r="M605" s="8">
        <f t="shared" si="4"/>
        <v>0.2914051288</v>
      </c>
      <c r="N605" s="8">
        <f t="shared" si="5"/>
        <v>0.05828102575</v>
      </c>
      <c r="O605" s="8">
        <f t="shared" si="6"/>
        <v>0.1917888</v>
      </c>
      <c r="P605" s="8">
        <f t="shared" si="7"/>
        <v>0.2876832</v>
      </c>
      <c r="Q605" s="8">
        <f t="shared" si="8"/>
        <v>0.0958944</v>
      </c>
      <c r="R605" s="57"/>
      <c r="S605" s="57"/>
      <c r="T605" s="57"/>
      <c r="U605" s="57"/>
      <c r="V605" s="57"/>
      <c r="W605" s="57"/>
      <c r="X605" s="57"/>
      <c r="Y605" s="57"/>
    </row>
    <row r="606" ht="34.5" customHeight="1">
      <c r="A606" s="24" t="s">
        <v>674</v>
      </c>
      <c r="B606" s="50" t="s">
        <v>675</v>
      </c>
      <c r="C606" s="50" t="s">
        <v>685</v>
      </c>
      <c r="D606" s="50" t="s">
        <v>701</v>
      </c>
      <c r="E606" s="50">
        <v>41.0</v>
      </c>
      <c r="F606" s="49">
        <v>4.67</v>
      </c>
      <c r="G606" s="50">
        <v>2.0</v>
      </c>
      <c r="H606" s="49">
        <v>83.19</v>
      </c>
      <c r="I606" s="49">
        <v>100.0</v>
      </c>
      <c r="J606" s="51">
        <f t="shared" si="11"/>
        <v>42.99383</v>
      </c>
      <c r="K606" s="51">
        <f t="shared" si="12"/>
        <v>39.0853</v>
      </c>
      <c r="L606" s="8">
        <f t="shared" si="3"/>
        <v>0.3959096979</v>
      </c>
      <c r="M606" s="8">
        <f t="shared" si="4"/>
        <v>0.1187729094</v>
      </c>
      <c r="N606" s="8">
        <f t="shared" si="5"/>
        <v>0.02375458187</v>
      </c>
      <c r="O606" s="8">
        <f t="shared" si="6"/>
        <v>0.0781706</v>
      </c>
      <c r="P606" s="8">
        <f t="shared" si="7"/>
        <v>0.1172559</v>
      </c>
      <c r="Q606" s="8">
        <f t="shared" si="8"/>
        <v>0.0390853</v>
      </c>
      <c r="R606" s="57"/>
      <c r="S606" s="57"/>
      <c r="T606" s="57"/>
      <c r="U606" s="57"/>
      <c r="V606" s="57"/>
      <c r="W606" s="57"/>
      <c r="X606" s="57"/>
      <c r="Y606" s="57"/>
    </row>
    <row r="607" ht="34.5" customHeight="1">
      <c r="A607" s="24" t="s">
        <v>674</v>
      </c>
      <c r="B607" s="50" t="s">
        <v>675</v>
      </c>
      <c r="C607" s="50" t="s">
        <v>685</v>
      </c>
      <c r="D607" s="50" t="s">
        <v>702</v>
      </c>
      <c r="E607" s="50">
        <v>79.0</v>
      </c>
      <c r="F607" s="49">
        <v>6.52</v>
      </c>
      <c r="G607" s="50">
        <v>3.0</v>
      </c>
      <c r="H607" s="49">
        <v>100.0</v>
      </c>
      <c r="I607" s="49">
        <v>100.0</v>
      </c>
      <c r="J607" s="51">
        <f t="shared" si="11"/>
        <v>81.23412</v>
      </c>
      <c r="K607" s="51">
        <f t="shared" si="12"/>
        <v>73.8492</v>
      </c>
      <c r="L607" s="8">
        <f t="shared" si="3"/>
        <v>0.7480463105</v>
      </c>
      <c r="M607" s="8">
        <f t="shared" si="4"/>
        <v>0.2244138932</v>
      </c>
      <c r="N607" s="8">
        <f t="shared" si="5"/>
        <v>0.04488277863</v>
      </c>
      <c r="O607" s="8">
        <f t="shared" si="6"/>
        <v>0.1476984</v>
      </c>
      <c r="P607" s="8">
        <f t="shared" si="7"/>
        <v>0.2215476</v>
      </c>
      <c r="Q607" s="8">
        <f t="shared" si="8"/>
        <v>0.0738492</v>
      </c>
      <c r="R607" s="57"/>
      <c r="S607" s="57"/>
      <c r="T607" s="57"/>
      <c r="U607" s="57"/>
      <c r="V607" s="57"/>
      <c r="W607" s="57"/>
      <c r="X607" s="57"/>
      <c r="Y607" s="57"/>
    </row>
    <row r="608" ht="34.5" customHeight="1">
      <c r="A608" s="24" t="s">
        <v>674</v>
      </c>
      <c r="B608" s="50" t="s">
        <v>675</v>
      </c>
      <c r="C608" s="50" t="s">
        <v>703</v>
      </c>
      <c r="D608" s="50" t="s">
        <v>704</v>
      </c>
      <c r="E608" s="50">
        <v>1627.0</v>
      </c>
      <c r="F608" s="49">
        <v>18.25</v>
      </c>
      <c r="G608" s="50">
        <v>13.0</v>
      </c>
      <c r="H608" s="49">
        <v>76.65</v>
      </c>
      <c r="I608" s="49">
        <v>79.36</v>
      </c>
      <c r="J608" s="51">
        <f t="shared" si="11"/>
        <v>1463.07975</v>
      </c>
      <c r="K608" s="51">
        <f t="shared" si="12"/>
        <v>1330.0725</v>
      </c>
      <c r="L608" s="8">
        <f t="shared" si="3"/>
        <v>13.47280439</v>
      </c>
      <c r="M608" s="8">
        <f t="shared" si="4"/>
        <v>4.041841318</v>
      </c>
      <c r="N608" s="8">
        <f t="shared" si="5"/>
        <v>0.8083682637</v>
      </c>
      <c r="O608" s="8">
        <f t="shared" si="6"/>
        <v>2.660145</v>
      </c>
      <c r="P608" s="8">
        <f t="shared" si="7"/>
        <v>3.9902175</v>
      </c>
      <c r="Q608" s="8">
        <f t="shared" si="8"/>
        <v>1.3300725</v>
      </c>
      <c r="R608" s="57"/>
      <c r="S608" s="57"/>
      <c r="T608" s="57"/>
      <c r="U608" s="57"/>
      <c r="V608" s="57"/>
      <c r="W608" s="57"/>
      <c r="X608" s="57"/>
      <c r="Y608" s="57"/>
    </row>
    <row r="609" ht="34.5" customHeight="1">
      <c r="A609" s="24" t="s">
        <v>674</v>
      </c>
      <c r="B609" s="50" t="s">
        <v>675</v>
      </c>
      <c r="C609" s="50" t="s">
        <v>703</v>
      </c>
      <c r="D609" s="50" t="s">
        <v>705</v>
      </c>
      <c r="E609" s="50">
        <v>490.0</v>
      </c>
      <c r="F609" s="49">
        <v>9.62</v>
      </c>
      <c r="G609" s="50">
        <v>8.0</v>
      </c>
      <c r="H609" s="49">
        <v>0.0</v>
      </c>
      <c r="I609" s="49">
        <v>79.35</v>
      </c>
      <c r="J609" s="51">
        <f t="shared" si="11"/>
        <v>487.1482</v>
      </c>
      <c r="K609" s="51">
        <f t="shared" si="12"/>
        <v>442.862</v>
      </c>
      <c r="L609" s="8">
        <f t="shared" si="3"/>
        <v>4.485915693</v>
      </c>
      <c r="M609" s="8">
        <f t="shared" si="4"/>
        <v>1.345774708</v>
      </c>
      <c r="N609" s="8">
        <f t="shared" si="5"/>
        <v>0.2691549416</v>
      </c>
      <c r="O609" s="8">
        <f t="shared" si="6"/>
        <v>0.885724</v>
      </c>
      <c r="P609" s="8">
        <f t="shared" si="7"/>
        <v>1.328586</v>
      </c>
      <c r="Q609" s="8">
        <f t="shared" si="8"/>
        <v>0.442862</v>
      </c>
      <c r="R609" s="57"/>
      <c r="S609" s="57"/>
      <c r="T609" s="57"/>
      <c r="U609" s="57"/>
      <c r="V609" s="57"/>
      <c r="W609" s="57"/>
      <c r="X609" s="57"/>
      <c r="Y609" s="57"/>
    </row>
    <row r="610" ht="34.5" customHeight="1">
      <c r="A610" s="24" t="s">
        <v>674</v>
      </c>
      <c r="B610" s="50" t="s">
        <v>675</v>
      </c>
      <c r="C610" s="50" t="s">
        <v>703</v>
      </c>
      <c r="D610" s="50" t="s">
        <v>706</v>
      </c>
      <c r="E610" s="74">
        <v>1106.0</v>
      </c>
      <c r="F610" s="49">
        <v>16.63</v>
      </c>
      <c r="G610" s="50">
        <v>26.0</v>
      </c>
      <c r="H610" s="49">
        <v>93.05</v>
      </c>
      <c r="I610" s="49">
        <v>100.0</v>
      </c>
      <c r="J610" s="51">
        <f t="shared" si="11"/>
        <v>1014.27942</v>
      </c>
      <c r="K610" s="51">
        <f t="shared" si="12"/>
        <v>922.0722</v>
      </c>
      <c r="L610" s="8">
        <f t="shared" si="3"/>
        <v>9.340015968</v>
      </c>
      <c r="M610" s="8">
        <f t="shared" si="4"/>
        <v>2.80200479</v>
      </c>
      <c r="N610" s="8">
        <f t="shared" si="5"/>
        <v>0.5604009581</v>
      </c>
      <c r="O610" s="8">
        <f t="shared" si="6"/>
        <v>1.8441444</v>
      </c>
      <c r="P610" s="8">
        <f t="shared" si="7"/>
        <v>2.7662166</v>
      </c>
      <c r="Q610" s="8">
        <f t="shared" si="8"/>
        <v>0.9220722</v>
      </c>
      <c r="R610" s="57"/>
      <c r="S610" s="57"/>
      <c r="T610" s="57"/>
      <c r="U610" s="57"/>
      <c r="V610" s="57"/>
      <c r="W610" s="57"/>
      <c r="X610" s="57"/>
      <c r="Y610" s="57"/>
    </row>
    <row r="611" ht="34.5" customHeight="1">
      <c r="A611" s="24" t="s">
        <v>674</v>
      </c>
      <c r="B611" s="50" t="s">
        <v>675</v>
      </c>
      <c r="C611" s="50" t="s">
        <v>703</v>
      </c>
      <c r="D611" s="50" t="s">
        <v>707</v>
      </c>
      <c r="E611" s="74">
        <v>1280.0</v>
      </c>
      <c r="F611" s="49">
        <v>11.76</v>
      </c>
      <c r="G611" s="50">
        <v>21.0</v>
      </c>
      <c r="H611" s="49">
        <v>100.0</v>
      </c>
      <c r="I611" s="49">
        <v>100.0</v>
      </c>
      <c r="J611" s="51">
        <f t="shared" si="11"/>
        <v>1242.4192</v>
      </c>
      <c r="K611" s="51">
        <f t="shared" si="12"/>
        <v>1129.472</v>
      </c>
      <c r="L611" s="8">
        <f t="shared" si="3"/>
        <v>11.44084651</v>
      </c>
      <c r="M611" s="8">
        <f t="shared" si="4"/>
        <v>3.432253954</v>
      </c>
      <c r="N611" s="8">
        <f t="shared" si="5"/>
        <v>0.6864507909</v>
      </c>
      <c r="O611" s="8">
        <f t="shared" si="6"/>
        <v>2.258944</v>
      </c>
      <c r="P611" s="8">
        <f t="shared" si="7"/>
        <v>3.388416</v>
      </c>
      <c r="Q611" s="8">
        <f t="shared" si="8"/>
        <v>1.129472</v>
      </c>
      <c r="R611" s="57"/>
      <c r="S611" s="57"/>
      <c r="T611" s="57"/>
      <c r="U611" s="57"/>
      <c r="V611" s="57"/>
      <c r="W611" s="57"/>
      <c r="X611" s="57"/>
      <c r="Y611" s="57"/>
    </row>
    <row r="612" ht="34.5" customHeight="1">
      <c r="A612" s="24" t="s">
        <v>674</v>
      </c>
      <c r="B612" s="50" t="s">
        <v>675</v>
      </c>
      <c r="C612" s="50" t="s">
        <v>708</v>
      </c>
      <c r="D612" s="50" t="s">
        <v>709</v>
      </c>
      <c r="E612" s="50">
        <v>657.0</v>
      </c>
      <c r="F612" s="49">
        <v>13.69</v>
      </c>
      <c r="G612" s="50">
        <v>20.0</v>
      </c>
      <c r="H612" s="49">
        <v>66.23</v>
      </c>
      <c r="I612" s="49" t="s">
        <v>710</v>
      </c>
      <c r="J612" s="51">
        <f t="shared" si="11"/>
        <v>623.76237</v>
      </c>
      <c r="K612" s="51">
        <f t="shared" si="12"/>
        <v>567.0567</v>
      </c>
      <c r="L612" s="8">
        <f t="shared" si="3"/>
        <v>5.7439305</v>
      </c>
      <c r="M612" s="8">
        <f t="shared" si="4"/>
        <v>1.72317915</v>
      </c>
      <c r="N612" s="8">
        <f t="shared" si="5"/>
        <v>0.34463583</v>
      </c>
      <c r="O612" s="8">
        <f t="shared" si="6"/>
        <v>1.1341134</v>
      </c>
      <c r="P612" s="8">
        <f t="shared" si="7"/>
        <v>1.7011701</v>
      </c>
      <c r="Q612" s="8">
        <f t="shared" si="8"/>
        <v>0.5670567</v>
      </c>
      <c r="R612" s="57"/>
      <c r="S612" s="57"/>
      <c r="T612" s="57"/>
      <c r="U612" s="57"/>
      <c r="V612" s="57"/>
      <c r="W612" s="57"/>
      <c r="X612" s="57"/>
      <c r="Y612" s="57"/>
    </row>
    <row r="613" ht="34.5" customHeight="1">
      <c r="A613" s="24" t="s">
        <v>674</v>
      </c>
      <c r="B613" s="50" t="s">
        <v>675</v>
      </c>
      <c r="C613" s="50" t="s">
        <v>708</v>
      </c>
      <c r="D613" s="50" t="s">
        <v>711</v>
      </c>
      <c r="E613" s="50">
        <v>38.0</v>
      </c>
      <c r="F613" s="49">
        <v>5.44</v>
      </c>
      <c r="G613" s="50">
        <v>2.0</v>
      </c>
      <c r="H613" s="49">
        <v>100.0</v>
      </c>
      <c r="I613" s="49">
        <v>100.0</v>
      </c>
      <c r="J613" s="51">
        <f t="shared" si="11"/>
        <v>39.52608</v>
      </c>
      <c r="K613" s="51">
        <f t="shared" si="12"/>
        <v>35.9328</v>
      </c>
      <c r="L613" s="8">
        <f t="shared" si="3"/>
        <v>0.3639768402</v>
      </c>
      <c r="M613" s="8">
        <f t="shared" si="4"/>
        <v>0.1091930521</v>
      </c>
      <c r="N613" s="8">
        <f t="shared" si="5"/>
        <v>0.02183861041</v>
      </c>
      <c r="O613" s="8">
        <f t="shared" si="6"/>
        <v>0.0718656</v>
      </c>
      <c r="P613" s="8">
        <f t="shared" si="7"/>
        <v>0.1077984</v>
      </c>
      <c r="Q613" s="8">
        <f t="shared" si="8"/>
        <v>0.0359328</v>
      </c>
      <c r="R613" s="57"/>
      <c r="S613" s="57"/>
      <c r="T613" s="57"/>
      <c r="U613" s="57"/>
      <c r="V613" s="57"/>
      <c r="W613" s="57"/>
      <c r="X613" s="57"/>
      <c r="Y613" s="57"/>
    </row>
    <row r="614" ht="34.5" customHeight="1">
      <c r="A614" s="24" t="s">
        <v>674</v>
      </c>
      <c r="B614" s="50" t="s">
        <v>675</v>
      </c>
      <c r="C614" s="50" t="s">
        <v>708</v>
      </c>
      <c r="D614" s="50" t="s">
        <v>712</v>
      </c>
      <c r="E614" s="50">
        <v>62.0</v>
      </c>
      <c r="F614" s="49">
        <v>5.59</v>
      </c>
      <c r="G614" s="50">
        <v>3.0</v>
      </c>
      <c r="H614" s="49">
        <v>51.79</v>
      </c>
      <c r="I614" s="49">
        <v>100.0</v>
      </c>
      <c r="J614" s="51">
        <f t="shared" si="11"/>
        <v>64.38762</v>
      </c>
      <c r="K614" s="51">
        <f t="shared" si="12"/>
        <v>58.5342</v>
      </c>
      <c r="L614" s="8">
        <f t="shared" si="3"/>
        <v>0.5929149178</v>
      </c>
      <c r="M614" s="8">
        <f t="shared" si="4"/>
        <v>0.1778744753</v>
      </c>
      <c r="N614" s="8">
        <f t="shared" si="5"/>
        <v>0.03557489507</v>
      </c>
      <c r="O614" s="8">
        <f t="shared" si="6"/>
        <v>0.1170684</v>
      </c>
      <c r="P614" s="8">
        <f t="shared" si="7"/>
        <v>0.1756026</v>
      </c>
      <c r="Q614" s="8">
        <f t="shared" si="8"/>
        <v>0.0585342</v>
      </c>
      <c r="R614" s="57"/>
      <c r="S614" s="57"/>
      <c r="T614" s="57"/>
      <c r="U614" s="57"/>
      <c r="V614" s="57"/>
      <c r="W614" s="57"/>
      <c r="X614" s="57"/>
      <c r="Y614" s="57"/>
    </row>
    <row r="615" ht="34.5" customHeight="1">
      <c r="A615" s="24" t="s">
        <v>674</v>
      </c>
      <c r="B615" s="50" t="s">
        <v>675</v>
      </c>
      <c r="C615" s="50" t="s">
        <v>708</v>
      </c>
      <c r="D615" s="50" t="s">
        <v>713</v>
      </c>
      <c r="E615" s="74">
        <v>2172.0</v>
      </c>
      <c r="F615" s="49">
        <v>28.22</v>
      </c>
      <c r="G615" s="50">
        <v>29.0</v>
      </c>
      <c r="H615" s="49">
        <v>43.04</v>
      </c>
      <c r="I615" s="49" t="s">
        <v>714</v>
      </c>
      <c r="J615" s="51">
        <f t="shared" si="11"/>
        <v>1714.96776</v>
      </c>
      <c r="K615" s="51">
        <f t="shared" si="12"/>
        <v>1559.0616</v>
      </c>
      <c r="L615" s="8">
        <f t="shared" si="3"/>
        <v>15.79232108</v>
      </c>
      <c r="M615" s="8">
        <f t="shared" si="4"/>
        <v>4.737696323</v>
      </c>
      <c r="N615" s="8">
        <f t="shared" si="5"/>
        <v>0.9475392647</v>
      </c>
      <c r="O615" s="8">
        <f t="shared" si="6"/>
        <v>3.1181232</v>
      </c>
      <c r="P615" s="8">
        <f t="shared" si="7"/>
        <v>4.6771848</v>
      </c>
      <c r="Q615" s="8">
        <f t="shared" si="8"/>
        <v>1.5590616</v>
      </c>
      <c r="R615" s="57"/>
      <c r="S615" s="57"/>
      <c r="T615" s="57"/>
      <c r="U615" s="57"/>
      <c r="V615" s="57"/>
      <c r="W615" s="57"/>
      <c r="X615" s="57"/>
      <c r="Y615" s="57"/>
    </row>
    <row r="616" ht="34.5" customHeight="1">
      <c r="A616" s="24" t="s">
        <v>674</v>
      </c>
      <c r="B616" s="50" t="s">
        <v>675</v>
      </c>
      <c r="C616" s="50" t="s">
        <v>708</v>
      </c>
      <c r="D616" s="50" t="s">
        <v>715</v>
      </c>
      <c r="E616" s="50">
        <v>54.0</v>
      </c>
      <c r="F616" s="49">
        <v>6.68</v>
      </c>
      <c r="G616" s="50">
        <v>2.0</v>
      </c>
      <c r="H616" s="49">
        <v>89.59</v>
      </c>
      <c r="I616" s="49">
        <v>100.0</v>
      </c>
      <c r="J616" s="51">
        <f t="shared" si="11"/>
        <v>55.43208</v>
      </c>
      <c r="K616" s="51">
        <f t="shared" si="12"/>
        <v>50.3928</v>
      </c>
      <c r="L616" s="8">
        <f t="shared" si="3"/>
        <v>0.5104476164</v>
      </c>
      <c r="M616" s="8">
        <f t="shared" si="4"/>
        <v>0.1531342849</v>
      </c>
      <c r="N616" s="8">
        <f t="shared" si="5"/>
        <v>0.03062685699</v>
      </c>
      <c r="O616" s="8">
        <f t="shared" si="6"/>
        <v>0.1007856</v>
      </c>
      <c r="P616" s="8">
        <f t="shared" si="7"/>
        <v>0.1511784</v>
      </c>
      <c r="Q616" s="8">
        <f t="shared" si="8"/>
        <v>0.0503928</v>
      </c>
      <c r="R616" s="57"/>
      <c r="S616" s="57"/>
      <c r="T616" s="57"/>
      <c r="U616" s="57"/>
      <c r="V616" s="57"/>
      <c r="W616" s="57"/>
      <c r="X616" s="57"/>
      <c r="Y616" s="57"/>
    </row>
    <row r="617" ht="34.5" customHeight="1">
      <c r="A617" s="24" t="s">
        <v>674</v>
      </c>
      <c r="B617" s="50" t="s">
        <v>675</v>
      </c>
      <c r="C617" s="50" t="s">
        <v>708</v>
      </c>
      <c r="D617" s="50" t="s">
        <v>716</v>
      </c>
      <c r="E617" s="50">
        <v>94.0</v>
      </c>
      <c r="F617" s="49">
        <v>8.81</v>
      </c>
      <c r="G617" s="50">
        <v>3.0</v>
      </c>
      <c r="H617" s="49">
        <v>100.0</v>
      </c>
      <c r="I617" s="49">
        <v>100.0</v>
      </c>
      <c r="J617" s="51">
        <f t="shared" si="11"/>
        <v>94.29046</v>
      </c>
      <c r="K617" s="51">
        <f t="shared" si="12"/>
        <v>85.7186</v>
      </c>
      <c r="L617" s="8">
        <f t="shared" si="3"/>
        <v>0.8682759254</v>
      </c>
      <c r="M617" s="8">
        <f t="shared" si="4"/>
        <v>0.2604827776</v>
      </c>
      <c r="N617" s="8">
        <f t="shared" si="5"/>
        <v>0.05209655553</v>
      </c>
      <c r="O617" s="8">
        <f t="shared" si="6"/>
        <v>0.1714372</v>
      </c>
      <c r="P617" s="8">
        <f t="shared" si="7"/>
        <v>0.2571558</v>
      </c>
      <c r="Q617" s="8">
        <f t="shared" si="8"/>
        <v>0.0857186</v>
      </c>
      <c r="R617" s="57"/>
      <c r="S617" s="57"/>
      <c r="T617" s="57"/>
      <c r="U617" s="57"/>
      <c r="V617" s="57"/>
      <c r="W617" s="57"/>
      <c r="X617" s="57"/>
      <c r="Y617" s="57"/>
    </row>
    <row r="618" ht="34.5" customHeight="1">
      <c r="A618" s="24" t="s">
        <v>674</v>
      </c>
      <c r="B618" s="50" t="s">
        <v>675</v>
      </c>
      <c r="C618" s="50" t="s">
        <v>708</v>
      </c>
      <c r="D618" s="50" t="s">
        <v>717</v>
      </c>
      <c r="E618" s="50">
        <v>105.0</v>
      </c>
      <c r="F618" s="49">
        <v>7.14</v>
      </c>
      <c r="G618" s="50">
        <v>4.0</v>
      </c>
      <c r="H618" s="49">
        <v>63.43</v>
      </c>
      <c r="I618" s="49">
        <v>100.0</v>
      </c>
      <c r="J618" s="51">
        <f t="shared" si="11"/>
        <v>107.2533</v>
      </c>
      <c r="K618" s="51">
        <f t="shared" si="12"/>
        <v>97.503</v>
      </c>
      <c r="L618" s="8">
        <f t="shared" si="3"/>
        <v>0.9876445434</v>
      </c>
      <c r="M618" s="8">
        <f t="shared" si="4"/>
        <v>0.296293363</v>
      </c>
      <c r="N618" s="8">
        <f t="shared" si="5"/>
        <v>0.0592586726</v>
      </c>
      <c r="O618" s="8">
        <f t="shared" si="6"/>
        <v>0.195006</v>
      </c>
      <c r="P618" s="8">
        <f t="shared" si="7"/>
        <v>0.292509</v>
      </c>
      <c r="Q618" s="8">
        <f t="shared" si="8"/>
        <v>0.097503</v>
      </c>
      <c r="R618" s="57"/>
      <c r="S618" s="57"/>
      <c r="T618" s="57"/>
      <c r="U618" s="57"/>
      <c r="V618" s="57"/>
      <c r="W618" s="57"/>
      <c r="X618" s="57"/>
      <c r="Y618" s="57"/>
    </row>
    <row r="619" ht="34.5" customHeight="1">
      <c r="A619" s="24" t="s">
        <v>674</v>
      </c>
      <c r="B619" s="50" t="s">
        <v>675</v>
      </c>
      <c r="C619" s="50" t="s">
        <v>708</v>
      </c>
      <c r="D619" s="50" t="s">
        <v>718</v>
      </c>
      <c r="E619" s="50">
        <v>101.0</v>
      </c>
      <c r="F619" s="49">
        <v>11.66</v>
      </c>
      <c r="G619" s="50">
        <v>3.0</v>
      </c>
      <c r="H619" s="49">
        <v>96.85</v>
      </c>
      <c r="I619" s="49" t="s">
        <v>719</v>
      </c>
      <c r="J619" s="51">
        <f t="shared" si="11"/>
        <v>98.14574</v>
      </c>
      <c r="K619" s="51">
        <f t="shared" si="12"/>
        <v>89.2234</v>
      </c>
      <c r="L619" s="8">
        <f t="shared" si="3"/>
        <v>0.9037773623</v>
      </c>
      <c r="M619" s="8">
        <f t="shared" si="4"/>
        <v>0.2711332087</v>
      </c>
      <c r="N619" s="8">
        <f t="shared" si="5"/>
        <v>0.05422664174</v>
      </c>
      <c r="O619" s="8">
        <f t="shared" si="6"/>
        <v>0.1784468</v>
      </c>
      <c r="P619" s="8">
        <f t="shared" si="7"/>
        <v>0.2676702</v>
      </c>
      <c r="Q619" s="8">
        <f t="shared" si="8"/>
        <v>0.0892234</v>
      </c>
      <c r="R619" s="57"/>
      <c r="S619" s="57"/>
      <c r="T619" s="57"/>
      <c r="U619" s="57"/>
      <c r="V619" s="57"/>
      <c r="W619" s="57"/>
      <c r="X619" s="57"/>
      <c r="Y619" s="57"/>
    </row>
    <row r="620" ht="34.5" customHeight="1">
      <c r="A620" s="24" t="s">
        <v>674</v>
      </c>
      <c r="B620" s="50" t="s">
        <v>675</v>
      </c>
      <c r="C620" s="50" t="s">
        <v>708</v>
      </c>
      <c r="D620" s="50" t="s">
        <v>675</v>
      </c>
      <c r="E620" s="74">
        <v>3322.0</v>
      </c>
      <c r="F620" s="49">
        <v>33.49</v>
      </c>
      <c r="G620" s="50">
        <v>44.0</v>
      </c>
      <c r="H620" s="49">
        <v>32.87</v>
      </c>
      <c r="I620" s="49" t="s">
        <v>720</v>
      </c>
      <c r="J620" s="51">
        <f t="shared" si="11"/>
        <v>2430.40842</v>
      </c>
      <c r="K620" s="51">
        <f t="shared" si="12"/>
        <v>2209.4622</v>
      </c>
      <c r="L620" s="8">
        <f t="shared" si="3"/>
        <v>22.38047327</v>
      </c>
      <c r="M620" s="8">
        <f t="shared" si="4"/>
        <v>6.714141982</v>
      </c>
      <c r="N620" s="8">
        <f t="shared" si="5"/>
        <v>1.342828396</v>
      </c>
      <c r="O620" s="8">
        <f t="shared" si="6"/>
        <v>4.4189244</v>
      </c>
      <c r="P620" s="8">
        <f t="shared" si="7"/>
        <v>6.6283866</v>
      </c>
      <c r="Q620" s="8">
        <f t="shared" si="8"/>
        <v>2.2094622</v>
      </c>
      <c r="R620" s="57"/>
      <c r="S620" s="57"/>
      <c r="T620" s="57"/>
      <c r="U620" s="57"/>
      <c r="V620" s="57"/>
      <c r="W620" s="57"/>
      <c r="X620" s="57"/>
      <c r="Y620" s="57"/>
    </row>
    <row r="621" ht="34.5" customHeight="1">
      <c r="A621" s="24" t="s">
        <v>674</v>
      </c>
      <c r="B621" s="50" t="s">
        <v>675</v>
      </c>
      <c r="C621" s="50" t="s">
        <v>708</v>
      </c>
      <c r="D621" s="50" t="s">
        <v>721</v>
      </c>
      <c r="E621" s="50">
        <v>430.0</v>
      </c>
      <c r="F621" s="49">
        <v>19.38</v>
      </c>
      <c r="G621" s="50">
        <v>7.0</v>
      </c>
      <c r="H621" s="49">
        <v>29.25</v>
      </c>
      <c r="I621" s="49" t="s">
        <v>722</v>
      </c>
      <c r="J621" s="51">
        <f t="shared" si="11"/>
        <v>381.3326</v>
      </c>
      <c r="K621" s="51">
        <f t="shared" si="12"/>
        <v>346.666</v>
      </c>
      <c r="L621" s="8">
        <f t="shared" si="3"/>
        <v>3.511510244</v>
      </c>
      <c r="M621" s="8">
        <f t="shared" si="4"/>
        <v>1.053453073</v>
      </c>
      <c r="N621" s="8">
        <f t="shared" si="5"/>
        <v>0.2106906146</v>
      </c>
      <c r="O621" s="8">
        <f t="shared" si="6"/>
        <v>0.693332</v>
      </c>
      <c r="P621" s="8">
        <f t="shared" si="7"/>
        <v>1.039998</v>
      </c>
      <c r="Q621" s="8">
        <f t="shared" si="8"/>
        <v>0.346666</v>
      </c>
      <c r="R621" s="57"/>
      <c r="S621" s="57"/>
      <c r="T621" s="57"/>
      <c r="U621" s="57"/>
      <c r="V621" s="57"/>
      <c r="W621" s="57"/>
      <c r="X621" s="57"/>
      <c r="Y621" s="57"/>
    </row>
    <row r="622" ht="34.5" customHeight="1">
      <c r="A622" s="24" t="s">
        <v>723</v>
      </c>
      <c r="B622" s="50" t="s">
        <v>724</v>
      </c>
      <c r="C622" s="50" t="s">
        <v>725</v>
      </c>
      <c r="D622" s="50" t="s">
        <v>726</v>
      </c>
      <c r="E622" s="51">
        <v>368.0</v>
      </c>
      <c r="F622" s="49">
        <v>46.15</v>
      </c>
      <c r="G622" s="50">
        <v>4.0</v>
      </c>
      <c r="H622" s="49">
        <v>17.04</v>
      </c>
      <c r="I622" s="49">
        <v>39.26</v>
      </c>
      <c r="J622" s="51">
        <f t="shared" si="11"/>
        <v>217.9848</v>
      </c>
      <c r="K622" s="51">
        <f t="shared" si="12"/>
        <v>198.168</v>
      </c>
      <c r="L622" s="8">
        <f t="shared" si="3"/>
        <v>2.007318174</v>
      </c>
      <c r="M622" s="8">
        <f t="shared" si="4"/>
        <v>0.6021954521</v>
      </c>
      <c r="N622" s="8">
        <f t="shared" si="5"/>
        <v>0.1204390904</v>
      </c>
      <c r="O622" s="8">
        <f t="shared" si="6"/>
        <v>0.396336</v>
      </c>
      <c r="P622" s="8">
        <f t="shared" si="7"/>
        <v>0.594504</v>
      </c>
      <c r="Q622" s="8">
        <f t="shared" si="8"/>
        <v>0.198168</v>
      </c>
      <c r="R622" s="57"/>
      <c r="S622" s="57"/>
      <c r="T622" s="57"/>
      <c r="U622" s="57"/>
      <c r="V622" s="57"/>
      <c r="W622" s="57"/>
      <c r="X622" s="57"/>
      <c r="Y622" s="57"/>
    </row>
    <row r="623" ht="34.5" customHeight="1">
      <c r="A623" s="24" t="s">
        <v>723</v>
      </c>
      <c r="B623" s="50" t="s">
        <v>724</v>
      </c>
      <c r="C623" s="50" t="s">
        <v>725</v>
      </c>
      <c r="D623" s="50" t="s">
        <v>724</v>
      </c>
      <c r="E623" s="51">
        <v>2527.0</v>
      </c>
      <c r="F623" s="49">
        <v>49.23</v>
      </c>
      <c r="G623" s="50">
        <v>38.0</v>
      </c>
      <c r="H623" s="49">
        <v>36.54</v>
      </c>
      <c r="I623" s="49">
        <v>60.64</v>
      </c>
      <c r="J623" s="51">
        <f t="shared" si="11"/>
        <v>1411.25369</v>
      </c>
      <c r="K623" s="51">
        <f t="shared" si="12"/>
        <v>1282.9579</v>
      </c>
      <c r="L623" s="8">
        <f t="shared" si="3"/>
        <v>12.9955629</v>
      </c>
      <c r="M623" s="8">
        <f t="shared" si="4"/>
        <v>3.89866887</v>
      </c>
      <c r="N623" s="8">
        <f t="shared" si="5"/>
        <v>0.7797337739</v>
      </c>
      <c r="O623" s="8">
        <f t="shared" si="6"/>
        <v>2.5659158</v>
      </c>
      <c r="P623" s="8">
        <f t="shared" si="7"/>
        <v>3.8488737</v>
      </c>
      <c r="Q623" s="8">
        <f t="shared" si="8"/>
        <v>1.2829579</v>
      </c>
      <c r="R623" s="57"/>
      <c r="S623" s="57"/>
      <c r="T623" s="57"/>
      <c r="U623" s="57"/>
      <c r="V623" s="57"/>
      <c r="W623" s="57"/>
      <c r="X623" s="57"/>
      <c r="Y623" s="57"/>
    </row>
    <row r="624" ht="34.5" customHeight="1">
      <c r="A624" s="24" t="s">
        <v>723</v>
      </c>
      <c r="B624" s="50" t="s">
        <v>724</v>
      </c>
      <c r="C624" s="50" t="s">
        <v>725</v>
      </c>
      <c r="D624" s="50" t="s">
        <v>727</v>
      </c>
      <c r="E624" s="51">
        <v>149.0</v>
      </c>
      <c r="F624" s="49">
        <v>23.62</v>
      </c>
      <c r="G624" s="50">
        <v>4.0</v>
      </c>
      <c r="H624" s="49">
        <v>69.36</v>
      </c>
      <c r="I624" s="49">
        <v>100.0</v>
      </c>
      <c r="J624" s="51">
        <f t="shared" si="11"/>
        <v>125.18682</v>
      </c>
      <c r="K624" s="51">
        <f t="shared" si="12"/>
        <v>113.8062</v>
      </c>
      <c r="L624" s="8">
        <f t="shared" si="3"/>
        <v>1.152785785</v>
      </c>
      <c r="M624" s="8">
        <f t="shared" si="4"/>
        <v>0.3458357356</v>
      </c>
      <c r="N624" s="8">
        <f t="shared" si="5"/>
        <v>0.06916714712</v>
      </c>
      <c r="O624" s="8">
        <f t="shared" si="6"/>
        <v>0.2276124</v>
      </c>
      <c r="P624" s="8">
        <f t="shared" si="7"/>
        <v>0.3414186</v>
      </c>
      <c r="Q624" s="8">
        <f t="shared" si="8"/>
        <v>0.1138062</v>
      </c>
      <c r="R624" s="57"/>
      <c r="S624" s="57"/>
      <c r="T624" s="57"/>
      <c r="U624" s="57"/>
      <c r="V624" s="57"/>
      <c r="W624" s="57"/>
      <c r="X624" s="57"/>
      <c r="Y624" s="57"/>
    </row>
    <row r="625" ht="34.5" customHeight="1">
      <c r="A625" s="24" t="s">
        <v>723</v>
      </c>
      <c r="B625" s="50" t="s">
        <v>724</v>
      </c>
      <c r="C625" s="50" t="s">
        <v>725</v>
      </c>
      <c r="D625" s="50" t="s">
        <v>728</v>
      </c>
      <c r="E625" s="51">
        <v>73.0</v>
      </c>
      <c r="F625" s="49">
        <v>43.83</v>
      </c>
      <c r="G625" s="50">
        <v>2.0</v>
      </c>
      <c r="H625" s="49">
        <v>100.0</v>
      </c>
      <c r="I625" s="49">
        <v>100.0</v>
      </c>
      <c r="J625" s="51">
        <f t="shared" si="11"/>
        <v>45.10451</v>
      </c>
      <c r="K625" s="51">
        <f t="shared" si="12"/>
        <v>41.0041</v>
      </c>
      <c r="L625" s="8">
        <f t="shared" si="3"/>
        <v>0.4153459444</v>
      </c>
      <c r="M625" s="8">
        <f t="shared" si="4"/>
        <v>0.1246037833</v>
      </c>
      <c r="N625" s="8">
        <f t="shared" si="5"/>
        <v>0.02492075667</v>
      </c>
      <c r="O625" s="8">
        <f t="shared" si="6"/>
        <v>0.0820082</v>
      </c>
      <c r="P625" s="8">
        <f t="shared" si="7"/>
        <v>0.1230123</v>
      </c>
      <c r="Q625" s="8">
        <f t="shared" si="8"/>
        <v>0.0410041</v>
      </c>
      <c r="R625" s="57"/>
      <c r="S625" s="57"/>
      <c r="T625" s="57"/>
      <c r="U625" s="57"/>
      <c r="V625" s="57"/>
      <c r="W625" s="57"/>
      <c r="X625" s="57"/>
      <c r="Y625" s="57"/>
    </row>
    <row r="626" ht="34.5" customHeight="1">
      <c r="A626" s="24" t="s">
        <v>723</v>
      </c>
      <c r="B626" s="50" t="s">
        <v>724</v>
      </c>
      <c r="C626" s="50" t="s">
        <v>725</v>
      </c>
      <c r="D626" s="50" t="s">
        <v>729</v>
      </c>
      <c r="E626" s="51">
        <v>32.0</v>
      </c>
      <c r="F626" s="49">
        <v>37.61</v>
      </c>
      <c r="G626" s="50">
        <v>2.0</v>
      </c>
      <c r="H626" s="49">
        <v>72.51</v>
      </c>
      <c r="I626" s="49">
        <v>100.0</v>
      </c>
      <c r="J626" s="51">
        <f t="shared" si="11"/>
        <v>21.96128</v>
      </c>
      <c r="K626" s="51">
        <f t="shared" si="12"/>
        <v>19.9648</v>
      </c>
      <c r="L626" s="8">
        <f t="shared" si="3"/>
        <v>0.202230965</v>
      </c>
      <c r="M626" s="8">
        <f t="shared" si="4"/>
        <v>0.0606692895</v>
      </c>
      <c r="N626" s="8">
        <f t="shared" si="5"/>
        <v>0.0121338579</v>
      </c>
      <c r="O626" s="8">
        <f t="shared" si="6"/>
        <v>0.0399296</v>
      </c>
      <c r="P626" s="8">
        <f t="shared" si="7"/>
        <v>0.0598944</v>
      </c>
      <c r="Q626" s="8">
        <f t="shared" si="8"/>
        <v>0.0199648</v>
      </c>
      <c r="R626" s="57"/>
      <c r="S626" s="57"/>
      <c r="T626" s="57"/>
      <c r="U626" s="57"/>
      <c r="V626" s="57"/>
      <c r="W626" s="57"/>
      <c r="X626" s="57"/>
      <c r="Y626" s="57"/>
    </row>
    <row r="627" ht="34.5" customHeight="1">
      <c r="A627" s="24" t="s">
        <v>723</v>
      </c>
      <c r="B627" s="50" t="s">
        <v>724</v>
      </c>
      <c r="C627" s="50" t="s">
        <v>725</v>
      </c>
      <c r="D627" s="50" t="s">
        <v>730</v>
      </c>
      <c r="E627" s="51">
        <v>81.0</v>
      </c>
      <c r="F627" s="49">
        <v>32.96</v>
      </c>
      <c r="G627" s="50">
        <v>3.0</v>
      </c>
      <c r="H627" s="49">
        <v>95.84</v>
      </c>
      <c r="I627" s="49">
        <v>100.0</v>
      </c>
      <c r="J627" s="51">
        <f t="shared" si="11"/>
        <v>59.73264</v>
      </c>
      <c r="K627" s="51">
        <f t="shared" si="12"/>
        <v>54.3024</v>
      </c>
      <c r="L627" s="8">
        <f t="shared" si="3"/>
        <v>0.5500494247</v>
      </c>
      <c r="M627" s="8">
        <f t="shared" si="4"/>
        <v>0.1650148274</v>
      </c>
      <c r="N627" s="8">
        <f t="shared" si="5"/>
        <v>0.03300296548</v>
      </c>
      <c r="O627" s="8">
        <f t="shared" si="6"/>
        <v>0.1086048</v>
      </c>
      <c r="P627" s="8">
        <f t="shared" si="7"/>
        <v>0.1629072</v>
      </c>
      <c r="Q627" s="8">
        <f t="shared" si="8"/>
        <v>0.0543024</v>
      </c>
      <c r="R627" s="57"/>
      <c r="S627" s="57"/>
      <c r="T627" s="57"/>
      <c r="U627" s="57"/>
      <c r="V627" s="57"/>
      <c r="W627" s="57"/>
      <c r="X627" s="57"/>
      <c r="Y627" s="57"/>
    </row>
    <row r="628" ht="34.5" customHeight="1">
      <c r="A628" s="24" t="s">
        <v>723</v>
      </c>
      <c r="B628" s="50" t="s">
        <v>724</v>
      </c>
      <c r="C628" s="50" t="s">
        <v>725</v>
      </c>
      <c r="D628" s="50" t="s">
        <v>731</v>
      </c>
      <c r="E628" s="51">
        <v>78.0</v>
      </c>
      <c r="F628" s="49">
        <v>50.67</v>
      </c>
      <c r="G628" s="50">
        <v>2.0</v>
      </c>
      <c r="H628" s="49">
        <v>39.13</v>
      </c>
      <c r="I628" s="49">
        <v>39.13</v>
      </c>
      <c r="J628" s="51">
        <f t="shared" si="11"/>
        <v>42.32514</v>
      </c>
      <c r="K628" s="51">
        <f t="shared" si="12"/>
        <v>38.4774</v>
      </c>
      <c r="L628" s="8">
        <f t="shared" si="3"/>
        <v>0.3897520502</v>
      </c>
      <c r="M628" s="8">
        <f t="shared" si="4"/>
        <v>0.1169256151</v>
      </c>
      <c r="N628" s="8">
        <f t="shared" si="5"/>
        <v>0.02338512301</v>
      </c>
      <c r="O628" s="8">
        <f t="shared" si="6"/>
        <v>0.0769548</v>
      </c>
      <c r="P628" s="8">
        <f t="shared" si="7"/>
        <v>0.1154322</v>
      </c>
      <c r="Q628" s="8">
        <f t="shared" si="8"/>
        <v>0.0384774</v>
      </c>
      <c r="R628" s="57"/>
      <c r="S628" s="57"/>
      <c r="T628" s="57"/>
      <c r="U628" s="57"/>
      <c r="V628" s="57"/>
      <c r="W628" s="57"/>
      <c r="X628" s="57"/>
      <c r="Y628" s="57"/>
    </row>
    <row r="629" ht="34.5" customHeight="1">
      <c r="A629" s="24" t="s">
        <v>723</v>
      </c>
      <c r="B629" s="50" t="s">
        <v>724</v>
      </c>
      <c r="C629" s="50" t="s">
        <v>725</v>
      </c>
      <c r="D629" s="50" t="s">
        <v>732</v>
      </c>
      <c r="E629" s="51">
        <v>17.0</v>
      </c>
      <c r="F629" s="49">
        <v>18.43</v>
      </c>
      <c r="G629" s="50">
        <v>1.0</v>
      </c>
      <c r="H629" s="49">
        <v>100.0</v>
      </c>
      <c r="I629" s="49">
        <v>100.0</v>
      </c>
      <c r="J629" s="51">
        <f t="shared" si="11"/>
        <v>15.25359</v>
      </c>
      <c r="K629" s="51">
        <f t="shared" si="12"/>
        <v>13.8669</v>
      </c>
      <c r="L629" s="8">
        <f t="shared" si="3"/>
        <v>0.1404630434</v>
      </c>
      <c r="M629" s="8">
        <f t="shared" si="4"/>
        <v>0.04213891301</v>
      </c>
      <c r="N629" s="8">
        <f t="shared" si="5"/>
        <v>0.008427782603</v>
      </c>
      <c r="O629" s="8">
        <f t="shared" si="6"/>
        <v>0.0277338</v>
      </c>
      <c r="P629" s="8">
        <f t="shared" si="7"/>
        <v>0.0416007</v>
      </c>
      <c r="Q629" s="8">
        <f t="shared" si="8"/>
        <v>0.0138669</v>
      </c>
      <c r="R629" s="57"/>
      <c r="S629" s="57"/>
      <c r="T629" s="57"/>
      <c r="U629" s="57"/>
      <c r="V629" s="57"/>
      <c r="W629" s="57"/>
      <c r="X629" s="57"/>
      <c r="Y629" s="57"/>
    </row>
    <row r="630" ht="34.5" customHeight="1">
      <c r="A630" s="24" t="s">
        <v>723</v>
      </c>
      <c r="B630" s="50" t="s">
        <v>724</v>
      </c>
      <c r="C630" s="50" t="s">
        <v>733</v>
      </c>
      <c r="D630" s="50" t="s">
        <v>734</v>
      </c>
      <c r="E630" s="51">
        <v>128.0</v>
      </c>
      <c r="F630" s="49">
        <v>13.32</v>
      </c>
      <c r="G630" s="50">
        <v>4.0</v>
      </c>
      <c r="H630" s="49">
        <v>64.5</v>
      </c>
      <c r="I630" s="49">
        <v>83.2</v>
      </c>
      <c r="J630" s="51">
        <f t="shared" si="11"/>
        <v>122.04544</v>
      </c>
      <c r="K630" s="51">
        <f t="shared" si="12"/>
        <v>110.9504</v>
      </c>
      <c r="L630" s="8">
        <f t="shared" si="3"/>
        <v>1.123858314</v>
      </c>
      <c r="M630" s="8">
        <f t="shared" si="4"/>
        <v>0.3371574941</v>
      </c>
      <c r="N630" s="8">
        <f t="shared" si="5"/>
        <v>0.06743149881</v>
      </c>
      <c r="O630" s="8">
        <f t="shared" si="6"/>
        <v>0.2219008</v>
      </c>
      <c r="P630" s="8">
        <f t="shared" si="7"/>
        <v>0.3328512</v>
      </c>
      <c r="Q630" s="8">
        <f t="shared" si="8"/>
        <v>0.1109504</v>
      </c>
      <c r="R630" s="57"/>
      <c r="S630" s="57"/>
      <c r="T630" s="57"/>
      <c r="U630" s="57"/>
      <c r="V630" s="57"/>
      <c r="W630" s="57"/>
      <c r="X630" s="57"/>
      <c r="Y630" s="57"/>
    </row>
    <row r="631" ht="34.5" customHeight="1">
      <c r="A631" s="24" t="s">
        <v>723</v>
      </c>
      <c r="B631" s="50" t="s">
        <v>724</v>
      </c>
      <c r="C631" s="50" t="s">
        <v>733</v>
      </c>
      <c r="D631" s="50" t="s">
        <v>735</v>
      </c>
      <c r="E631" s="51">
        <v>680.0</v>
      </c>
      <c r="F631" s="49">
        <v>19.7</v>
      </c>
      <c r="G631" s="50">
        <v>10.0</v>
      </c>
      <c r="H631" s="49">
        <v>22.99</v>
      </c>
      <c r="I631" s="49">
        <v>52.97</v>
      </c>
      <c r="J631" s="51">
        <f t="shared" si="11"/>
        <v>600.644</v>
      </c>
      <c r="K631" s="51">
        <f t="shared" si="12"/>
        <v>546.04</v>
      </c>
      <c r="L631" s="8">
        <f t="shared" si="3"/>
        <v>5.531044444</v>
      </c>
      <c r="M631" s="8">
        <f t="shared" si="4"/>
        <v>1.659313333</v>
      </c>
      <c r="N631" s="8">
        <f t="shared" si="5"/>
        <v>0.3318626667</v>
      </c>
      <c r="O631" s="8">
        <f t="shared" si="6"/>
        <v>1.09208</v>
      </c>
      <c r="P631" s="8">
        <f t="shared" si="7"/>
        <v>1.63812</v>
      </c>
      <c r="Q631" s="8">
        <f t="shared" si="8"/>
        <v>0.54604</v>
      </c>
      <c r="R631" s="57"/>
      <c r="S631" s="57"/>
      <c r="T631" s="57"/>
      <c r="U631" s="57"/>
      <c r="V631" s="57"/>
      <c r="W631" s="57"/>
      <c r="X631" s="57"/>
      <c r="Y631" s="57"/>
    </row>
    <row r="632" ht="34.5" customHeight="1">
      <c r="A632" s="24" t="s">
        <v>723</v>
      </c>
      <c r="B632" s="50" t="s">
        <v>724</v>
      </c>
      <c r="C632" s="50" t="s">
        <v>733</v>
      </c>
      <c r="D632" s="50" t="s">
        <v>736</v>
      </c>
      <c r="E632" s="51">
        <v>375.0</v>
      </c>
      <c r="F632" s="49">
        <v>23.49</v>
      </c>
      <c r="G632" s="50">
        <v>7.0</v>
      </c>
      <c r="H632" s="49">
        <v>8.0</v>
      </c>
      <c r="I632" s="49">
        <v>8.0</v>
      </c>
      <c r="J632" s="51">
        <f t="shared" si="11"/>
        <v>315.60375</v>
      </c>
      <c r="K632" s="51">
        <f t="shared" si="12"/>
        <v>286.9125</v>
      </c>
      <c r="L632" s="8">
        <f t="shared" si="3"/>
        <v>2.906244578</v>
      </c>
      <c r="M632" s="8">
        <f t="shared" si="4"/>
        <v>0.8718733733</v>
      </c>
      <c r="N632" s="8">
        <f t="shared" si="5"/>
        <v>0.1743746747</v>
      </c>
      <c r="O632" s="8">
        <f t="shared" si="6"/>
        <v>0.573825</v>
      </c>
      <c r="P632" s="8">
        <f t="shared" si="7"/>
        <v>0.8607375</v>
      </c>
      <c r="Q632" s="8">
        <f t="shared" si="8"/>
        <v>0.2869125</v>
      </c>
      <c r="R632" s="57"/>
      <c r="S632" s="57"/>
      <c r="T632" s="57"/>
      <c r="U632" s="57"/>
      <c r="V632" s="57"/>
      <c r="W632" s="57"/>
      <c r="X632" s="57"/>
      <c r="Y632" s="57"/>
    </row>
    <row r="633" ht="34.5" customHeight="1">
      <c r="A633" s="24" t="s">
        <v>723</v>
      </c>
      <c r="B633" s="50" t="s">
        <v>724</v>
      </c>
      <c r="C633" s="50" t="s">
        <v>733</v>
      </c>
      <c r="D633" s="50" t="s">
        <v>737</v>
      </c>
      <c r="E633" s="51">
        <v>92.0</v>
      </c>
      <c r="F633" s="49">
        <v>46.18</v>
      </c>
      <c r="G633" s="50">
        <v>3.0</v>
      </c>
      <c r="H633" s="49">
        <v>61.68</v>
      </c>
      <c r="I633" s="49">
        <v>61.68</v>
      </c>
      <c r="J633" s="51">
        <f t="shared" si="11"/>
        <v>54.46584</v>
      </c>
      <c r="K633" s="51">
        <f t="shared" si="12"/>
        <v>49.5144</v>
      </c>
      <c r="L633" s="8">
        <f t="shared" si="3"/>
        <v>0.5015499726</v>
      </c>
      <c r="M633" s="8">
        <f t="shared" si="4"/>
        <v>0.1504649918</v>
      </c>
      <c r="N633" s="8">
        <f t="shared" si="5"/>
        <v>0.03009299836</v>
      </c>
      <c r="O633" s="8">
        <f t="shared" si="6"/>
        <v>0.0990288</v>
      </c>
      <c r="P633" s="8">
        <f t="shared" si="7"/>
        <v>0.1485432</v>
      </c>
      <c r="Q633" s="8">
        <f t="shared" si="8"/>
        <v>0.0495144</v>
      </c>
      <c r="R633" s="57"/>
      <c r="S633" s="57"/>
      <c r="T633" s="57"/>
      <c r="U633" s="57"/>
      <c r="V633" s="57"/>
      <c r="W633" s="57"/>
      <c r="X633" s="57"/>
      <c r="Y633" s="57"/>
    </row>
    <row r="634" ht="34.5" customHeight="1">
      <c r="A634" s="24" t="s">
        <v>723</v>
      </c>
      <c r="B634" s="50" t="s">
        <v>724</v>
      </c>
      <c r="C634" s="50" t="s">
        <v>733</v>
      </c>
      <c r="D634" s="50" t="s">
        <v>738</v>
      </c>
      <c r="E634" s="51">
        <v>161.0</v>
      </c>
      <c r="F634" s="49">
        <v>26.92</v>
      </c>
      <c r="G634" s="50">
        <v>4.0</v>
      </c>
      <c r="H634" s="49">
        <v>62.74</v>
      </c>
      <c r="I634" s="49">
        <v>62.74</v>
      </c>
      <c r="J634" s="51">
        <f t="shared" si="11"/>
        <v>129.42468</v>
      </c>
      <c r="K634" s="51">
        <f t="shared" si="12"/>
        <v>117.6588</v>
      </c>
      <c r="L634" s="8">
        <f t="shared" si="3"/>
        <v>1.191810219</v>
      </c>
      <c r="M634" s="8">
        <f t="shared" si="4"/>
        <v>0.3575430658</v>
      </c>
      <c r="N634" s="8">
        <f t="shared" si="5"/>
        <v>0.07150861315</v>
      </c>
      <c r="O634" s="8">
        <f t="shared" si="6"/>
        <v>0.2353176</v>
      </c>
      <c r="P634" s="8">
        <f t="shared" si="7"/>
        <v>0.3529764</v>
      </c>
      <c r="Q634" s="8">
        <f t="shared" si="8"/>
        <v>0.1176588</v>
      </c>
      <c r="R634" s="57"/>
      <c r="S634" s="57"/>
      <c r="T634" s="57"/>
      <c r="U634" s="57"/>
      <c r="V634" s="57"/>
      <c r="W634" s="57"/>
      <c r="X634" s="57"/>
      <c r="Y634" s="57"/>
    </row>
    <row r="635" ht="34.5" customHeight="1">
      <c r="A635" s="24" t="s">
        <v>723</v>
      </c>
      <c r="B635" s="50" t="s">
        <v>724</v>
      </c>
      <c r="C635" s="50" t="s">
        <v>739</v>
      </c>
      <c r="D635" s="50" t="s">
        <v>740</v>
      </c>
      <c r="E635" s="51">
        <v>324.0</v>
      </c>
      <c r="F635" s="49">
        <v>41.08</v>
      </c>
      <c r="G635" s="50">
        <v>9.0</v>
      </c>
      <c r="H635" s="49">
        <v>51.16</v>
      </c>
      <c r="I635" s="49">
        <v>60.06</v>
      </c>
      <c r="J635" s="51">
        <f t="shared" si="11"/>
        <v>209.99088</v>
      </c>
      <c r="K635" s="51">
        <f t="shared" si="12"/>
        <v>190.9008</v>
      </c>
      <c r="L635" s="8">
        <f t="shared" si="3"/>
        <v>1.933705973</v>
      </c>
      <c r="M635" s="8">
        <f t="shared" si="4"/>
        <v>0.5801117918</v>
      </c>
      <c r="N635" s="8">
        <f t="shared" si="5"/>
        <v>0.1160223584</v>
      </c>
      <c r="O635" s="8">
        <f t="shared" si="6"/>
        <v>0.3818016</v>
      </c>
      <c r="P635" s="8">
        <f t="shared" si="7"/>
        <v>0.5727024</v>
      </c>
      <c r="Q635" s="8">
        <f t="shared" si="8"/>
        <v>0.1909008</v>
      </c>
      <c r="R635" s="57"/>
      <c r="S635" s="57"/>
      <c r="T635" s="57"/>
      <c r="U635" s="57"/>
      <c r="V635" s="57"/>
      <c r="W635" s="57"/>
      <c r="X635" s="57"/>
      <c r="Y635" s="57"/>
    </row>
    <row r="636" ht="34.5" customHeight="1">
      <c r="A636" s="24" t="s">
        <v>723</v>
      </c>
      <c r="B636" s="50" t="s">
        <v>724</v>
      </c>
      <c r="C636" s="50" t="s">
        <v>739</v>
      </c>
      <c r="D636" s="50" t="s">
        <v>741</v>
      </c>
      <c r="E636" s="51">
        <v>81.66666666666667</v>
      </c>
      <c r="F636" s="49">
        <v>25.74</v>
      </c>
      <c r="G636" s="50">
        <v>3.0</v>
      </c>
      <c r="H636" s="49">
        <v>100.0</v>
      </c>
      <c r="I636" s="49">
        <v>100.0</v>
      </c>
      <c r="J636" s="51">
        <f t="shared" si="11"/>
        <v>66.71023333</v>
      </c>
      <c r="K636" s="51">
        <f t="shared" si="12"/>
        <v>60.64566667</v>
      </c>
      <c r="L636" s="8">
        <f t="shared" si="3"/>
        <v>0.6143027575</v>
      </c>
      <c r="M636" s="8">
        <f t="shared" si="4"/>
        <v>0.1842908272</v>
      </c>
      <c r="N636" s="8">
        <f t="shared" si="5"/>
        <v>0.03685816545</v>
      </c>
      <c r="O636" s="8">
        <f t="shared" si="6"/>
        <v>0.1212913333</v>
      </c>
      <c r="P636" s="8">
        <f t="shared" si="7"/>
        <v>0.181937</v>
      </c>
      <c r="Q636" s="8">
        <f t="shared" si="8"/>
        <v>0.06064566667</v>
      </c>
      <c r="R636" s="57"/>
      <c r="S636" s="57"/>
      <c r="T636" s="57"/>
      <c r="U636" s="57"/>
      <c r="V636" s="57"/>
      <c r="W636" s="57"/>
      <c r="X636" s="57"/>
      <c r="Y636" s="57"/>
    </row>
    <row r="637" ht="34.5" customHeight="1">
      <c r="A637" s="24" t="s">
        <v>723</v>
      </c>
      <c r="B637" s="50" t="s">
        <v>724</v>
      </c>
      <c r="C637" s="50" t="s">
        <v>739</v>
      </c>
      <c r="D637" s="50" t="s">
        <v>742</v>
      </c>
      <c r="E637" s="51">
        <v>420.0</v>
      </c>
      <c r="F637" s="49">
        <v>25.68</v>
      </c>
      <c r="G637" s="50">
        <v>6.0</v>
      </c>
      <c r="H637" s="49">
        <v>49.14</v>
      </c>
      <c r="I637" s="49">
        <v>49.14</v>
      </c>
      <c r="J637" s="51">
        <f t="shared" si="11"/>
        <v>343.3584</v>
      </c>
      <c r="K637" s="51">
        <f t="shared" si="12"/>
        <v>312.144</v>
      </c>
      <c r="L637" s="8">
        <f t="shared" si="3"/>
        <v>3.161823927</v>
      </c>
      <c r="M637" s="8">
        <f t="shared" si="4"/>
        <v>0.9485471781</v>
      </c>
      <c r="N637" s="8">
        <f t="shared" si="5"/>
        <v>0.1897094356</v>
      </c>
      <c r="O637" s="8">
        <f t="shared" si="6"/>
        <v>0.624288</v>
      </c>
      <c r="P637" s="8">
        <f t="shared" si="7"/>
        <v>0.936432</v>
      </c>
      <c r="Q637" s="8">
        <f t="shared" si="8"/>
        <v>0.312144</v>
      </c>
      <c r="R637" s="57"/>
      <c r="S637" s="57"/>
      <c r="T637" s="57"/>
      <c r="U637" s="57"/>
      <c r="V637" s="57"/>
      <c r="W637" s="57"/>
      <c r="X637" s="57"/>
      <c r="Y637" s="57"/>
    </row>
    <row r="638" ht="34.5" customHeight="1">
      <c r="A638" s="24" t="s">
        <v>723</v>
      </c>
      <c r="B638" s="50" t="s">
        <v>724</v>
      </c>
      <c r="C638" s="50" t="s">
        <v>739</v>
      </c>
      <c r="D638" s="50" t="s">
        <v>743</v>
      </c>
      <c r="E638" s="51">
        <v>532.0</v>
      </c>
      <c r="F638" s="49">
        <v>43.95</v>
      </c>
      <c r="G638" s="50">
        <v>11.0</v>
      </c>
      <c r="H638" s="49">
        <v>61.44</v>
      </c>
      <c r="I638" s="49">
        <v>61.44</v>
      </c>
      <c r="J638" s="51">
        <f t="shared" si="11"/>
        <v>328.0046</v>
      </c>
      <c r="K638" s="51">
        <f t="shared" si="12"/>
        <v>298.186</v>
      </c>
      <c r="L638" s="8">
        <f t="shared" si="3"/>
        <v>3.020438097</v>
      </c>
      <c r="M638" s="8">
        <f t="shared" si="4"/>
        <v>0.9061314292</v>
      </c>
      <c r="N638" s="8">
        <f t="shared" si="5"/>
        <v>0.1812262858</v>
      </c>
      <c r="O638" s="8">
        <f t="shared" si="6"/>
        <v>0.596372</v>
      </c>
      <c r="P638" s="8">
        <f t="shared" si="7"/>
        <v>0.894558</v>
      </c>
      <c r="Q638" s="8">
        <f t="shared" si="8"/>
        <v>0.298186</v>
      </c>
      <c r="R638" s="57"/>
      <c r="S638" s="57"/>
      <c r="T638" s="57"/>
      <c r="U638" s="57"/>
      <c r="V638" s="57"/>
      <c r="W638" s="57"/>
      <c r="X638" s="57"/>
      <c r="Y638" s="57"/>
    </row>
    <row r="639" ht="34.5" customHeight="1">
      <c r="A639" s="24" t="s">
        <v>723</v>
      </c>
      <c r="B639" s="50" t="s">
        <v>724</v>
      </c>
      <c r="C639" s="50" t="s">
        <v>739</v>
      </c>
      <c r="D639" s="50" t="s">
        <v>744</v>
      </c>
      <c r="E639" s="51">
        <v>113.0</v>
      </c>
      <c r="F639" s="49">
        <v>18.94</v>
      </c>
      <c r="G639" s="50">
        <v>3.0</v>
      </c>
      <c r="H639" s="49">
        <v>52.2</v>
      </c>
      <c r="I639" s="49">
        <v>52.2</v>
      </c>
      <c r="J639" s="51">
        <f t="shared" si="11"/>
        <v>100.75758</v>
      </c>
      <c r="K639" s="51">
        <f t="shared" si="12"/>
        <v>91.5978</v>
      </c>
      <c r="L639" s="8">
        <f t="shared" si="3"/>
        <v>0.9278285525</v>
      </c>
      <c r="M639" s="8">
        <f t="shared" si="4"/>
        <v>0.2783485658</v>
      </c>
      <c r="N639" s="8">
        <f t="shared" si="5"/>
        <v>0.05566971315</v>
      </c>
      <c r="O639" s="8">
        <f t="shared" si="6"/>
        <v>0.1831956</v>
      </c>
      <c r="P639" s="8">
        <f t="shared" si="7"/>
        <v>0.2747934</v>
      </c>
      <c r="Q639" s="8">
        <f t="shared" si="8"/>
        <v>0.0915978</v>
      </c>
      <c r="R639" s="57"/>
      <c r="S639" s="57"/>
      <c r="T639" s="57"/>
      <c r="U639" s="57"/>
      <c r="V639" s="57"/>
      <c r="W639" s="57"/>
      <c r="X639" s="57"/>
      <c r="Y639" s="57"/>
    </row>
    <row r="640" ht="34.5" customHeight="1">
      <c r="A640" s="24" t="s">
        <v>723</v>
      </c>
      <c r="B640" s="50" t="s">
        <v>724</v>
      </c>
      <c r="C640" s="50" t="s">
        <v>739</v>
      </c>
      <c r="D640" s="50" t="s">
        <v>745</v>
      </c>
      <c r="E640" s="51">
        <v>2631.0</v>
      </c>
      <c r="F640" s="49">
        <v>44.11</v>
      </c>
      <c r="G640" s="50">
        <v>35.0</v>
      </c>
      <c r="H640" s="49">
        <v>28.75</v>
      </c>
      <c r="I640" s="49">
        <v>52.56</v>
      </c>
      <c r="J640" s="51">
        <f t="shared" si="11"/>
        <v>1617.51249</v>
      </c>
      <c r="K640" s="51">
        <f t="shared" si="12"/>
        <v>1470.4659</v>
      </c>
      <c r="L640" s="8">
        <f t="shared" si="3"/>
        <v>14.89490192</v>
      </c>
      <c r="M640" s="8">
        <f t="shared" si="4"/>
        <v>4.468470577</v>
      </c>
      <c r="N640" s="8">
        <f t="shared" si="5"/>
        <v>0.8936941155</v>
      </c>
      <c r="O640" s="8">
        <f t="shared" si="6"/>
        <v>2.9409318</v>
      </c>
      <c r="P640" s="8">
        <f t="shared" si="7"/>
        <v>4.4113977</v>
      </c>
      <c r="Q640" s="8">
        <f t="shared" si="8"/>
        <v>1.4704659</v>
      </c>
      <c r="R640" s="57"/>
      <c r="S640" s="57"/>
      <c r="T640" s="57"/>
      <c r="U640" s="57"/>
      <c r="V640" s="57"/>
      <c r="W640" s="57"/>
      <c r="X640" s="57"/>
      <c r="Y640" s="57"/>
    </row>
    <row r="641" ht="34.5" customHeight="1">
      <c r="A641" s="24" t="s">
        <v>723</v>
      </c>
      <c r="B641" s="50" t="s">
        <v>724</v>
      </c>
      <c r="C641" s="50" t="s">
        <v>487</v>
      </c>
      <c r="D641" s="50" t="s">
        <v>746</v>
      </c>
      <c r="E641" s="51">
        <v>19.0</v>
      </c>
      <c r="F641" s="49">
        <v>21.71</v>
      </c>
      <c r="G641" s="50">
        <v>1.0</v>
      </c>
      <c r="H641" s="49">
        <v>100.0</v>
      </c>
      <c r="I641" s="49">
        <v>100.0</v>
      </c>
      <c r="J641" s="51">
        <f t="shared" si="11"/>
        <v>16.36261</v>
      </c>
      <c r="K641" s="51">
        <f t="shared" si="12"/>
        <v>14.8751</v>
      </c>
      <c r="L641" s="8">
        <f t="shared" si="3"/>
        <v>0.1506754802</v>
      </c>
      <c r="M641" s="8">
        <f t="shared" si="4"/>
        <v>0.04520264406</v>
      </c>
      <c r="N641" s="8">
        <f t="shared" si="5"/>
        <v>0.009040528813</v>
      </c>
      <c r="O641" s="8">
        <f t="shared" si="6"/>
        <v>0.0297502</v>
      </c>
      <c r="P641" s="8">
        <f t="shared" si="7"/>
        <v>0.0446253</v>
      </c>
      <c r="Q641" s="8">
        <f t="shared" si="8"/>
        <v>0.0148751</v>
      </c>
      <c r="R641" s="57"/>
      <c r="S641" s="57"/>
      <c r="T641" s="57"/>
      <c r="U641" s="57"/>
      <c r="V641" s="57"/>
      <c r="W641" s="57"/>
      <c r="X641" s="57"/>
      <c r="Y641" s="57"/>
    </row>
    <row r="642" ht="34.5" customHeight="1">
      <c r="A642" s="24" t="s">
        <v>723</v>
      </c>
      <c r="B642" s="50" t="s">
        <v>724</v>
      </c>
      <c r="C642" s="50" t="s">
        <v>487</v>
      </c>
      <c r="D642" s="50" t="s">
        <v>747</v>
      </c>
      <c r="E642" s="51">
        <v>111.0</v>
      </c>
      <c r="F642" s="49">
        <v>31.59</v>
      </c>
      <c r="G642" s="50">
        <v>1.0</v>
      </c>
      <c r="H642" s="49">
        <v>100.0</v>
      </c>
      <c r="I642" s="49">
        <v>100.0</v>
      </c>
      <c r="J642" s="51">
        <f t="shared" si="11"/>
        <v>83.52861</v>
      </c>
      <c r="K642" s="51">
        <f t="shared" si="12"/>
        <v>75.9351</v>
      </c>
      <c r="L642" s="8">
        <f t="shared" si="3"/>
        <v>0.7691751758</v>
      </c>
      <c r="M642" s="8">
        <f t="shared" si="4"/>
        <v>0.2307525527</v>
      </c>
      <c r="N642" s="8">
        <f t="shared" si="5"/>
        <v>0.04615051055</v>
      </c>
      <c r="O642" s="8">
        <f t="shared" si="6"/>
        <v>0.1518702</v>
      </c>
      <c r="P642" s="8">
        <f t="shared" si="7"/>
        <v>0.2278053</v>
      </c>
      <c r="Q642" s="8">
        <f t="shared" si="8"/>
        <v>0.0759351</v>
      </c>
      <c r="R642" s="57"/>
      <c r="S642" s="57"/>
      <c r="T642" s="57"/>
      <c r="U642" s="57"/>
      <c r="V642" s="57"/>
      <c r="W642" s="57"/>
      <c r="X642" s="57"/>
      <c r="Y642" s="57"/>
    </row>
    <row r="643" ht="34.5" customHeight="1">
      <c r="A643" s="24" t="s">
        <v>723</v>
      </c>
      <c r="B643" s="50" t="s">
        <v>724</v>
      </c>
      <c r="C643" s="50" t="s">
        <v>487</v>
      </c>
      <c r="D643" s="50" t="s">
        <v>748</v>
      </c>
      <c r="E643" s="51">
        <v>839.0</v>
      </c>
      <c r="F643" s="49">
        <v>45.65</v>
      </c>
      <c r="G643" s="50">
        <v>18.0</v>
      </c>
      <c r="H643" s="49">
        <v>49.78</v>
      </c>
      <c r="I643" s="49">
        <v>78.81</v>
      </c>
      <c r="J643" s="51">
        <f t="shared" si="11"/>
        <v>501.59615</v>
      </c>
      <c r="K643" s="51">
        <f t="shared" si="12"/>
        <v>455.9965</v>
      </c>
      <c r="L643" s="8">
        <f t="shared" si="3"/>
        <v>4.618959981</v>
      </c>
      <c r="M643" s="8">
        <f t="shared" si="4"/>
        <v>1.385687994</v>
      </c>
      <c r="N643" s="8">
        <f t="shared" si="5"/>
        <v>0.2771375989</v>
      </c>
      <c r="O643" s="8">
        <f t="shared" si="6"/>
        <v>0.911993</v>
      </c>
      <c r="P643" s="8">
        <f t="shared" si="7"/>
        <v>1.3679895</v>
      </c>
      <c r="Q643" s="8">
        <f t="shared" si="8"/>
        <v>0.4559965</v>
      </c>
      <c r="R643" s="57"/>
      <c r="S643" s="57"/>
      <c r="T643" s="57"/>
      <c r="U643" s="57"/>
      <c r="V643" s="57"/>
      <c r="W643" s="57"/>
      <c r="X643" s="57"/>
      <c r="Y643" s="57"/>
    </row>
    <row r="644" ht="34.5" customHeight="1">
      <c r="A644" s="24" t="s">
        <v>723</v>
      </c>
      <c r="B644" s="50" t="s">
        <v>724</v>
      </c>
      <c r="C644" s="50" t="s">
        <v>487</v>
      </c>
      <c r="D644" s="50" t="s">
        <v>749</v>
      </c>
      <c r="E644" s="51">
        <v>56.0</v>
      </c>
      <c r="F644" s="49">
        <v>38.29</v>
      </c>
      <c r="G644" s="50">
        <v>1.0</v>
      </c>
      <c r="H644" s="49">
        <v>0.0</v>
      </c>
      <c r="I644" s="49">
        <v>75.55</v>
      </c>
      <c r="J644" s="51">
        <f t="shared" si="11"/>
        <v>38.01336</v>
      </c>
      <c r="K644" s="51">
        <f t="shared" si="12"/>
        <v>34.5576</v>
      </c>
      <c r="L644" s="8">
        <f t="shared" si="3"/>
        <v>0.3500469224</v>
      </c>
      <c r="M644" s="8">
        <f t="shared" si="4"/>
        <v>0.1050140767</v>
      </c>
      <c r="N644" s="8">
        <f t="shared" si="5"/>
        <v>0.02100281534</v>
      </c>
      <c r="O644" s="8">
        <f t="shared" si="6"/>
        <v>0.0691152</v>
      </c>
      <c r="P644" s="8">
        <f t="shared" si="7"/>
        <v>0.1036728</v>
      </c>
      <c r="Q644" s="8">
        <f t="shared" si="8"/>
        <v>0.0345576</v>
      </c>
      <c r="R644" s="57"/>
      <c r="S644" s="57"/>
      <c r="T644" s="57"/>
      <c r="U644" s="57"/>
      <c r="V644" s="57"/>
      <c r="W644" s="57"/>
      <c r="X644" s="57"/>
      <c r="Y644" s="57"/>
    </row>
    <row r="645" ht="34.5" customHeight="1">
      <c r="A645" s="24" t="s">
        <v>723</v>
      </c>
      <c r="B645" s="50" t="s">
        <v>724</v>
      </c>
      <c r="C645" s="50" t="s">
        <v>487</v>
      </c>
      <c r="D645" s="50" t="s">
        <v>750</v>
      </c>
      <c r="E645" s="51">
        <v>498.0</v>
      </c>
      <c r="F645" s="49">
        <v>30.62</v>
      </c>
      <c r="G645" s="50">
        <v>10.0</v>
      </c>
      <c r="H645" s="49">
        <v>30.17</v>
      </c>
      <c r="I645" s="49">
        <v>73.25</v>
      </c>
      <c r="J645" s="51">
        <f t="shared" si="11"/>
        <v>380.06364</v>
      </c>
      <c r="K645" s="51">
        <f t="shared" si="12"/>
        <v>345.5124</v>
      </c>
      <c r="L645" s="8">
        <f t="shared" si="3"/>
        <v>3.499824995</v>
      </c>
      <c r="M645" s="8">
        <f t="shared" si="4"/>
        <v>1.049947499</v>
      </c>
      <c r="N645" s="8">
        <f t="shared" si="5"/>
        <v>0.2099894997</v>
      </c>
      <c r="O645" s="8">
        <f t="shared" si="6"/>
        <v>0.6910248</v>
      </c>
      <c r="P645" s="8">
        <f t="shared" si="7"/>
        <v>1.0365372</v>
      </c>
      <c r="Q645" s="8">
        <f t="shared" si="8"/>
        <v>0.3455124</v>
      </c>
      <c r="R645" s="57"/>
      <c r="S645" s="57"/>
      <c r="T645" s="57"/>
      <c r="U645" s="57"/>
      <c r="V645" s="57"/>
      <c r="W645" s="57"/>
      <c r="X645" s="57"/>
      <c r="Y645" s="57"/>
    </row>
    <row r="646" ht="14.25" customHeight="1">
      <c r="B646" s="75"/>
      <c r="C646" s="75"/>
      <c r="D646" s="75"/>
      <c r="E646" s="75"/>
      <c r="F646" s="75"/>
      <c r="G646" s="75"/>
      <c r="H646" s="75"/>
      <c r="I646" s="75"/>
      <c r="J646" s="75"/>
      <c r="K646" s="75"/>
    </row>
    <row r="647" ht="14.25" customHeight="1">
      <c r="B647" s="75"/>
      <c r="C647" s="75"/>
      <c r="D647" s="75"/>
      <c r="E647" s="75"/>
      <c r="F647" s="75"/>
      <c r="G647" s="75"/>
      <c r="H647" s="75"/>
      <c r="I647" s="75"/>
      <c r="J647" s="75"/>
      <c r="K647" s="75"/>
    </row>
    <row r="648" ht="14.25" customHeight="1">
      <c r="B648" s="75"/>
      <c r="C648" s="75"/>
      <c r="D648" s="75"/>
      <c r="E648" s="75"/>
      <c r="F648" s="75"/>
      <c r="G648" s="75"/>
      <c r="H648" s="75"/>
      <c r="I648" s="75"/>
      <c r="J648" s="75"/>
      <c r="K648" s="75"/>
    </row>
    <row r="649" ht="14.25" customHeight="1">
      <c r="B649" s="75"/>
      <c r="C649" s="75"/>
      <c r="D649" s="75"/>
      <c r="E649" s="75"/>
      <c r="F649" s="75"/>
      <c r="G649" s="75"/>
      <c r="H649" s="75"/>
      <c r="I649" s="75"/>
      <c r="J649" s="75"/>
      <c r="K649" s="75"/>
    </row>
    <row r="650" ht="14.25" customHeight="1">
      <c r="B650" s="75"/>
      <c r="C650" s="75"/>
      <c r="D650" s="75"/>
      <c r="E650" s="75"/>
      <c r="F650" s="75"/>
      <c r="G650" s="75"/>
      <c r="H650" s="75"/>
      <c r="I650" s="75"/>
      <c r="J650" s="75"/>
      <c r="K650" s="75"/>
    </row>
    <row r="651" ht="14.25" customHeight="1">
      <c r="B651" s="75"/>
      <c r="C651" s="75"/>
      <c r="D651" s="75"/>
      <c r="E651" s="75"/>
      <c r="F651" s="75"/>
      <c r="G651" s="75"/>
      <c r="H651" s="75"/>
      <c r="I651" s="75"/>
      <c r="J651" s="75"/>
      <c r="K651" s="75"/>
    </row>
    <row r="652" ht="14.25" customHeight="1">
      <c r="B652" s="75"/>
      <c r="C652" s="75"/>
      <c r="D652" s="75"/>
      <c r="E652" s="75"/>
      <c r="F652" s="75"/>
      <c r="G652" s="75"/>
      <c r="H652" s="75"/>
      <c r="I652" s="75"/>
      <c r="J652" s="75"/>
      <c r="K652" s="75"/>
    </row>
    <row r="653" ht="14.25" customHeight="1">
      <c r="B653" s="75"/>
      <c r="C653" s="75"/>
      <c r="D653" s="75"/>
      <c r="E653" s="75"/>
      <c r="F653" s="75"/>
      <c r="G653" s="75"/>
      <c r="H653" s="75"/>
      <c r="I653" s="75"/>
      <c r="J653" s="75"/>
      <c r="K653" s="75"/>
    </row>
    <row r="654" ht="14.25" customHeight="1">
      <c r="B654" s="75"/>
      <c r="C654" s="75"/>
      <c r="D654" s="75"/>
      <c r="E654" s="75"/>
      <c r="F654" s="75"/>
      <c r="G654" s="75"/>
      <c r="H654" s="75"/>
      <c r="I654" s="75"/>
      <c r="J654" s="75"/>
      <c r="K654" s="75"/>
    </row>
    <row r="655" ht="14.25" customHeight="1">
      <c r="B655" s="75"/>
      <c r="C655" s="75"/>
      <c r="D655" s="75"/>
      <c r="E655" s="75"/>
      <c r="F655" s="75"/>
      <c r="G655" s="75"/>
      <c r="H655" s="75"/>
      <c r="I655" s="75"/>
      <c r="J655" s="75"/>
      <c r="K655" s="75"/>
    </row>
    <row r="656" ht="14.25" customHeight="1">
      <c r="B656" s="75"/>
      <c r="C656" s="75"/>
      <c r="D656" s="75"/>
      <c r="E656" s="75"/>
      <c r="F656" s="75"/>
      <c r="G656" s="75"/>
      <c r="H656" s="75"/>
      <c r="I656" s="75"/>
      <c r="J656" s="75"/>
      <c r="K656" s="75"/>
    </row>
    <row r="657" ht="14.25" customHeight="1">
      <c r="B657" s="75"/>
      <c r="C657" s="75"/>
      <c r="D657" s="75"/>
      <c r="E657" s="75"/>
      <c r="F657" s="75"/>
      <c r="G657" s="75"/>
      <c r="H657" s="75"/>
      <c r="I657" s="75"/>
      <c r="J657" s="75"/>
      <c r="K657" s="75"/>
    </row>
    <row r="658" ht="14.25" customHeight="1">
      <c r="B658" s="75"/>
      <c r="C658" s="75"/>
      <c r="D658" s="75"/>
      <c r="E658" s="75"/>
      <c r="F658" s="75"/>
      <c r="G658" s="75"/>
      <c r="H658" s="75"/>
      <c r="I658" s="75"/>
      <c r="J658" s="75"/>
      <c r="K658" s="75"/>
    </row>
    <row r="659" ht="14.25" customHeight="1">
      <c r="B659" s="75"/>
      <c r="C659" s="75"/>
      <c r="D659" s="75"/>
      <c r="E659" s="75"/>
      <c r="F659" s="75"/>
      <c r="G659" s="75"/>
      <c r="H659" s="75"/>
      <c r="I659" s="75"/>
      <c r="J659" s="75"/>
      <c r="K659" s="75"/>
    </row>
    <row r="660" ht="14.25" customHeight="1">
      <c r="B660" s="75"/>
      <c r="C660" s="75"/>
      <c r="D660" s="75"/>
      <c r="E660" s="75"/>
      <c r="F660" s="75"/>
      <c r="G660" s="75"/>
      <c r="H660" s="75"/>
      <c r="I660" s="75"/>
      <c r="J660" s="75"/>
      <c r="K660" s="75"/>
    </row>
    <row r="661" ht="14.25" customHeight="1">
      <c r="B661" s="75"/>
      <c r="C661" s="75"/>
      <c r="D661" s="75"/>
      <c r="E661" s="75"/>
      <c r="F661" s="75"/>
      <c r="G661" s="75"/>
      <c r="H661" s="75"/>
      <c r="I661" s="75"/>
      <c r="J661" s="75"/>
      <c r="K661" s="75"/>
    </row>
    <row r="662" ht="14.25" customHeight="1">
      <c r="B662" s="75"/>
      <c r="C662" s="75"/>
      <c r="D662" s="75"/>
      <c r="E662" s="75"/>
      <c r="F662" s="75"/>
      <c r="G662" s="75"/>
      <c r="H662" s="75"/>
      <c r="I662" s="75"/>
      <c r="J662" s="75"/>
      <c r="K662" s="75"/>
    </row>
    <row r="663" ht="14.25" customHeight="1">
      <c r="B663" s="75"/>
      <c r="C663" s="75"/>
      <c r="D663" s="75"/>
      <c r="E663" s="75"/>
      <c r="F663" s="75"/>
      <c r="G663" s="75"/>
      <c r="H663" s="75"/>
      <c r="I663" s="75"/>
      <c r="J663" s="75"/>
      <c r="K663" s="75"/>
    </row>
    <row r="664" ht="14.25" customHeight="1">
      <c r="B664" s="75"/>
      <c r="C664" s="75"/>
      <c r="D664" s="75"/>
      <c r="E664" s="75"/>
      <c r="F664" s="75"/>
      <c r="G664" s="75"/>
      <c r="H664" s="75"/>
      <c r="I664" s="75"/>
      <c r="J664" s="75"/>
      <c r="K664" s="75"/>
    </row>
    <row r="665" ht="14.25" customHeight="1">
      <c r="B665" s="75"/>
      <c r="C665" s="75"/>
      <c r="D665" s="75"/>
      <c r="E665" s="75"/>
      <c r="F665" s="75"/>
      <c r="G665" s="75"/>
      <c r="H665" s="75"/>
      <c r="I665" s="75"/>
      <c r="J665" s="75"/>
      <c r="K665" s="75"/>
    </row>
    <row r="666" ht="14.25" customHeight="1">
      <c r="B666" s="75"/>
      <c r="C666" s="75"/>
      <c r="D666" s="75"/>
      <c r="E666" s="75"/>
      <c r="F666" s="75"/>
      <c r="G666" s="75"/>
      <c r="H666" s="75"/>
      <c r="I666" s="75"/>
      <c r="J666" s="75"/>
      <c r="K666" s="75"/>
    </row>
    <row r="667" ht="14.25" customHeight="1">
      <c r="B667" s="75"/>
      <c r="C667" s="75"/>
      <c r="D667" s="75"/>
      <c r="E667" s="75"/>
      <c r="F667" s="75"/>
      <c r="G667" s="75"/>
      <c r="H667" s="75"/>
      <c r="I667" s="75"/>
      <c r="J667" s="75"/>
      <c r="K667" s="75"/>
    </row>
    <row r="668" ht="14.25" customHeight="1">
      <c r="B668" s="75"/>
      <c r="C668" s="75"/>
      <c r="D668" s="75"/>
      <c r="E668" s="75"/>
      <c r="F668" s="75"/>
      <c r="G668" s="75"/>
      <c r="H668" s="75"/>
      <c r="I668" s="75"/>
      <c r="J668" s="75"/>
      <c r="K668" s="75"/>
    </row>
    <row r="669" ht="14.25" customHeight="1">
      <c r="B669" s="75"/>
      <c r="C669" s="75"/>
      <c r="D669" s="75"/>
      <c r="E669" s="75"/>
      <c r="F669" s="75"/>
      <c r="G669" s="75"/>
      <c r="H669" s="75"/>
      <c r="I669" s="75"/>
      <c r="J669" s="75"/>
      <c r="K669" s="75"/>
    </row>
    <row r="670" ht="14.25" customHeight="1">
      <c r="B670" s="75"/>
      <c r="C670" s="75"/>
      <c r="D670" s="75"/>
      <c r="E670" s="75"/>
      <c r="F670" s="75"/>
      <c r="G670" s="75"/>
      <c r="H670" s="75"/>
      <c r="I670" s="75"/>
      <c r="J670" s="75"/>
      <c r="K670" s="75"/>
    </row>
    <row r="671" ht="14.25" customHeight="1">
      <c r="B671" s="75"/>
      <c r="C671" s="75"/>
      <c r="D671" s="75"/>
      <c r="E671" s="75"/>
      <c r="F671" s="75"/>
      <c r="G671" s="75"/>
      <c r="H671" s="75"/>
      <c r="I671" s="75"/>
      <c r="J671" s="75"/>
      <c r="K671" s="75"/>
    </row>
    <row r="672" ht="14.25" customHeight="1">
      <c r="B672" s="75"/>
      <c r="C672" s="75"/>
      <c r="D672" s="75"/>
      <c r="E672" s="75"/>
      <c r="F672" s="75"/>
      <c r="G672" s="75"/>
      <c r="H672" s="75"/>
      <c r="I672" s="75"/>
      <c r="J672" s="75"/>
      <c r="K672" s="75"/>
    </row>
    <row r="673" ht="14.25" customHeight="1">
      <c r="B673" s="75"/>
      <c r="C673" s="75"/>
      <c r="D673" s="75"/>
      <c r="E673" s="75"/>
      <c r="F673" s="75"/>
      <c r="G673" s="75"/>
      <c r="H673" s="75"/>
      <c r="I673" s="75"/>
      <c r="J673" s="75"/>
      <c r="K673" s="75"/>
    </row>
    <row r="674" ht="14.25" customHeight="1">
      <c r="B674" s="75"/>
      <c r="C674" s="75"/>
      <c r="D674" s="75"/>
      <c r="E674" s="75"/>
      <c r="F674" s="75"/>
      <c r="G674" s="75"/>
      <c r="H674" s="75"/>
      <c r="I674" s="75"/>
      <c r="J674" s="75"/>
      <c r="K674" s="75"/>
    </row>
    <row r="675" ht="14.25" customHeight="1">
      <c r="B675" s="75"/>
      <c r="C675" s="75"/>
      <c r="D675" s="75"/>
      <c r="E675" s="75"/>
      <c r="F675" s="75"/>
      <c r="G675" s="75"/>
      <c r="H675" s="75"/>
      <c r="I675" s="75"/>
      <c r="J675" s="75"/>
      <c r="K675" s="75"/>
    </row>
    <row r="676" ht="14.25" customHeight="1">
      <c r="B676" s="75"/>
      <c r="C676" s="75"/>
      <c r="D676" s="75"/>
      <c r="E676" s="75"/>
      <c r="F676" s="75"/>
      <c r="G676" s="75"/>
      <c r="H676" s="75"/>
      <c r="I676" s="75"/>
      <c r="J676" s="75"/>
      <c r="K676" s="75"/>
    </row>
    <row r="677" ht="14.25" customHeight="1">
      <c r="B677" s="75"/>
      <c r="C677" s="75"/>
      <c r="D677" s="75"/>
      <c r="E677" s="75"/>
      <c r="F677" s="75"/>
      <c r="G677" s="75"/>
      <c r="H677" s="75"/>
      <c r="I677" s="75"/>
      <c r="J677" s="75"/>
      <c r="K677" s="75"/>
    </row>
    <row r="678" ht="14.25" customHeight="1">
      <c r="B678" s="75"/>
      <c r="C678" s="75"/>
      <c r="D678" s="75"/>
      <c r="E678" s="75"/>
      <c r="F678" s="75"/>
      <c r="G678" s="75"/>
      <c r="H678" s="75"/>
      <c r="I678" s="75"/>
      <c r="J678" s="75"/>
      <c r="K678" s="75"/>
    </row>
    <row r="679" ht="14.25" customHeight="1">
      <c r="B679" s="75"/>
      <c r="C679" s="75"/>
      <c r="D679" s="75"/>
      <c r="E679" s="75"/>
      <c r="F679" s="75"/>
      <c r="G679" s="75"/>
      <c r="H679" s="75"/>
      <c r="I679" s="75"/>
      <c r="J679" s="75"/>
      <c r="K679" s="75"/>
    </row>
    <row r="680" ht="14.25" customHeight="1">
      <c r="B680" s="75"/>
      <c r="C680" s="75"/>
      <c r="D680" s="75"/>
      <c r="E680" s="75"/>
      <c r="F680" s="75"/>
      <c r="G680" s="75"/>
      <c r="H680" s="75"/>
      <c r="I680" s="75"/>
      <c r="J680" s="75"/>
      <c r="K680" s="75"/>
    </row>
    <row r="681" ht="14.25" customHeight="1">
      <c r="B681" s="75"/>
      <c r="C681" s="75"/>
      <c r="D681" s="75"/>
      <c r="E681" s="75"/>
      <c r="F681" s="75"/>
      <c r="G681" s="75"/>
      <c r="H681" s="75"/>
      <c r="I681" s="75"/>
      <c r="J681" s="75"/>
      <c r="K681" s="75"/>
    </row>
    <row r="682" ht="14.25" customHeight="1">
      <c r="B682" s="75"/>
      <c r="C682" s="75"/>
      <c r="D682" s="75"/>
      <c r="E682" s="75"/>
      <c r="F682" s="75"/>
      <c r="G682" s="75"/>
      <c r="H682" s="75"/>
      <c r="I682" s="75"/>
      <c r="J682" s="75"/>
      <c r="K682" s="75"/>
    </row>
    <row r="683" ht="14.25" customHeight="1">
      <c r="B683" s="75"/>
      <c r="C683" s="75"/>
      <c r="D683" s="75"/>
      <c r="E683" s="75"/>
      <c r="F683" s="75"/>
      <c r="G683" s="75"/>
      <c r="H683" s="75"/>
      <c r="I683" s="75"/>
      <c r="J683" s="75"/>
      <c r="K683" s="75"/>
    </row>
    <row r="684" ht="14.25" customHeight="1">
      <c r="B684" s="75"/>
      <c r="C684" s="75"/>
      <c r="D684" s="75"/>
      <c r="E684" s="75"/>
      <c r="F684" s="75"/>
      <c r="G684" s="75"/>
      <c r="H684" s="75"/>
      <c r="I684" s="75"/>
      <c r="J684" s="75"/>
      <c r="K684" s="75"/>
    </row>
    <row r="685" ht="14.25" customHeight="1">
      <c r="B685" s="75"/>
      <c r="C685" s="75"/>
      <c r="D685" s="75"/>
      <c r="E685" s="75"/>
      <c r="F685" s="75"/>
      <c r="G685" s="75"/>
      <c r="H685" s="75"/>
      <c r="I685" s="75"/>
      <c r="J685" s="75"/>
      <c r="K685" s="75"/>
    </row>
    <row r="686" ht="14.25" customHeight="1">
      <c r="B686" s="75"/>
      <c r="C686" s="75"/>
      <c r="D686" s="75"/>
      <c r="E686" s="75"/>
      <c r="F686" s="75"/>
      <c r="G686" s="75"/>
      <c r="H686" s="75"/>
      <c r="I686" s="75"/>
      <c r="J686" s="75"/>
      <c r="K686" s="75"/>
    </row>
    <row r="687" ht="14.25" customHeight="1">
      <c r="B687" s="75"/>
      <c r="C687" s="75"/>
      <c r="D687" s="75"/>
      <c r="E687" s="75"/>
      <c r="F687" s="75"/>
      <c r="G687" s="75"/>
      <c r="H687" s="75"/>
      <c r="I687" s="75"/>
      <c r="J687" s="75"/>
      <c r="K687" s="75"/>
    </row>
    <row r="688" ht="14.25" customHeight="1">
      <c r="B688" s="75"/>
      <c r="C688" s="75"/>
      <c r="D688" s="75"/>
      <c r="E688" s="75"/>
      <c r="F688" s="75"/>
      <c r="G688" s="75"/>
      <c r="H688" s="75"/>
      <c r="I688" s="75"/>
      <c r="J688" s="75"/>
      <c r="K688" s="75"/>
    </row>
    <row r="689" ht="14.25" customHeight="1">
      <c r="B689" s="75"/>
      <c r="C689" s="75"/>
      <c r="D689" s="75"/>
      <c r="E689" s="75"/>
      <c r="F689" s="75"/>
      <c r="G689" s="75"/>
      <c r="H689" s="75"/>
      <c r="I689" s="75"/>
      <c r="J689" s="75"/>
      <c r="K689" s="75"/>
    </row>
    <row r="690" ht="14.25" customHeight="1">
      <c r="B690" s="75"/>
      <c r="C690" s="75"/>
      <c r="D690" s="75"/>
      <c r="E690" s="75"/>
      <c r="F690" s="75"/>
      <c r="G690" s="75"/>
      <c r="H690" s="75"/>
      <c r="I690" s="75"/>
      <c r="J690" s="75"/>
      <c r="K690" s="75"/>
    </row>
    <row r="691" ht="14.25" customHeight="1">
      <c r="B691" s="75"/>
      <c r="C691" s="75"/>
      <c r="D691" s="75"/>
      <c r="E691" s="75"/>
      <c r="F691" s="75"/>
      <c r="G691" s="75"/>
      <c r="H691" s="75"/>
      <c r="I691" s="75"/>
      <c r="J691" s="75"/>
      <c r="K691" s="75"/>
    </row>
    <row r="692" ht="14.25" customHeight="1">
      <c r="B692" s="75"/>
      <c r="C692" s="75"/>
      <c r="D692" s="75"/>
      <c r="E692" s="75"/>
      <c r="F692" s="75"/>
      <c r="G692" s="75"/>
      <c r="H692" s="75"/>
      <c r="I692" s="75"/>
      <c r="J692" s="75"/>
      <c r="K692" s="75"/>
    </row>
    <row r="693" ht="14.25" customHeight="1">
      <c r="B693" s="75"/>
      <c r="C693" s="75"/>
      <c r="D693" s="75"/>
      <c r="E693" s="75"/>
      <c r="F693" s="75"/>
      <c r="G693" s="75"/>
      <c r="H693" s="75"/>
      <c r="I693" s="75"/>
      <c r="J693" s="75"/>
      <c r="K693" s="75"/>
    </row>
    <row r="694" ht="14.25" customHeight="1">
      <c r="B694" s="75"/>
      <c r="C694" s="75"/>
      <c r="D694" s="75"/>
      <c r="E694" s="75"/>
      <c r="F694" s="75"/>
      <c r="G694" s="75"/>
      <c r="H694" s="75"/>
      <c r="I694" s="75"/>
      <c r="J694" s="75"/>
      <c r="K694" s="75"/>
    </row>
    <row r="695" ht="14.25" customHeight="1">
      <c r="B695" s="75"/>
      <c r="C695" s="75"/>
      <c r="D695" s="75"/>
      <c r="E695" s="75"/>
      <c r="F695" s="75"/>
      <c r="G695" s="75"/>
      <c r="H695" s="75"/>
      <c r="I695" s="75"/>
      <c r="J695" s="75"/>
      <c r="K695" s="75"/>
    </row>
    <row r="696" ht="14.25" customHeight="1">
      <c r="B696" s="75"/>
      <c r="C696" s="75"/>
      <c r="D696" s="75"/>
      <c r="E696" s="75"/>
      <c r="F696" s="75"/>
      <c r="G696" s="75"/>
      <c r="H696" s="75"/>
      <c r="I696" s="75"/>
      <c r="J696" s="75"/>
      <c r="K696" s="75"/>
    </row>
    <row r="697" ht="14.25" customHeight="1">
      <c r="B697" s="75"/>
      <c r="C697" s="75"/>
      <c r="D697" s="75"/>
      <c r="E697" s="75"/>
      <c r="F697" s="75"/>
      <c r="G697" s="75"/>
      <c r="H697" s="75"/>
      <c r="I697" s="75"/>
      <c r="J697" s="75"/>
      <c r="K697" s="75"/>
    </row>
    <row r="698" ht="14.25" customHeight="1">
      <c r="B698" s="75"/>
      <c r="C698" s="75"/>
      <c r="D698" s="75"/>
      <c r="E698" s="75"/>
      <c r="F698" s="75"/>
      <c r="G698" s="75"/>
      <c r="H698" s="75"/>
      <c r="I698" s="75"/>
      <c r="J698" s="75"/>
      <c r="K698" s="75"/>
    </row>
    <row r="699" ht="14.25" customHeight="1">
      <c r="B699" s="75"/>
      <c r="C699" s="75"/>
      <c r="D699" s="75"/>
      <c r="E699" s="75"/>
      <c r="F699" s="75"/>
      <c r="G699" s="75"/>
      <c r="H699" s="75"/>
      <c r="I699" s="75"/>
      <c r="J699" s="75"/>
      <c r="K699" s="75"/>
    </row>
    <row r="700" ht="14.25" customHeight="1">
      <c r="B700" s="75"/>
      <c r="C700" s="75"/>
      <c r="D700" s="75"/>
      <c r="E700" s="75"/>
      <c r="F700" s="75"/>
      <c r="G700" s="75"/>
      <c r="H700" s="75"/>
      <c r="I700" s="75"/>
      <c r="J700" s="75"/>
      <c r="K700" s="75"/>
    </row>
    <row r="701" ht="14.25" customHeight="1">
      <c r="B701" s="75"/>
      <c r="C701" s="75"/>
      <c r="D701" s="75"/>
      <c r="E701" s="75"/>
      <c r="F701" s="75"/>
      <c r="G701" s="75"/>
      <c r="H701" s="75"/>
      <c r="I701" s="75"/>
      <c r="J701" s="75"/>
      <c r="K701" s="75"/>
    </row>
    <row r="702" ht="14.25" customHeight="1">
      <c r="B702" s="75"/>
      <c r="C702" s="75"/>
      <c r="D702" s="75"/>
      <c r="E702" s="75"/>
      <c r="F702" s="75"/>
      <c r="G702" s="75"/>
      <c r="H702" s="75"/>
      <c r="I702" s="75"/>
      <c r="J702" s="75"/>
      <c r="K702" s="75"/>
    </row>
    <row r="703" ht="14.25" customHeight="1">
      <c r="B703" s="75"/>
      <c r="C703" s="75"/>
      <c r="D703" s="75"/>
      <c r="E703" s="75"/>
      <c r="F703" s="75"/>
      <c r="G703" s="75"/>
      <c r="H703" s="75"/>
      <c r="I703" s="75"/>
      <c r="J703" s="75"/>
      <c r="K703" s="75"/>
    </row>
    <row r="704" ht="14.25" customHeight="1">
      <c r="B704" s="75"/>
      <c r="C704" s="75"/>
      <c r="D704" s="75"/>
      <c r="E704" s="75"/>
      <c r="F704" s="75"/>
      <c r="G704" s="75"/>
      <c r="H704" s="75"/>
      <c r="I704" s="75"/>
      <c r="J704" s="75"/>
      <c r="K704" s="75"/>
    </row>
    <row r="705" ht="14.25" customHeight="1">
      <c r="B705" s="75"/>
      <c r="C705" s="75"/>
      <c r="D705" s="75"/>
      <c r="E705" s="75"/>
      <c r="F705" s="75"/>
      <c r="G705" s="75"/>
      <c r="H705" s="75"/>
      <c r="I705" s="75"/>
      <c r="J705" s="75"/>
      <c r="K705" s="75"/>
    </row>
    <row r="706" ht="14.25" customHeight="1">
      <c r="B706" s="75"/>
      <c r="C706" s="75"/>
      <c r="D706" s="75"/>
      <c r="E706" s="75"/>
      <c r="F706" s="75"/>
      <c r="G706" s="75"/>
      <c r="H706" s="75"/>
      <c r="I706" s="75"/>
      <c r="J706" s="75"/>
      <c r="K706" s="75"/>
    </row>
    <row r="707" ht="14.25" customHeight="1">
      <c r="B707" s="75"/>
      <c r="C707" s="75"/>
      <c r="D707" s="75"/>
      <c r="E707" s="75"/>
      <c r="F707" s="75"/>
      <c r="G707" s="75"/>
      <c r="H707" s="75"/>
      <c r="I707" s="75"/>
      <c r="J707" s="75"/>
      <c r="K707" s="75"/>
    </row>
    <row r="708" ht="14.25" customHeight="1">
      <c r="B708" s="75"/>
      <c r="C708" s="75"/>
      <c r="D708" s="75"/>
      <c r="E708" s="75"/>
      <c r="F708" s="75"/>
      <c r="G708" s="75"/>
      <c r="H708" s="75"/>
      <c r="I708" s="75"/>
      <c r="J708" s="75"/>
      <c r="K708" s="75"/>
    </row>
    <row r="709" ht="14.25" customHeight="1">
      <c r="B709" s="75"/>
      <c r="C709" s="75"/>
      <c r="D709" s="75"/>
      <c r="E709" s="75"/>
      <c r="F709" s="75"/>
      <c r="G709" s="75"/>
      <c r="H709" s="75"/>
      <c r="I709" s="75"/>
      <c r="J709" s="75"/>
      <c r="K709" s="75"/>
    </row>
    <row r="710" ht="14.25" customHeight="1">
      <c r="B710" s="75"/>
      <c r="C710" s="75"/>
      <c r="D710" s="75"/>
      <c r="E710" s="75"/>
      <c r="F710" s="75"/>
      <c r="G710" s="75"/>
      <c r="H710" s="75"/>
      <c r="I710" s="75"/>
      <c r="J710" s="75"/>
      <c r="K710" s="75"/>
    </row>
    <row r="711" ht="14.25" customHeight="1">
      <c r="B711" s="75"/>
      <c r="C711" s="75"/>
      <c r="D711" s="75"/>
      <c r="E711" s="75"/>
      <c r="F711" s="75"/>
      <c r="G711" s="75"/>
      <c r="H711" s="75"/>
      <c r="I711" s="75"/>
      <c r="J711" s="75"/>
      <c r="K711" s="75"/>
    </row>
    <row r="712" ht="14.25" customHeight="1">
      <c r="B712" s="75"/>
      <c r="C712" s="75"/>
      <c r="D712" s="75"/>
      <c r="E712" s="75"/>
      <c r="F712" s="75"/>
      <c r="G712" s="75"/>
      <c r="H712" s="75"/>
      <c r="I712" s="75"/>
      <c r="J712" s="75"/>
      <c r="K712" s="75"/>
    </row>
    <row r="713" ht="14.25" customHeight="1">
      <c r="B713" s="75"/>
      <c r="C713" s="75"/>
      <c r="D713" s="75"/>
      <c r="E713" s="75"/>
      <c r="F713" s="75"/>
      <c r="G713" s="75"/>
      <c r="H713" s="75"/>
      <c r="I713" s="75"/>
      <c r="J713" s="75"/>
      <c r="K713" s="75"/>
    </row>
    <row r="714" ht="14.25" customHeight="1">
      <c r="B714" s="75"/>
      <c r="C714" s="75"/>
      <c r="D714" s="75"/>
      <c r="E714" s="75"/>
      <c r="F714" s="75"/>
      <c r="G714" s="75"/>
      <c r="H714" s="75"/>
      <c r="I714" s="75"/>
      <c r="J714" s="75"/>
      <c r="K714" s="75"/>
    </row>
    <row r="715" ht="14.25" customHeight="1">
      <c r="B715" s="75"/>
      <c r="C715" s="75"/>
      <c r="D715" s="75"/>
      <c r="E715" s="75"/>
      <c r="F715" s="75"/>
      <c r="G715" s="75"/>
      <c r="H715" s="75"/>
      <c r="I715" s="75"/>
      <c r="J715" s="75"/>
      <c r="K715" s="75"/>
    </row>
    <row r="716" ht="14.25" customHeight="1">
      <c r="B716" s="75"/>
      <c r="C716" s="75"/>
      <c r="D716" s="75"/>
      <c r="E716" s="75"/>
      <c r="F716" s="75"/>
      <c r="G716" s="75"/>
      <c r="H716" s="75"/>
      <c r="I716" s="75"/>
      <c r="J716" s="75"/>
      <c r="K716" s="75"/>
    </row>
    <row r="717" ht="14.25" customHeight="1">
      <c r="B717" s="75"/>
      <c r="C717" s="75"/>
      <c r="D717" s="75"/>
      <c r="E717" s="75"/>
      <c r="F717" s="75"/>
      <c r="G717" s="75"/>
      <c r="H717" s="75"/>
      <c r="I717" s="75"/>
      <c r="J717" s="75"/>
      <c r="K717" s="75"/>
    </row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</sheetData>
  <autoFilter ref="$A$1:$Y$645"/>
  <dataValidations>
    <dataValidation type="list" allowBlank="1" showErrorMessage="1" sqref="B2:B8">
      <formula1>#REF!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4.43" defaultRowHeight="15.0"/>
  <cols>
    <col customWidth="1" min="3" max="3" width="19.14"/>
    <col customWidth="1" min="11" max="11" width="22.14"/>
    <col customWidth="1" min="12" max="12" width="21.57"/>
    <col customWidth="1" min="13" max="13" width="16.43"/>
    <col customWidth="1" min="14" max="14" width="28.71"/>
    <col customWidth="1" min="16" max="16" width="13.43"/>
    <col customWidth="1" min="19" max="19" width="24.0"/>
    <col customWidth="1" min="20" max="20" width="23.86"/>
    <col customWidth="1" min="21" max="21" width="24.43"/>
    <col customWidth="1" min="22" max="23" width="24.71"/>
    <col customWidth="1" min="24" max="24" width="24.57"/>
    <col customWidth="1" min="25" max="25" width="22.71"/>
  </cols>
  <sheetData>
    <row r="1" ht="68.25" customHeight="1">
      <c r="A1" s="1" t="s">
        <v>0</v>
      </c>
      <c r="B1" s="76" t="s">
        <v>751</v>
      </c>
      <c r="C1" s="77" t="s">
        <v>752</v>
      </c>
      <c r="D1" s="76" t="s">
        <v>3</v>
      </c>
      <c r="E1" s="76" t="s">
        <v>1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78" t="s">
        <v>11</v>
      </c>
      <c r="N1" s="3" t="s">
        <v>12</v>
      </c>
      <c r="O1" s="78" t="s">
        <v>13</v>
      </c>
      <c r="P1" s="78" t="s">
        <v>14</v>
      </c>
      <c r="Q1" s="78" t="s">
        <v>15</v>
      </c>
      <c r="R1" s="78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79" t="s">
        <v>24</v>
      </c>
      <c r="AA1" s="80"/>
    </row>
    <row r="2" ht="39.0" customHeight="1">
      <c r="A2" s="81" t="s">
        <v>753</v>
      </c>
      <c r="B2" s="82" t="s">
        <v>754</v>
      </c>
      <c r="C2" s="82" t="s">
        <v>755</v>
      </c>
      <c r="D2" s="82" t="s">
        <v>756</v>
      </c>
      <c r="E2" s="82" t="s">
        <v>26</v>
      </c>
      <c r="F2" s="82">
        <v>3521.0</v>
      </c>
      <c r="G2" s="43">
        <v>49.26</v>
      </c>
      <c r="H2" s="82">
        <v>14.0</v>
      </c>
      <c r="I2" s="83"/>
      <c r="J2" s="84">
        <v>70.61</v>
      </c>
      <c r="K2" s="44">
        <f t="shared" ref="K2:K28" si="1">(F2*(1-G2/100)*1.1)</f>
        <v>1965.21094</v>
      </c>
      <c r="L2" s="44">
        <f t="shared" ref="L2:L28" si="2">F2*(1-G2/100)</f>
        <v>1786.5554</v>
      </c>
      <c r="M2" s="8">
        <f t="shared" ref="M2:M28" si="3">((K2*2.5)/(365*0.9))*1.21</f>
        <v>18.0966913</v>
      </c>
      <c r="N2" s="9">
        <f t="shared" ref="N2:N28" si="4">M2*30/100</f>
        <v>5.429007391</v>
      </c>
      <c r="O2" s="9">
        <f t="shared" ref="O2:O28" si="5">(M2*6/100)</f>
        <v>1.085801478</v>
      </c>
      <c r="P2" s="8">
        <f t="shared" ref="P2:P28" si="6">L2*2/1000</f>
        <v>3.5731108</v>
      </c>
      <c r="Q2" s="8">
        <f t="shared" ref="Q2:Q28" si="7">L2*3/1000</f>
        <v>5.3596662</v>
      </c>
      <c r="R2" s="8">
        <f t="shared" ref="R2:R28" si="8">L2*1/1000</f>
        <v>1.7865554</v>
      </c>
      <c r="S2" s="10"/>
      <c r="T2" s="10"/>
      <c r="U2" s="10"/>
      <c r="V2" s="10"/>
      <c r="W2" s="11"/>
      <c r="X2" s="11"/>
      <c r="Y2" s="11"/>
      <c r="Z2" s="11"/>
      <c r="AA2" s="80"/>
    </row>
    <row r="3" ht="39.0" customHeight="1">
      <c r="A3" s="81" t="s">
        <v>753</v>
      </c>
      <c r="B3" s="82" t="s">
        <v>754</v>
      </c>
      <c r="C3" s="82" t="s">
        <v>757</v>
      </c>
      <c r="D3" s="82" t="s">
        <v>756</v>
      </c>
      <c r="E3" s="82" t="s">
        <v>26</v>
      </c>
      <c r="F3" s="82">
        <v>4571.0</v>
      </c>
      <c r="G3" s="43">
        <v>49.26</v>
      </c>
      <c r="H3" s="82">
        <v>21.0</v>
      </c>
      <c r="I3" s="83"/>
      <c r="J3" s="84">
        <v>70.61</v>
      </c>
      <c r="K3" s="44">
        <f t="shared" si="1"/>
        <v>2551.25794</v>
      </c>
      <c r="L3" s="44">
        <f t="shared" si="2"/>
        <v>2319.3254</v>
      </c>
      <c r="M3" s="8">
        <f t="shared" si="3"/>
        <v>23.49331893</v>
      </c>
      <c r="N3" s="9">
        <f t="shared" si="4"/>
        <v>7.047995679</v>
      </c>
      <c r="O3" s="9">
        <f t="shared" si="5"/>
        <v>1.409599136</v>
      </c>
      <c r="P3" s="8">
        <f t="shared" si="6"/>
        <v>4.6386508</v>
      </c>
      <c r="Q3" s="8">
        <f t="shared" si="7"/>
        <v>6.9579762</v>
      </c>
      <c r="R3" s="8">
        <f t="shared" si="8"/>
        <v>2.3193254</v>
      </c>
      <c r="S3" s="10"/>
      <c r="T3" s="10"/>
      <c r="U3" s="10"/>
      <c r="V3" s="10"/>
      <c r="W3" s="11"/>
      <c r="X3" s="11"/>
      <c r="Y3" s="11"/>
      <c r="Z3" s="11"/>
      <c r="AA3" s="80"/>
    </row>
    <row r="4" ht="39.0" customHeight="1">
      <c r="A4" s="81" t="s">
        <v>753</v>
      </c>
      <c r="B4" s="82" t="s">
        <v>754</v>
      </c>
      <c r="C4" s="82" t="s">
        <v>758</v>
      </c>
      <c r="D4" s="82" t="s">
        <v>756</v>
      </c>
      <c r="E4" s="82" t="s">
        <v>26</v>
      </c>
      <c r="F4" s="82">
        <v>1996.0</v>
      </c>
      <c r="G4" s="43">
        <v>49.26</v>
      </c>
      <c r="H4" s="82">
        <v>7.0</v>
      </c>
      <c r="I4" s="83"/>
      <c r="J4" s="84">
        <v>70.61</v>
      </c>
      <c r="K4" s="44">
        <f t="shared" si="1"/>
        <v>1114.04744</v>
      </c>
      <c r="L4" s="44">
        <f t="shared" si="2"/>
        <v>1012.7704</v>
      </c>
      <c r="M4" s="8">
        <f t="shared" si="3"/>
        <v>10.25873213</v>
      </c>
      <c r="N4" s="9">
        <f t="shared" si="4"/>
        <v>3.07761964</v>
      </c>
      <c r="O4" s="9">
        <f t="shared" si="5"/>
        <v>0.615523928</v>
      </c>
      <c r="P4" s="8">
        <f t="shared" si="6"/>
        <v>2.0255408</v>
      </c>
      <c r="Q4" s="8">
        <f t="shared" si="7"/>
        <v>3.0383112</v>
      </c>
      <c r="R4" s="8">
        <f t="shared" si="8"/>
        <v>1.0127704</v>
      </c>
      <c r="S4" s="10"/>
      <c r="T4" s="10"/>
      <c r="U4" s="10"/>
      <c r="V4" s="10"/>
      <c r="W4" s="11"/>
      <c r="X4" s="11"/>
      <c r="Y4" s="11"/>
      <c r="Z4" s="11"/>
      <c r="AA4" s="80"/>
    </row>
    <row r="5" ht="39.0" customHeight="1">
      <c r="A5" s="81" t="s">
        <v>753</v>
      </c>
      <c r="B5" s="82" t="s">
        <v>754</v>
      </c>
      <c r="C5" s="82" t="s">
        <v>759</v>
      </c>
      <c r="D5" s="82" t="s">
        <v>756</v>
      </c>
      <c r="E5" s="82" t="s">
        <v>26</v>
      </c>
      <c r="F5" s="82">
        <v>5317.0</v>
      </c>
      <c r="G5" s="43">
        <v>49.26</v>
      </c>
      <c r="H5" s="82">
        <v>22.0</v>
      </c>
      <c r="I5" s="83"/>
      <c r="J5" s="84">
        <v>70.61</v>
      </c>
      <c r="K5" s="44">
        <f t="shared" si="1"/>
        <v>2967.63038</v>
      </c>
      <c r="L5" s="44">
        <f t="shared" si="2"/>
        <v>2697.8458</v>
      </c>
      <c r="M5" s="8">
        <f t="shared" si="3"/>
        <v>27.32749437</v>
      </c>
      <c r="N5" s="9">
        <f t="shared" si="4"/>
        <v>8.19824831</v>
      </c>
      <c r="O5" s="9">
        <f t="shared" si="5"/>
        <v>1.639649662</v>
      </c>
      <c r="P5" s="8">
        <f t="shared" si="6"/>
        <v>5.3956916</v>
      </c>
      <c r="Q5" s="8">
        <f t="shared" si="7"/>
        <v>8.0935374</v>
      </c>
      <c r="R5" s="8">
        <f t="shared" si="8"/>
        <v>2.6978458</v>
      </c>
      <c r="S5" s="10"/>
      <c r="T5" s="10"/>
      <c r="U5" s="10"/>
      <c r="V5" s="10"/>
      <c r="W5" s="11"/>
      <c r="X5" s="11"/>
      <c r="Y5" s="11"/>
      <c r="Z5" s="11"/>
      <c r="AA5" s="80"/>
    </row>
    <row r="6" ht="39.0" customHeight="1">
      <c r="A6" s="81" t="s">
        <v>753</v>
      </c>
      <c r="B6" s="82" t="s">
        <v>754</v>
      </c>
      <c r="C6" s="82" t="s">
        <v>760</v>
      </c>
      <c r="D6" s="82" t="s">
        <v>756</v>
      </c>
      <c r="E6" s="82" t="s">
        <v>26</v>
      </c>
      <c r="F6" s="82">
        <v>6300.0</v>
      </c>
      <c r="G6" s="43">
        <v>49.26</v>
      </c>
      <c r="H6" s="82">
        <v>20.0</v>
      </c>
      <c r="I6" s="83"/>
      <c r="J6" s="84">
        <v>70.61</v>
      </c>
      <c r="K6" s="44">
        <f t="shared" si="1"/>
        <v>3516.282</v>
      </c>
      <c r="L6" s="44">
        <f t="shared" si="2"/>
        <v>3196.62</v>
      </c>
      <c r="M6" s="8">
        <f t="shared" si="3"/>
        <v>32.37976575</v>
      </c>
      <c r="N6" s="9">
        <f t="shared" si="4"/>
        <v>9.713929726</v>
      </c>
      <c r="O6" s="9">
        <f t="shared" si="5"/>
        <v>1.942785945</v>
      </c>
      <c r="P6" s="8">
        <f t="shared" si="6"/>
        <v>6.39324</v>
      </c>
      <c r="Q6" s="8">
        <f t="shared" si="7"/>
        <v>9.58986</v>
      </c>
      <c r="R6" s="8">
        <f t="shared" si="8"/>
        <v>3.19662</v>
      </c>
      <c r="S6" s="10"/>
      <c r="T6" s="10"/>
      <c r="U6" s="10"/>
      <c r="V6" s="10"/>
      <c r="W6" s="11"/>
      <c r="X6" s="11"/>
      <c r="Y6" s="11"/>
      <c r="Z6" s="11"/>
      <c r="AA6" s="80"/>
    </row>
    <row r="7" ht="39.0" customHeight="1">
      <c r="A7" s="81" t="s">
        <v>753</v>
      </c>
      <c r="B7" s="82" t="s">
        <v>754</v>
      </c>
      <c r="C7" s="82" t="s">
        <v>761</v>
      </c>
      <c r="D7" s="82" t="s">
        <v>756</v>
      </c>
      <c r="E7" s="82" t="s">
        <v>26</v>
      </c>
      <c r="F7" s="82">
        <v>3682.0</v>
      </c>
      <c r="G7" s="43">
        <v>49.26</v>
      </c>
      <c r="H7" s="82">
        <v>13.0</v>
      </c>
      <c r="I7" s="83"/>
      <c r="J7" s="84">
        <v>70.61</v>
      </c>
      <c r="K7" s="44">
        <f t="shared" si="1"/>
        <v>2055.07148</v>
      </c>
      <c r="L7" s="44">
        <f t="shared" si="2"/>
        <v>1868.2468</v>
      </c>
      <c r="M7" s="8">
        <f t="shared" si="3"/>
        <v>18.92417421</v>
      </c>
      <c r="N7" s="9">
        <f t="shared" si="4"/>
        <v>5.677252262</v>
      </c>
      <c r="O7" s="9">
        <f t="shared" si="5"/>
        <v>1.135450452</v>
      </c>
      <c r="P7" s="8">
        <f t="shared" si="6"/>
        <v>3.7364936</v>
      </c>
      <c r="Q7" s="8">
        <f t="shared" si="7"/>
        <v>5.6047404</v>
      </c>
      <c r="R7" s="8">
        <f t="shared" si="8"/>
        <v>1.8682468</v>
      </c>
      <c r="S7" s="10"/>
      <c r="T7" s="10"/>
      <c r="U7" s="10"/>
      <c r="V7" s="10"/>
      <c r="W7" s="11"/>
      <c r="X7" s="11"/>
      <c r="Y7" s="11"/>
      <c r="Z7" s="11"/>
      <c r="AA7" s="80"/>
    </row>
    <row r="8" ht="39.0" customHeight="1">
      <c r="A8" s="81" t="s">
        <v>753</v>
      </c>
      <c r="B8" s="82" t="s">
        <v>762</v>
      </c>
      <c r="C8" s="82" t="s">
        <v>763</v>
      </c>
      <c r="D8" s="82" t="s">
        <v>756</v>
      </c>
      <c r="E8" s="82" t="s">
        <v>26</v>
      </c>
      <c r="F8" s="82">
        <v>7472.0</v>
      </c>
      <c r="G8" s="43">
        <v>38.2</v>
      </c>
      <c r="H8" s="82">
        <v>26.0</v>
      </c>
      <c r="I8" s="83"/>
      <c r="J8" s="84">
        <v>0.815</v>
      </c>
      <c r="K8" s="44">
        <f t="shared" si="1"/>
        <v>5079.4656</v>
      </c>
      <c r="L8" s="44">
        <f t="shared" si="2"/>
        <v>4617.696</v>
      </c>
      <c r="M8" s="8">
        <f t="shared" si="3"/>
        <v>46.77437881</v>
      </c>
      <c r="N8" s="9">
        <f t="shared" si="4"/>
        <v>14.03231364</v>
      </c>
      <c r="O8" s="9">
        <f t="shared" si="5"/>
        <v>2.806462729</v>
      </c>
      <c r="P8" s="8">
        <f t="shared" si="6"/>
        <v>9.235392</v>
      </c>
      <c r="Q8" s="8">
        <f t="shared" si="7"/>
        <v>13.853088</v>
      </c>
      <c r="R8" s="8">
        <f t="shared" si="8"/>
        <v>4.617696</v>
      </c>
      <c r="S8" s="10"/>
      <c r="T8" s="10"/>
      <c r="U8" s="10"/>
      <c r="V8" s="10"/>
      <c r="W8" s="11"/>
      <c r="X8" s="11"/>
      <c r="Y8" s="11"/>
      <c r="Z8" s="11"/>
      <c r="AA8" s="80"/>
    </row>
    <row r="9" ht="39.0" customHeight="1">
      <c r="A9" s="81" t="s">
        <v>753</v>
      </c>
      <c r="B9" s="82" t="s">
        <v>762</v>
      </c>
      <c r="C9" s="82" t="s">
        <v>764</v>
      </c>
      <c r="D9" s="82" t="s">
        <v>756</v>
      </c>
      <c r="E9" s="82" t="s">
        <v>26</v>
      </c>
      <c r="F9" s="82">
        <v>2290.0</v>
      </c>
      <c r="G9" s="43">
        <v>25.3</v>
      </c>
      <c r="H9" s="82">
        <v>19.0</v>
      </c>
      <c r="I9" s="83"/>
      <c r="J9" s="84">
        <v>1.116</v>
      </c>
      <c r="K9" s="44">
        <f t="shared" si="1"/>
        <v>1881.693</v>
      </c>
      <c r="L9" s="44">
        <f t="shared" si="2"/>
        <v>1710.63</v>
      </c>
      <c r="M9" s="8">
        <f t="shared" si="3"/>
        <v>17.32761438</v>
      </c>
      <c r="N9" s="9">
        <f t="shared" si="4"/>
        <v>5.198284315</v>
      </c>
      <c r="O9" s="9">
        <f t="shared" si="5"/>
        <v>1.039656863</v>
      </c>
      <c r="P9" s="8">
        <f t="shared" si="6"/>
        <v>3.42126</v>
      </c>
      <c r="Q9" s="8">
        <f t="shared" si="7"/>
        <v>5.13189</v>
      </c>
      <c r="R9" s="8">
        <f t="shared" si="8"/>
        <v>1.71063</v>
      </c>
      <c r="S9" s="10"/>
      <c r="T9" s="10"/>
      <c r="U9" s="10"/>
      <c r="V9" s="10"/>
      <c r="W9" s="11"/>
      <c r="X9" s="11"/>
      <c r="Y9" s="11"/>
      <c r="Z9" s="11"/>
      <c r="AA9" s="80"/>
    </row>
    <row r="10" ht="39.0" customHeight="1">
      <c r="A10" s="81" t="s">
        <v>753</v>
      </c>
      <c r="B10" s="82" t="s">
        <v>762</v>
      </c>
      <c r="C10" s="82" t="s">
        <v>765</v>
      </c>
      <c r="D10" s="82" t="s">
        <v>756</v>
      </c>
      <c r="E10" s="82" t="s">
        <v>26</v>
      </c>
      <c r="F10" s="82">
        <v>7395.0</v>
      </c>
      <c r="G10" s="43">
        <v>42.7</v>
      </c>
      <c r="H10" s="82">
        <v>27.0</v>
      </c>
      <c r="I10" s="83"/>
      <c r="J10" s="84">
        <v>0.712</v>
      </c>
      <c r="K10" s="44">
        <f t="shared" si="1"/>
        <v>4661.0685</v>
      </c>
      <c r="L10" s="44">
        <f t="shared" si="2"/>
        <v>4237.335</v>
      </c>
      <c r="M10" s="8">
        <f t="shared" si="3"/>
        <v>42.92155925</v>
      </c>
      <c r="N10" s="9">
        <f t="shared" si="4"/>
        <v>12.87646777</v>
      </c>
      <c r="O10" s="9">
        <f t="shared" si="5"/>
        <v>2.575293555</v>
      </c>
      <c r="P10" s="8">
        <f t="shared" si="6"/>
        <v>8.47467</v>
      </c>
      <c r="Q10" s="8">
        <f t="shared" si="7"/>
        <v>12.712005</v>
      </c>
      <c r="R10" s="8">
        <f t="shared" si="8"/>
        <v>4.237335</v>
      </c>
      <c r="S10" s="10"/>
      <c r="T10" s="10"/>
      <c r="U10" s="10"/>
      <c r="V10" s="10"/>
      <c r="W10" s="11"/>
      <c r="X10" s="11"/>
      <c r="Y10" s="11"/>
      <c r="Z10" s="11"/>
      <c r="AA10" s="80"/>
    </row>
    <row r="11" ht="39.0" customHeight="1">
      <c r="A11" s="81" t="s">
        <v>753</v>
      </c>
      <c r="B11" s="82" t="s">
        <v>762</v>
      </c>
      <c r="C11" s="82" t="s">
        <v>766</v>
      </c>
      <c r="D11" s="82" t="s">
        <v>756</v>
      </c>
      <c r="E11" s="82" t="s">
        <v>26</v>
      </c>
      <c r="F11" s="82">
        <v>7328.0</v>
      </c>
      <c r="G11" s="43">
        <v>30.6</v>
      </c>
      <c r="H11" s="82">
        <v>30.0</v>
      </c>
      <c r="I11" s="83"/>
      <c r="J11" s="84">
        <v>1.112</v>
      </c>
      <c r="K11" s="44">
        <f t="shared" si="1"/>
        <v>5594.1952</v>
      </c>
      <c r="L11" s="44">
        <f t="shared" si="2"/>
        <v>5085.632</v>
      </c>
      <c r="M11" s="8">
        <f t="shared" si="3"/>
        <v>51.51427848</v>
      </c>
      <c r="N11" s="9">
        <f t="shared" si="4"/>
        <v>15.45428354</v>
      </c>
      <c r="O11" s="9">
        <f t="shared" si="5"/>
        <v>3.090856709</v>
      </c>
      <c r="P11" s="8">
        <f t="shared" si="6"/>
        <v>10.171264</v>
      </c>
      <c r="Q11" s="8">
        <f t="shared" si="7"/>
        <v>15.256896</v>
      </c>
      <c r="R11" s="8">
        <f t="shared" si="8"/>
        <v>5.085632</v>
      </c>
      <c r="S11" s="10"/>
      <c r="T11" s="10"/>
      <c r="U11" s="10"/>
      <c r="V11" s="10"/>
      <c r="W11" s="11"/>
      <c r="X11" s="11"/>
      <c r="Y11" s="11"/>
      <c r="Z11" s="11"/>
      <c r="AA11" s="80"/>
    </row>
    <row r="12" ht="39.0" customHeight="1">
      <c r="A12" s="81" t="s">
        <v>753</v>
      </c>
      <c r="B12" s="82" t="s">
        <v>762</v>
      </c>
      <c r="C12" s="82" t="s">
        <v>767</v>
      </c>
      <c r="D12" s="82" t="s">
        <v>756</v>
      </c>
      <c r="E12" s="82" t="s">
        <v>26</v>
      </c>
      <c r="F12" s="82">
        <v>7942.0</v>
      </c>
      <c r="G12" s="43">
        <v>39.6</v>
      </c>
      <c r="H12" s="82">
        <v>26.0</v>
      </c>
      <c r="I12" s="83"/>
      <c r="J12" s="84">
        <v>0.934</v>
      </c>
      <c r="K12" s="44">
        <f t="shared" si="1"/>
        <v>5276.6648</v>
      </c>
      <c r="L12" s="44">
        <f t="shared" si="2"/>
        <v>4796.968</v>
      </c>
      <c r="M12" s="8">
        <f t="shared" si="3"/>
        <v>48.5902923</v>
      </c>
      <c r="N12" s="9">
        <f t="shared" si="4"/>
        <v>14.57708769</v>
      </c>
      <c r="O12" s="9">
        <f t="shared" si="5"/>
        <v>2.915417538</v>
      </c>
      <c r="P12" s="8">
        <f t="shared" si="6"/>
        <v>9.593936</v>
      </c>
      <c r="Q12" s="8">
        <f t="shared" si="7"/>
        <v>14.390904</v>
      </c>
      <c r="R12" s="8">
        <f t="shared" si="8"/>
        <v>4.796968</v>
      </c>
      <c r="S12" s="10"/>
      <c r="T12" s="10"/>
      <c r="U12" s="10"/>
      <c r="V12" s="10"/>
      <c r="W12" s="11"/>
      <c r="X12" s="11"/>
      <c r="Y12" s="11"/>
      <c r="Z12" s="11"/>
      <c r="AA12" s="80"/>
    </row>
    <row r="13" ht="39.0" customHeight="1">
      <c r="A13" s="81" t="s">
        <v>753</v>
      </c>
      <c r="B13" s="82" t="s">
        <v>768</v>
      </c>
      <c r="C13" s="82" t="s">
        <v>769</v>
      </c>
      <c r="D13" s="82" t="s">
        <v>756</v>
      </c>
      <c r="E13" s="82" t="s">
        <v>26</v>
      </c>
      <c r="F13" s="82">
        <v>2684.0</v>
      </c>
      <c r="G13" s="43">
        <v>50.74</v>
      </c>
      <c r="H13" s="82">
        <v>13.0</v>
      </c>
      <c r="I13" s="83"/>
      <c r="J13" s="84">
        <v>70.3</v>
      </c>
      <c r="K13" s="44">
        <f t="shared" si="1"/>
        <v>1454.35224</v>
      </c>
      <c r="L13" s="44">
        <f t="shared" si="2"/>
        <v>1322.1384</v>
      </c>
      <c r="M13" s="8">
        <f t="shared" si="3"/>
        <v>13.39243691</v>
      </c>
      <c r="N13" s="9">
        <f t="shared" si="4"/>
        <v>4.017731074</v>
      </c>
      <c r="O13" s="9">
        <f t="shared" si="5"/>
        <v>0.8035462148</v>
      </c>
      <c r="P13" s="8">
        <f t="shared" si="6"/>
        <v>2.6442768</v>
      </c>
      <c r="Q13" s="8">
        <f t="shared" si="7"/>
        <v>3.9664152</v>
      </c>
      <c r="R13" s="8">
        <f t="shared" si="8"/>
        <v>1.3221384</v>
      </c>
      <c r="S13" s="10"/>
      <c r="T13" s="10"/>
      <c r="U13" s="10"/>
      <c r="V13" s="10"/>
      <c r="W13" s="11"/>
      <c r="X13" s="11"/>
      <c r="Y13" s="11"/>
      <c r="Z13" s="11"/>
      <c r="AA13" s="80"/>
    </row>
    <row r="14" ht="39.0" customHeight="1">
      <c r="A14" s="81" t="s">
        <v>753</v>
      </c>
      <c r="B14" s="82" t="s">
        <v>768</v>
      </c>
      <c r="C14" s="82" t="s">
        <v>770</v>
      </c>
      <c r="D14" s="82" t="s">
        <v>756</v>
      </c>
      <c r="E14" s="82" t="s">
        <v>26</v>
      </c>
      <c r="F14" s="82">
        <v>2267.0</v>
      </c>
      <c r="G14" s="43">
        <v>50.74</v>
      </c>
      <c r="H14" s="82">
        <v>12.0</v>
      </c>
      <c r="I14" s="83"/>
      <c r="J14" s="84">
        <v>62.5</v>
      </c>
      <c r="K14" s="44">
        <f t="shared" si="1"/>
        <v>1228.39662</v>
      </c>
      <c r="L14" s="44">
        <f t="shared" si="2"/>
        <v>1116.7242</v>
      </c>
      <c r="M14" s="8">
        <f t="shared" si="3"/>
        <v>11.31171926</v>
      </c>
      <c r="N14" s="9">
        <f t="shared" si="4"/>
        <v>3.393515777</v>
      </c>
      <c r="O14" s="9">
        <f t="shared" si="5"/>
        <v>0.6787031553</v>
      </c>
      <c r="P14" s="8">
        <f t="shared" si="6"/>
        <v>2.2334484</v>
      </c>
      <c r="Q14" s="8">
        <f t="shared" si="7"/>
        <v>3.3501726</v>
      </c>
      <c r="R14" s="8">
        <f t="shared" si="8"/>
        <v>1.1167242</v>
      </c>
      <c r="S14" s="10"/>
      <c r="T14" s="10"/>
      <c r="U14" s="10"/>
      <c r="V14" s="10"/>
      <c r="W14" s="11"/>
      <c r="X14" s="11"/>
      <c r="Y14" s="11"/>
      <c r="Z14" s="11"/>
      <c r="AA14" s="80"/>
    </row>
    <row r="15" ht="39.0" customHeight="1">
      <c r="A15" s="81" t="s">
        <v>753</v>
      </c>
      <c r="B15" s="82" t="s">
        <v>768</v>
      </c>
      <c r="C15" s="82" t="s">
        <v>771</v>
      </c>
      <c r="D15" s="82" t="s">
        <v>756</v>
      </c>
      <c r="E15" s="82" t="s">
        <v>26</v>
      </c>
      <c r="F15" s="82">
        <v>3762.0</v>
      </c>
      <c r="G15" s="43">
        <v>50.74</v>
      </c>
      <c r="H15" s="82">
        <v>14.0</v>
      </c>
      <c r="I15" s="83"/>
      <c r="J15" s="84">
        <v>76.0</v>
      </c>
      <c r="K15" s="44">
        <f t="shared" si="1"/>
        <v>2038.47732</v>
      </c>
      <c r="L15" s="44">
        <f t="shared" si="2"/>
        <v>1853.1612</v>
      </c>
      <c r="M15" s="8">
        <f t="shared" si="3"/>
        <v>18.77136649</v>
      </c>
      <c r="N15" s="9">
        <f t="shared" si="4"/>
        <v>5.631409948</v>
      </c>
      <c r="O15" s="9">
        <f t="shared" si="5"/>
        <v>1.12628199</v>
      </c>
      <c r="P15" s="8">
        <f t="shared" si="6"/>
        <v>3.7063224</v>
      </c>
      <c r="Q15" s="8">
        <f t="shared" si="7"/>
        <v>5.5594836</v>
      </c>
      <c r="R15" s="8">
        <f t="shared" si="8"/>
        <v>1.8531612</v>
      </c>
      <c r="S15" s="10"/>
      <c r="T15" s="10"/>
      <c r="U15" s="10"/>
      <c r="V15" s="10"/>
      <c r="W15" s="11"/>
      <c r="X15" s="11"/>
      <c r="Y15" s="11"/>
      <c r="Z15" s="11"/>
      <c r="AA15" s="80"/>
    </row>
    <row r="16" ht="39.0" customHeight="1">
      <c r="A16" s="81" t="s">
        <v>753</v>
      </c>
      <c r="B16" s="82" t="s">
        <v>768</v>
      </c>
      <c r="C16" s="82" t="s">
        <v>772</v>
      </c>
      <c r="D16" s="82" t="s">
        <v>756</v>
      </c>
      <c r="E16" s="82" t="s">
        <v>26</v>
      </c>
      <c r="F16" s="82">
        <v>4502.0</v>
      </c>
      <c r="G16" s="43">
        <v>50.74</v>
      </c>
      <c r="H16" s="82">
        <v>16.0</v>
      </c>
      <c r="I16" s="83"/>
      <c r="J16" s="84">
        <v>70.9</v>
      </c>
      <c r="K16" s="44">
        <f t="shared" si="1"/>
        <v>2439.45372</v>
      </c>
      <c r="L16" s="44">
        <f t="shared" si="2"/>
        <v>2217.6852</v>
      </c>
      <c r="M16" s="8">
        <f t="shared" si="3"/>
        <v>22.46376713</v>
      </c>
      <c r="N16" s="9">
        <f t="shared" si="4"/>
        <v>6.73913014</v>
      </c>
      <c r="O16" s="9">
        <f t="shared" si="5"/>
        <v>1.347826028</v>
      </c>
      <c r="P16" s="8">
        <f t="shared" si="6"/>
        <v>4.4353704</v>
      </c>
      <c r="Q16" s="8">
        <f t="shared" si="7"/>
        <v>6.6530556</v>
      </c>
      <c r="R16" s="8">
        <f t="shared" si="8"/>
        <v>2.2176852</v>
      </c>
      <c r="S16" s="10"/>
      <c r="T16" s="10"/>
      <c r="U16" s="10"/>
      <c r="V16" s="10"/>
      <c r="W16" s="11"/>
      <c r="X16" s="11"/>
      <c r="Y16" s="11"/>
      <c r="Z16" s="11"/>
      <c r="AA16" s="80"/>
    </row>
    <row r="17" ht="39.0" customHeight="1">
      <c r="A17" s="81" t="s">
        <v>753</v>
      </c>
      <c r="B17" s="82" t="s">
        <v>768</v>
      </c>
      <c r="C17" s="82" t="s">
        <v>773</v>
      </c>
      <c r="D17" s="82" t="s">
        <v>756</v>
      </c>
      <c r="E17" s="82" t="s">
        <v>26</v>
      </c>
      <c r="F17" s="82">
        <v>6447.0</v>
      </c>
      <c r="G17" s="43">
        <v>50.74</v>
      </c>
      <c r="H17" s="82">
        <v>24.0</v>
      </c>
      <c r="I17" s="83"/>
      <c r="J17" s="84">
        <v>59.8</v>
      </c>
      <c r="K17" s="44">
        <f t="shared" si="1"/>
        <v>3493.37142</v>
      </c>
      <c r="L17" s="44">
        <f t="shared" si="2"/>
        <v>3175.7922</v>
      </c>
      <c r="M17" s="8">
        <f t="shared" si="3"/>
        <v>32.16879314</v>
      </c>
      <c r="N17" s="9">
        <f t="shared" si="4"/>
        <v>9.650637941</v>
      </c>
      <c r="O17" s="9">
        <f t="shared" si="5"/>
        <v>1.930127588</v>
      </c>
      <c r="P17" s="8">
        <f t="shared" si="6"/>
        <v>6.3515844</v>
      </c>
      <c r="Q17" s="8">
        <f t="shared" si="7"/>
        <v>9.5273766</v>
      </c>
      <c r="R17" s="8">
        <f t="shared" si="8"/>
        <v>3.1757922</v>
      </c>
      <c r="S17" s="10"/>
      <c r="T17" s="10"/>
      <c r="U17" s="10"/>
      <c r="V17" s="10"/>
      <c r="W17" s="11"/>
      <c r="X17" s="11"/>
      <c r="Y17" s="11"/>
      <c r="Z17" s="11"/>
      <c r="AA17" s="80"/>
    </row>
    <row r="18" ht="39.0" customHeight="1">
      <c r="A18" s="81" t="s">
        <v>753</v>
      </c>
      <c r="B18" s="82" t="s">
        <v>768</v>
      </c>
      <c r="C18" s="82" t="s">
        <v>774</v>
      </c>
      <c r="D18" s="82" t="s">
        <v>756</v>
      </c>
      <c r="E18" s="82" t="s">
        <v>26</v>
      </c>
      <c r="F18" s="82">
        <v>5770.0</v>
      </c>
      <c r="G18" s="43">
        <v>50.74</v>
      </c>
      <c r="H18" s="82">
        <v>22.0</v>
      </c>
      <c r="I18" s="83"/>
      <c r="J18" s="84">
        <v>70.3</v>
      </c>
      <c r="K18" s="44">
        <f t="shared" si="1"/>
        <v>3126.5322</v>
      </c>
      <c r="L18" s="44">
        <f t="shared" si="2"/>
        <v>2842.302</v>
      </c>
      <c r="M18" s="8">
        <f t="shared" si="3"/>
        <v>28.79074553</v>
      </c>
      <c r="N18" s="9">
        <f t="shared" si="4"/>
        <v>8.637223658</v>
      </c>
      <c r="O18" s="9">
        <f t="shared" si="5"/>
        <v>1.727444732</v>
      </c>
      <c r="P18" s="8">
        <f t="shared" si="6"/>
        <v>5.684604</v>
      </c>
      <c r="Q18" s="8">
        <f t="shared" si="7"/>
        <v>8.526906</v>
      </c>
      <c r="R18" s="8">
        <f t="shared" si="8"/>
        <v>2.842302</v>
      </c>
      <c r="S18" s="10"/>
      <c r="T18" s="10"/>
      <c r="U18" s="10"/>
      <c r="V18" s="10"/>
      <c r="W18" s="11"/>
      <c r="X18" s="11"/>
      <c r="Y18" s="11"/>
      <c r="Z18" s="11"/>
      <c r="AA18" s="80"/>
    </row>
    <row r="19" ht="39.0" customHeight="1">
      <c r="A19" s="81" t="s">
        <v>753</v>
      </c>
      <c r="B19" s="82" t="s">
        <v>768</v>
      </c>
      <c r="C19" s="82" t="s">
        <v>775</v>
      </c>
      <c r="D19" s="82" t="s">
        <v>756</v>
      </c>
      <c r="E19" s="82" t="s">
        <v>26</v>
      </c>
      <c r="F19" s="82">
        <v>4544.0</v>
      </c>
      <c r="G19" s="43">
        <v>50.74</v>
      </c>
      <c r="H19" s="82">
        <v>17.0</v>
      </c>
      <c r="I19" s="83"/>
      <c r="J19" s="84">
        <v>68.4</v>
      </c>
      <c r="K19" s="44">
        <f t="shared" si="1"/>
        <v>2462.21184</v>
      </c>
      <c r="L19" s="44">
        <f t="shared" si="2"/>
        <v>2238.3744</v>
      </c>
      <c r="M19" s="8">
        <f t="shared" si="3"/>
        <v>22.67333582</v>
      </c>
      <c r="N19" s="9">
        <f t="shared" si="4"/>
        <v>6.802000745</v>
      </c>
      <c r="O19" s="9">
        <f t="shared" si="5"/>
        <v>1.360400149</v>
      </c>
      <c r="P19" s="8">
        <f t="shared" si="6"/>
        <v>4.4767488</v>
      </c>
      <c r="Q19" s="8">
        <f t="shared" si="7"/>
        <v>6.7151232</v>
      </c>
      <c r="R19" s="8">
        <f t="shared" si="8"/>
        <v>2.2383744</v>
      </c>
      <c r="S19" s="10"/>
      <c r="T19" s="10"/>
      <c r="U19" s="10"/>
      <c r="V19" s="10"/>
      <c r="W19" s="11"/>
      <c r="X19" s="11"/>
      <c r="Y19" s="11"/>
      <c r="Z19" s="11"/>
      <c r="AA19" s="80"/>
    </row>
    <row r="20" ht="39.0" customHeight="1">
      <c r="A20" s="81" t="s">
        <v>753</v>
      </c>
      <c r="B20" s="82" t="s">
        <v>776</v>
      </c>
      <c r="C20" s="82" t="s">
        <v>777</v>
      </c>
      <c r="D20" s="82" t="s">
        <v>756</v>
      </c>
      <c r="E20" s="82" t="s">
        <v>26</v>
      </c>
      <c r="F20" s="82">
        <v>1463.0</v>
      </c>
      <c r="G20" s="43">
        <v>90.7</v>
      </c>
      <c r="H20" s="82">
        <v>3.0</v>
      </c>
      <c r="I20" s="83"/>
      <c r="J20" s="84">
        <v>35.3</v>
      </c>
      <c r="K20" s="44">
        <f t="shared" si="1"/>
        <v>149.6649</v>
      </c>
      <c r="L20" s="44">
        <f t="shared" si="2"/>
        <v>136.059</v>
      </c>
      <c r="M20" s="8">
        <f t="shared" si="3"/>
        <v>1.378192763</v>
      </c>
      <c r="N20" s="9">
        <f t="shared" si="4"/>
        <v>0.4134578288</v>
      </c>
      <c r="O20" s="9">
        <f t="shared" si="5"/>
        <v>0.08269156575</v>
      </c>
      <c r="P20" s="8">
        <f t="shared" si="6"/>
        <v>0.272118</v>
      </c>
      <c r="Q20" s="8">
        <f t="shared" si="7"/>
        <v>0.408177</v>
      </c>
      <c r="R20" s="8">
        <f t="shared" si="8"/>
        <v>0.136059</v>
      </c>
      <c r="S20" s="10"/>
      <c r="T20" s="10"/>
      <c r="U20" s="10"/>
      <c r="V20" s="10"/>
      <c r="W20" s="11"/>
      <c r="X20" s="11"/>
      <c r="Y20" s="11"/>
      <c r="Z20" s="11"/>
      <c r="AA20" s="80"/>
    </row>
    <row r="21" ht="39.0" customHeight="1">
      <c r="A21" s="81" t="s">
        <v>753</v>
      </c>
      <c r="B21" s="82" t="s">
        <v>776</v>
      </c>
      <c r="C21" s="82" t="s">
        <v>778</v>
      </c>
      <c r="D21" s="82" t="s">
        <v>756</v>
      </c>
      <c r="E21" s="82" t="s">
        <v>26</v>
      </c>
      <c r="F21" s="82">
        <v>2255.0</v>
      </c>
      <c r="G21" s="43">
        <v>89.9</v>
      </c>
      <c r="H21" s="82">
        <v>5.0</v>
      </c>
      <c r="I21" s="83"/>
      <c r="J21" s="84">
        <v>37.4</v>
      </c>
      <c r="K21" s="44">
        <f t="shared" si="1"/>
        <v>250.5305</v>
      </c>
      <c r="L21" s="44">
        <f t="shared" si="2"/>
        <v>227.755</v>
      </c>
      <c r="M21" s="8">
        <f t="shared" si="3"/>
        <v>2.30701602</v>
      </c>
      <c r="N21" s="9">
        <f t="shared" si="4"/>
        <v>0.6921048059</v>
      </c>
      <c r="O21" s="9">
        <f t="shared" si="5"/>
        <v>0.1384209612</v>
      </c>
      <c r="P21" s="8">
        <f t="shared" si="6"/>
        <v>0.45551</v>
      </c>
      <c r="Q21" s="8">
        <f t="shared" si="7"/>
        <v>0.683265</v>
      </c>
      <c r="R21" s="8">
        <f t="shared" si="8"/>
        <v>0.227755</v>
      </c>
      <c r="S21" s="10"/>
      <c r="T21" s="10"/>
      <c r="U21" s="10"/>
      <c r="V21" s="10"/>
      <c r="W21" s="11"/>
      <c r="X21" s="11"/>
      <c r="Y21" s="11"/>
      <c r="Z21" s="11"/>
      <c r="AA21" s="80"/>
    </row>
    <row r="22" ht="39.0" customHeight="1">
      <c r="A22" s="81" t="s">
        <v>753</v>
      </c>
      <c r="B22" s="82" t="s">
        <v>779</v>
      </c>
      <c r="C22" s="82" t="s">
        <v>780</v>
      </c>
      <c r="D22" s="82" t="s">
        <v>756</v>
      </c>
      <c r="E22" s="82" t="s">
        <v>26</v>
      </c>
      <c r="F22" s="82">
        <v>5699.0</v>
      </c>
      <c r="G22" s="43">
        <v>70.0</v>
      </c>
      <c r="H22" s="82">
        <v>14.0</v>
      </c>
      <c r="I22" s="83"/>
      <c r="J22" s="84">
        <v>25.4</v>
      </c>
      <c r="K22" s="44">
        <f t="shared" si="1"/>
        <v>1880.67</v>
      </c>
      <c r="L22" s="44">
        <f t="shared" si="2"/>
        <v>1709.7</v>
      </c>
      <c r="M22" s="8">
        <f t="shared" si="3"/>
        <v>17.31819406</v>
      </c>
      <c r="N22" s="9">
        <f t="shared" si="4"/>
        <v>5.195458219</v>
      </c>
      <c r="O22" s="9">
        <f t="shared" si="5"/>
        <v>1.039091644</v>
      </c>
      <c r="P22" s="8">
        <f t="shared" si="6"/>
        <v>3.4194</v>
      </c>
      <c r="Q22" s="8">
        <f t="shared" si="7"/>
        <v>5.1291</v>
      </c>
      <c r="R22" s="8">
        <f t="shared" si="8"/>
        <v>1.7097</v>
      </c>
      <c r="S22" s="10"/>
      <c r="T22" s="10"/>
      <c r="U22" s="10"/>
      <c r="V22" s="10"/>
      <c r="W22" s="11"/>
      <c r="X22" s="11"/>
      <c r="Y22" s="11"/>
      <c r="Z22" s="11"/>
      <c r="AA22" s="80"/>
    </row>
    <row r="23" ht="39.0" customHeight="1">
      <c r="A23" s="81" t="s">
        <v>753</v>
      </c>
      <c r="B23" s="82" t="s">
        <v>779</v>
      </c>
      <c r="C23" s="82" t="s">
        <v>781</v>
      </c>
      <c r="D23" s="82" t="s">
        <v>756</v>
      </c>
      <c r="E23" s="82" t="s">
        <v>26</v>
      </c>
      <c r="F23" s="82">
        <v>4925.0</v>
      </c>
      <c r="G23" s="43">
        <v>44.0</v>
      </c>
      <c r="H23" s="82">
        <v>15.0</v>
      </c>
      <c r="I23" s="83"/>
      <c r="J23" s="84">
        <v>63.9</v>
      </c>
      <c r="K23" s="44">
        <f t="shared" si="1"/>
        <v>3033.8</v>
      </c>
      <c r="L23" s="44">
        <f t="shared" si="2"/>
        <v>2758</v>
      </c>
      <c r="M23" s="8">
        <f t="shared" si="3"/>
        <v>27.93681887</v>
      </c>
      <c r="N23" s="9">
        <f t="shared" si="4"/>
        <v>8.381045662</v>
      </c>
      <c r="O23" s="9">
        <f t="shared" si="5"/>
        <v>1.676209132</v>
      </c>
      <c r="P23" s="8">
        <f t="shared" si="6"/>
        <v>5.516</v>
      </c>
      <c r="Q23" s="8">
        <f t="shared" si="7"/>
        <v>8.274</v>
      </c>
      <c r="R23" s="8">
        <f t="shared" si="8"/>
        <v>2.758</v>
      </c>
      <c r="S23" s="10"/>
      <c r="T23" s="10"/>
      <c r="U23" s="10"/>
      <c r="V23" s="10"/>
      <c r="W23" s="11"/>
      <c r="X23" s="11"/>
      <c r="Y23" s="11"/>
      <c r="Z23" s="11"/>
      <c r="AA23" s="80"/>
    </row>
    <row r="24" ht="39.0" customHeight="1">
      <c r="A24" s="81" t="s">
        <v>753</v>
      </c>
      <c r="B24" s="82" t="s">
        <v>782</v>
      </c>
      <c r="C24" s="82" t="s">
        <v>783</v>
      </c>
      <c r="D24" s="82" t="s">
        <v>756</v>
      </c>
      <c r="E24" s="82" t="s">
        <v>26</v>
      </c>
      <c r="F24" s="82">
        <v>4875.0</v>
      </c>
      <c r="G24" s="43">
        <v>50.3</v>
      </c>
      <c r="H24" s="82">
        <v>18.0</v>
      </c>
      <c r="I24" s="83"/>
      <c r="J24" s="84">
        <v>60.7</v>
      </c>
      <c r="K24" s="44">
        <f t="shared" si="1"/>
        <v>2665.1625</v>
      </c>
      <c r="L24" s="44">
        <f t="shared" si="2"/>
        <v>2422.875</v>
      </c>
      <c r="M24" s="8">
        <f t="shared" si="3"/>
        <v>24.54221176</v>
      </c>
      <c r="N24" s="9">
        <f t="shared" si="4"/>
        <v>7.362663527</v>
      </c>
      <c r="O24" s="9">
        <f t="shared" si="5"/>
        <v>1.472532705</v>
      </c>
      <c r="P24" s="8">
        <f t="shared" si="6"/>
        <v>4.84575</v>
      </c>
      <c r="Q24" s="8">
        <f t="shared" si="7"/>
        <v>7.268625</v>
      </c>
      <c r="R24" s="8">
        <f t="shared" si="8"/>
        <v>2.422875</v>
      </c>
      <c r="S24" s="10"/>
      <c r="T24" s="10"/>
      <c r="U24" s="10"/>
      <c r="V24" s="10"/>
      <c r="W24" s="11"/>
      <c r="X24" s="11"/>
      <c r="Y24" s="11"/>
      <c r="Z24" s="11"/>
      <c r="AA24" s="80"/>
    </row>
    <row r="25" ht="39.0" customHeight="1">
      <c r="A25" s="81" t="s">
        <v>753</v>
      </c>
      <c r="B25" s="82" t="s">
        <v>782</v>
      </c>
      <c r="C25" s="82" t="s">
        <v>784</v>
      </c>
      <c r="D25" s="82" t="s">
        <v>756</v>
      </c>
      <c r="E25" s="82" t="s">
        <v>26</v>
      </c>
      <c r="F25" s="82">
        <v>6513.0</v>
      </c>
      <c r="G25" s="43">
        <v>51.0</v>
      </c>
      <c r="H25" s="82">
        <v>17.0</v>
      </c>
      <c r="I25" s="83"/>
      <c r="J25" s="84">
        <v>50.6</v>
      </c>
      <c r="K25" s="44">
        <f t="shared" si="1"/>
        <v>3510.507</v>
      </c>
      <c r="L25" s="44">
        <f t="shared" si="2"/>
        <v>3191.37</v>
      </c>
      <c r="M25" s="8">
        <f t="shared" si="3"/>
        <v>32.32658653</v>
      </c>
      <c r="N25" s="9">
        <f t="shared" si="4"/>
        <v>9.697975959</v>
      </c>
      <c r="O25" s="9">
        <f t="shared" si="5"/>
        <v>1.939595192</v>
      </c>
      <c r="P25" s="8">
        <f t="shared" si="6"/>
        <v>6.38274</v>
      </c>
      <c r="Q25" s="8">
        <f t="shared" si="7"/>
        <v>9.57411</v>
      </c>
      <c r="R25" s="8">
        <f t="shared" si="8"/>
        <v>3.19137</v>
      </c>
      <c r="S25" s="10"/>
      <c r="T25" s="10"/>
      <c r="U25" s="10"/>
      <c r="V25" s="10"/>
      <c r="W25" s="11"/>
      <c r="X25" s="11"/>
      <c r="Y25" s="11"/>
      <c r="Z25" s="11"/>
      <c r="AA25" s="80"/>
    </row>
    <row r="26" ht="39.0" customHeight="1">
      <c r="A26" s="81" t="s">
        <v>753</v>
      </c>
      <c r="B26" s="82" t="s">
        <v>782</v>
      </c>
      <c r="C26" s="82" t="s">
        <v>785</v>
      </c>
      <c r="D26" s="82" t="s">
        <v>756</v>
      </c>
      <c r="E26" s="82" t="s">
        <v>26</v>
      </c>
      <c r="F26" s="82">
        <v>4905.0</v>
      </c>
      <c r="G26" s="43">
        <v>57.9</v>
      </c>
      <c r="H26" s="82">
        <v>15.0</v>
      </c>
      <c r="I26" s="83"/>
      <c r="J26" s="84">
        <v>41.3</v>
      </c>
      <c r="K26" s="44">
        <f t="shared" si="1"/>
        <v>2271.5055</v>
      </c>
      <c r="L26" s="44">
        <f t="shared" si="2"/>
        <v>2065.005</v>
      </c>
      <c r="M26" s="8">
        <f t="shared" si="3"/>
        <v>20.91721199</v>
      </c>
      <c r="N26" s="9">
        <f t="shared" si="4"/>
        <v>6.275163596</v>
      </c>
      <c r="O26" s="9">
        <f t="shared" si="5"/>
        <v>1.255032719</v>
      </c>
      <c r="P26" s="8">
        <f t="shared" si="6"/>
        <v>4.13001</v>
      </c>
      <c r="Q26" s="8">
        <f t="shared" si="7"/>
        <v>6.195015</v>
      </c>
      <c r="R26" s="8">
        <f t="shared" si="8"/>
        <v>2.065005</v>
      </c>
      <c r="S26" s="10"/>
      <c r="T26" s="10"/>
      <c r="U26" s="10"/>
      <c r="V26" s="10"/>
      <c r="W26" s="11"/>
      <c r="X26" s="11"/>
      <c r="Y26" s="11"/>
      <c r="Z26" s="11"/>
      <c r="AA26" s="80"/>
    </row>
    <row r="27" ht="39.0" customHeight="1">
      <c r="A27" s="81" t="s">
        <v>753</v>
      </c>
      <c r="B27" s="82" t="s">
        <v>782</v>
      </c>
      <c r="C27" s="82" t="s">
        <v>786</v>
      </c>
      <c r="D27" s="82" t="s">
        <v>756</v>
      </c>
      <c r="E27" s="82" t="s">
        <v>26</v>
      </c>
      <c r="F27" s="82">
        <v>5225.0</v>
      </c>
      <c r="G27" s="43">
        <v>42.5</v>
      </c>
      <c r="H27" s="82">
        <v>25.0</v>
      </c>
      <c r="I27" s="83"/>
      <c r="J27" s="84">
        <v>92.7</v>
      </c>
      <c r="K27" s="44">
        <f t="shared" si="1"/>
        <v>3304.8125</v>
      </c>
      <c r="L27" s="44">
        <f t="shared" si="2"/>
        <v>3004.375</v>
      </c>
      <c r="M27" s="8">
        <f t="shared" si="3"/>
        <v>30.43244387</v>
      </c>
      <c r="N27" s="9">
        <f t="shared" si="4"/>
        <v>9.129733162</v>
      </c>
      <c r="O27" s="9">
        <f t="shared" si="5"/>
        <v>1.825946632</v>
      </c>
      <c r="P27" s="8">
        <f t="shared" si="6"/>
        <v>6.00875</v>
      </c>
      <c r="Q27" s="8">
        <f t="shared" si="7"/>
        <v>9.013125</v>
      </c>
      <c r="R27" s="8">
        <f t="shared" si="8"/>
        <v>3.004375</v>
      </c>
      <c r="S27" s="10"/>
      <c r="T27" s="10"/>
      <c r="U27" s="10"/>
      <c r="V27" s="10"/>
      <c r="W27" s="11"/>
      <c r="X27" s="11"/>
      <c r="Y27" s="11"/>
      <c r="Z27" s="11"/>
      <c r="AA27" s="80"/>
    </row>
    <row r="28" ht="39.0" customHeight="1">
      <c r="A28" s="81" t="s">
        <v>753</v>
      </c>
      <c r="B28" s="82" t="s">
        <v>782</v>
      </c>
      <c r="C28" s="82" t="s">
        <v>787</v>
      </c>
      <c r="D28" s="82" t="s">
        <v>756</v>
      </c>
      <c r="E28" s="82" t="s">
        <v>26</v>
      </c>
      <c r="F28" s="82">
        <v>5004.0</v>
      </c>
      <c r="G28" s="43">
        <v>45.4</v>
      </c>
      <c r="H28" s="82">
        <v>20.0</v>
      </c>
      <c r="I28" s="83"/>
      <c r="J28" s="84">
        <v>61.4</v>
      </c>
      <c r="K28" s="44">
        <f t="shared" si="1"/>
        <v>3005.4024</v>
      </c>
      <c r="L28" s="44">
        <f t="shared" si="2"/>
        <v>2732.184</v>
      </c>
      <c r="M28" s="8">
        <f t="shared" si="3"/>
        <v>27.6753189</v>
      </c>
      <c r="N28" s="9">
        <f t="shared" si="4"/>
        <v>8.302595671</v>
      </c>
      <c r="O28" s="9">
        <f t="shared" si="5"/>
        <v>1.660519134</v>
      </c>
      <c r="P28" s="8">
        <f t="shared" si="6"/>
        <v>5.464368</v>
      </c>
      <c r="Q28" s="8">
        <f t="shared" si="7"/>
        <v>8.196552</v>
      </c>
      <c r="R28" s="8">
        <f t="shared" si="8"/>
        <v>2.732184</v>
      </c>
      <c r="S28" s="10"/>
      <c r="T28" s="10"/>
      <c r="U28" s="10"/>
      <c r="V28" s="10"/>
      <c r="W28" s="11"/>
      <c r="X28" s="11"/>
      <c r="Y28" s="11"/>
      <c r="Z28" s="11"/>
      <c r="AA28" s="80"/>
    </row>
    <row r="29">
      <c r="A29" s="85"/>
      <c r="B29" s="85"/>
      <c r="C29" s="85"/>
      <c r="D29" s="85"/>
      <c r="E29" s="85"/>
      <c r="F29" s="85"/>
      <c r="G29" s="86"/>
      <c r="H29" s="85"/>
      <c r="I29" s="87"/>
      <c r="J29" s="87"/>
      <c r="K29" s="88"/>
      <c r="L29" s="88"/>
      <c r="M29" s="88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</row>
    <row r="30">
      <c r="A30" s="85"/>
      <c r="B30" s="85"/>
      <c r="C30" s="85"/>
      <c r="D30" s="85"/>
      <c r="E30" s="85"/>
      <c r="F30" s="85"/>
      <c r="G30" s="86"/>
      <c r="H30" s="85"/>
      <c r="I30" s="87"/>
      <c r="J30" s="87"/>
      <c r="K30" s="88"/>
      <c r="L30" s="88"/>
      <c r="M30" s="88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</row>
    <row r="31">
      <c r="A31" s="85"/>
      <c r="B31" s="85"/>
      <c r="C31" s="85"/>
      <c r="D31" s="85"/>
      <c r="E31" s="85"/>
      <c r="F31" s="85"/>
      <c r="G31" s="86"/>
      <c r="H31" s="85"/>
      <c r="I31" s="87"/>
      <c r="J31" s="87"/>
      <c r="K31" s="88"/>
      <c r="L31" s="88"/>
      <c r="M31" s="88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</row>
    <row r="32">
      <c r="A32" s="85"/>
      <c r="B32" s="85"/>
      <c r="C32" s="85"/>
      <c r="D32" s="85"/>
      <c r="E32" s="85"/>
      <c r="F32" s="85"/>
      <c r="G32" s="86"/>
      <c r="H32" s="85"/>
      <c r="I32" s="87"/>
      <c r="J32" s="87"/>
      <c r="K32" s="88"/>
      <c r="L32" s="88"/>
      <c r="M32" s="88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</row>
    <row r="33">
      <c r="A33" s="85"/>
      <c r="B33" s="85"/>
      <c r="C33" s="85"/>
      <c r="D33" s="85"/>
      <c r="E33" s="85"/>
      <c r="F33" s="85"/>
      <c r="G33" s="86"/>
      <c r="H33" s="85"/>
      <c r="I33" s="87"/>
      <c r="J33" s="87"/>
      <c r="K33" s="88"/>
      <c r="L33" s="88"/>
      <c r="M33" s="88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</row>
    <row r="34">
      <c r="A34" s="85"/>
      <c r="B34" s="85"/>
      <c r="C34" s="85"/>
      <c r="D34" s="85"/>
      <c r="E34" s="85"/>
      <c r="F34" s="85"/>
      <c r="G34" s="86"/>
      <c r="H34" s="85"/>
      <c r="I34" s="87"/>
      <c r="J34" s="87"/>
      <c r="K34" s="88"/>
      <c r="L34" s="88"/>
      <c r="M34" s="88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</row>
    <row r="35">
      <c r="A35" s="85"/>
      <c r="B35" s="85"/>
      <c r="C35" s="85"/>
      <c r="D35" s="85"/>
      <c r="E35" s="85"/>
      <c r="F35" s="85"/>
      <c r="G35" s="86"/>
      <c r="H35" s="85"/>
      <c r="I35" s="87"/>
      <c r="J35" s="87"/>
      <c r="K35" s="88"/>
      <c r="L35" s="88"/>
      <c r="M35" s="88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</row>
    <row r="36">
      <c r="A36" s="85"/>
      <c r="B36" s="85"/>
      <c r="C36" s="85"/>
      <c r="D36" s="85"/>
      <c r="E36" s="85"/>
      <c r="F36" s="85"/>
      <c r="G36" s="86"/>
      <c r="H36" s="85"/>
      <c r="I36" s="87"/>
      <c r="J36" s="87"/>
      <c r="K36" s="88"/>
      <c r="L36" s="88"/>
      <c r="M36" s="88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</row>
    <row r="37">
      <c r="A37" s="85"/>
      <c r="B37" s="85"/>
      <c r="C37" s="85"/>
      <c r="D37" s="85"/>
      <c r="E37" s="85"/>
      <c r="F37" s="85"/>
      <c r="G37" s="86"/>
      <c r="H37" s="85"/>
      <c r="I37" s="87"/>
      <c r="J37" s="87"/>
      <c r="K37" s="88"/>
      <c r="L37" s="88"/>
      <c r="M37" s="88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</row>
    <row r="38">
      <c r="A38" s="85"/>
      <c r="B38" s="85"/>
      <c r="C38" s="85"/>
      <c r="D38" s="85"/>
      <c r="E38" s="85"/>
      <c r="F38" s="85"/>
      <c r="G38" s="86"/>
      <c r="H38" s="85"/>
      <c r="I38" s="87"/>
      <c r="J38" s="87"/>
      <c r="K38" s="88"/>
      <c r="L38" s="88"/>
      <c r="M38" s="88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</row>
    <row r="39">
      <c r="A39" s="85"/>
      <c r="B39" s="85"/>
      <c r="C39" s="85"/>
      <c r="D39" s="85"/>
      <c r="E39" s="85"/>
      <c r="F39" s="85"/>
      <c r="G39" s="86"/>
      <c r="H39" s="85"/>
      <c r="I39" s="87"/>
      <c r="J39" s="87"/>
      <c r="K39" s="88"/>
      <c r="L39" s="88"/>
      <c r="M39" s="88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</row>
    <row r="40">
      <c r="A40" s="85"/>
      <c r="B40" s="85"/>
      <c r="C40" s="85"/>
      <c r="D40" s="85"/>
      <c r="E40" s="85"/>
      <c r="F40" s="85"/>
      <c r="G40" s="86"/>
      <c r="H40" s="85"/>
      <c r="I40" s="87"/>
      <c r="J40" s="87"/>
      <c r="K40" s="88"/>
      <c r="L40" s="88"/>
      <c r="M40" s="88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</row>
    <row r="41">
      <c r="A41" s="85"/>
      <c r="B41" s="85"/>
      <c r="C41" s="85"/>
      <c r="D41" s="85"/>
      <c r="E41" s="85"/>
      <c r="F41" s="85"/>
      <c r="G41" s="86"/>
      <c r="H41" s="85"/>
      <c r="I41" s="87"/>
      <c r="J41" s="87"/>
      <c r="K41" s="88"/>
      <c r="L41" s="88"/>
      <c r="M41" s="88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</row>
    <row r="42">
      <c r="A42" s="85"/>
      <c r="B42" s="85"/>
      <c r="C42" s="85"/>
      <c r="D42" s="85"/>
      <c r="E42" s="85"/>
      <c r="F42" s="85"/>
      <c r="G42" s="86"/>
      <c r="H42" s="85"/>
      <c r="I42" s="87"/>
      <c r="J42" s="87"/>
      <c r="K42" s="88"/>
      <c r="L42" s="88"/>
      <c r="M42" s="88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</row>
    <row r="43">
      <c r="A43" s="85"/>
      <c r="B43" s="85"/>
      <c r="C43" s="85"/>
      <c r="D43" s="85"/>
      <c r="E43" s="85"/>
      <c r="F43" s="85"/>
      <c r="G43" s="86"/>
      <c r="H43" s="85"/>
      <c r="I43" s="87"/>
      <c r="J43" s="87"/>
      <c r="K43" s="88"/>
      <c r="L43" s="88"/>
      <c r="M43" s="88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</row>
    <row r="44">
      <c r="A44" s="85"/>
      <c r="B44" s="85"/>
      <c r="C44" s="85"/>
      <c r="D44" s="85"/>
      <c r="E44" s="85"/>
      <c r="F44" s="85"/>
      <c r="G44" s="86"/>
      <c r="H44" s="85"/>
      <c r="I44" s="87"/>
      <c r="J44" s="87"/>
      <c r="K44" s="88"/>
      <c r="L44" s="88"/>
      <c r="M44" s="88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</row>
    <row r="45">
      <c r="A45" s="85"/>
      <c r="B45" s="85"/>
      <c r="C45" s="85"/>
      <c r="D45" s="85"/>
      <c r="E45" s="85"/>
      <c r="F45" s="85"/>
      <c r="G45" s="86"/>
      <c r="H45" s="85"/>
      <c r="I45" s="87"/>
      <c r="J45" s="87"/>
      <c r="K45" s="88"/>
      <c r="L45" s="88"/>
      <c r="M45" s="88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</row>
    <row r="46">
      <c r="A46" s="85"/>
      <c r="B46" s="85"/>
      <c r="C46" s="85"/>
      <c r="D46" s="85"/>
      <c r="E46" s="85"/>
      <c r="F46" s="85"/>
      <c r="G46" s="86"/>
      <c r="H46" s="85"/>
      <c r="I46" s="87"/>
      <c r="J46" s="87"/>
      <c r="K46" s="88"/>
      <c r="L46" s="88"/>
      <c r="M46" s="88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</row>
    <row r="47">
      <c r="A47" s="85"/>
      <c r="B47" s="85"/>
      <c r="C47" s="85"/>
      <c r="D47" s="85"/>
      <c r="E47" s="85"/>
      <c r="F47" s="85"/>
      <c r="G47" s="86"/>
      <c r="H47" s="85"/>
      <c r="I47" s="87"/>
      <c r="J47" s="87"/>
      <c r="K47" s="88"/>
      <c r="L47" s="88"/>
      <c r="M47" s="88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</row>
    <row r="48">
      <c r="A48" s="85"/>
      <c r="B48" s="85"/>
      <c r="C48" s="85"/>
      <c r="D48" s="85"/>
      <c r="E48" s="85"/>
      <c r="F48" s="85"/>
      <c r="G48" s="86"/>
      <c r="H48" s="85"/>
      <c r="I48" s="87"/>
      <c r="J48" s="87"/>
      <c r="K48" s="88"/>
      <c r="L48" s="88"/>
      <c r="M48" s="88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</row>
    <row r="49">
      <c r="A49" s="85"/>
      <c r="B49" s="85"/>
      <c r="C49" s="85"/>
      <c r="D49" s="85"/>
      <c r="E49" s="85"/>
      <c r="F49" s="85"/>
      <c r="G49" s="86"/>
      <c r="H49" s="85"/>
      <c r="I49" s="87"/>
      <c r="J49" s="87"/>
      <c r="K49" s="88"/>
      <c r="L49" s="88"/>
      <c r="M49" s="88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</row>
    <row r="50">
      <c r="A50" s="85"/>
      <c r="B50" s="85"/>
      <c r="C50" s="85"/>
      <c r="D50" s="85"/>
      <c r="E50" s="85"/>
      <c r="F50" s="85"/>
      <c r="G50" s="86"/>
      <c r="H50" s="85"/>
      <c r="I50" s="87"/>
      <c r="J50" s="87"/>
      <c r="K50" s="88"/>
      <c r="L50" s="88"/>
      <c r="M50" s="88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</row>
    <row r="51">
      <c r="A51" s="85"/>
      <c r="B51" s="85"/>
      <c r="C51" s="85"/>
      <c r="D51" s="85"/>
      <c r="E51" s="85"/>
      <c r="F51" s="85"/>
      <c r="G51" s="86"/>
      <c r="H51" s="85"/>
      <c r="I51" s="87"/>
      <c r="J51" s="87"/>
      <c r="K51" s="88"/>
      <c r="L51" s="88"/>
      <c r="M51" s="88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</row>
    <row r="52">
      <c r="A52" s="85"/>
      <c r="B52" s="85"/>
      <c r="C52" s="85"/>
      <c r="D52" s="85"/>
      <c r="E52" s="85"/>
      <c r="F52" s="85"/>
      <c r="G52" s="86"/>
      <c r="H52" s="85"/>
      <c r="I52" s="87"/>
      <c r="J52" s="87"/>
      <c r="K52" s="88"/>
      <c r="L52" s="88"/>
      <c r="M52" s="88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</row>
    <row r="53">
      <c r="A53" s="85"/>
      <c r="B53" s="85"/>
      <c r="C53" s="85"/>
      <c r="D53" s="85"/>
      <c r="E53" s="85"/>
      <c r="F53" s="85"/>
      <c r="G53" s="86"/>
      <c r="H53" s="85"/>
      <c r="I53" s="87"/>
      <c r="J53" s="87"/>
      <c r="K53" s="88"/>
      <c r="L53" s="88"/>
      <c r="M53" s="88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</row>
    <row r="54">
      <c r="A54" s="85"/>
      <c r="B54" s="85"/>
      <c r="C54" s="85"/>
      <c r="D54" s="85"/>
      <c r="E54" s="85"/>
      <c r="F54" s="85"/>
      <c r="G54" s="86"/>
      <c r="H54" s="85"/>
      <c r="I54" s="87"/>
      <c r="J54" s="87"/>
      <c r="K54" s="88"/>
      <c r="L54" s="88"/>
      <c r="M54" s="88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</row>
    <row r="55">
      <c r="A55" s="85"/>
      <c r="B55" s="85"/>
      <c r="C55" s="85"/>
      <c r="D55" s="85"/>
      <c r="E55" s="85"/>
      <c r="F55" s="85"/>
      <c r="G55" s="86"/>
      <c r="H55" s="85"/>
      <c r="I55" s="87"/>
      <c r="J55" s="87"/>
      <c r="K55" s="88"/>
      <c r="L55" s="88"/>
      <c r="M55" s="88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</row>
    <row r="56">
      <c r="A56" s="85"/>
      <c r="B56" s="85"/>
      <c r="C56" s="85"/>
      <c r="D56" s="85"/>
      <c r="E56" s="85"/>
      <c r="F56" s="85"/>
      <c r="G56" s="86"/>
      <c r="H56" s="85"/>
      <c r="I56" s="87"/>
      <c r="J56" s="87"/>
      <c r="K56" s="88"/>
      <c r="L56" s="88"/>
      <c r="M56" s="88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</row>
    <row r="57">
      <c r="A57" s="85"/>
      <c r="B57" s="85"/>
      <c r="C57" s="85"/>
      <c r="D57" s="85"/>
      <c r="E57" s="85"/>
      <c r="F57" s="85"/>
      <c r="G57" s="86"/>
      <c r="H57" s="85"/>
      <c r="I57" s="87"/>
      <c r="J57" s="87"/>
      <c r="K57" s="88"/>
      <c r="L57" s="88"/>
      <c r="M57" s="88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</row>
    <row r="58">
      <c r="A58" s="85"/>
      <c r="B58" s="85"/>
      <c r="C58" s="85"/>
      <c r="D58" s="85"/>
      <c r="E58" s="85"/>
      <c r="F58" s="85"/>
      <c r="G58" s="86"/>
      <c r="H58" s="85"/>
      <c r="I58" s="87"/>
      <c r="J58" s="87"/>
      <c r="K58" s="88"/>
      <c r="L58" s="88"/>
      <c r="M58" s="88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</row>
    <row r="59">
      <c r="A59" s="85"/>
      <c r="B59" s="85"/>
      <c r="C59" s="85"/>
      <c r="D59" s="85"/>
      <c r="E59" s="85"/>
      <c r="F59" s="85"/>
      <c r="G59" s="86"/>
      <c r="H59" s="85"/>
      <c r="I59" s="87"/>
      <c r="J59" s="87"/>
      <c r="K59" s="88"/>
      <c r="L59" s="88"/>
      <c r="M59" s="88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</row>
    <row r="60">
      <c r="A60" s="85"/>
      <c r="B60" s="85"/>
      <c r="C60" s="85"/>
      <c r="D60" s="85"/>
      <c r="E60" s="85"/>
      <c r="F60" s="85"/>
      <c r="G60" s="86"/>
      <c r="H60" s="85"/>
      <c r="I60" s="87"/>
      <c r="J60" s="87"/>
      <c r="K60" s="88"/>
      <c r="L60" s="88"/>
      <c r="M60" s="88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</row>
    <row r="61">
      <c r="A61" s="85"/>
      <c r="B61" s="85"/>
      <c r="C61" s="85"/>
      <c r="D61" s="85"/>
      <c r="E61" s="85"/>
      <c r="F61" s="85"/>
      <c r="G61" s="86"/>
      <c r="H61" s="85"/>
      <c r="I61" s="87"/>
      <c r="J61" s="87"/>
      <c r="K61" s="88"/>
      <c r="L61" s="88"/>
      <c r="M61" s="88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</row>
    <row r="62">
      <c r="A62" s="85"/>
      <c r="B62" s="85"/>
      <c r="C62" s="85"/>
      <c r="D62" s="85"/>
      <c r="E62" s="85"/>
      <c r="F62" s="85"/>
      <c r="G62" s="86"/>
      <c r="H62" s="85"/>
      <c r="I62" s="87"/>
      <c r="J62" s="87"/>
      <c r="K62" s="88"/>
      <c r="L62" s="88"/>
      <c r="M62" s="88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</row>
    <row r="63">
      <c r="A63" s="85"/>
      <c r="B63" s="85"/>
      <c r="C63" s="85"/>
      <c r="D63" s="85"/>
      <c r="E63" s="85"/>
      <c r="F63" s="85"/>
      <c r="G63" s="86"/>
      <c r="H63" s="85"/>
      <c r="I63" s="87"/>
      <c r="J63" s="87"/>
      <c r="K63" s="88"/>
      <c r="L63" s="88"/>
      <c r="M63" s="88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</row>
    <row r="64">
      <c r="A64" s="85"/>
      <c r="B64" s="85"/>
      <c r="C64" s="85"/>
      <c r="D64" s="85"/>
      <c r="E64" s="85"/>
      <c r="F64" s="85"/>
      <c r="G64" s="86"/>
      <c r="H64" s="85"/>
      <c r="I64" s="87"/>
      <c r="J64" s="87"/>
      <c r="K64" s="88"/>
      <c r="L64" s="88"/>
      <c r="M64" s="88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</row>
    <row r="65">
      <c r="A65" s="85"/>
      <c r="B65" s="85"/>
      <c r="C65" s="85"/>
      <c r="D65" s="85"/>
      <c r="E65" s="85"/>
      <c r="F65" s="85"/>
      <c r="G65" s="86"/>
      <c r="H65" s="85"/>
      <c r="I65" s="87"/>
      <c r="J65" s="87"/>
      <c r="K65" s="88"/>
      <c r="L65" s="88"/>
      <c r="M65" s="88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</row>
    <row r="66">
      <c r="A66" s="85"/>
      <c r="B66" s="85"/>
      <c r="C66" s="85"/>
      <c r="D66" s="85"/>
      <c r="E66" s="85"/>
      <c r="F66" s="85"/>
      <c r="G66" s="86"/>
      <c r="H66" s="85"/>
      <c r="I66" s="87"/>
      <c r="J66" s="87"/>
      <c r="K66" s="88"/>
      <c r="L66" s="88"/>
      <c r="M66" s="88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</row>
    <row r="67">
      <c r="A67" s="85"/>
      <c r="B67" s="85"/>
      <c r="C67" s="85"/>
      <c r="D67" s="85"/>
      <c r="E67" s="85"/>
      <c r="F67" s="85"/>
      <c r="G67" s="86"/>
      <c r="H67" s="85"/>
      <c r="I67" s="87"/>
      <c r="J67" s="87"/>
      <c r="K67" s="88"/>
      <c r="L67" s="88"/>
      <c r="M67" s="88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</row>
    <row r="68">
      <c r="A68" s="85"/>
      <c r="B68" s="85"/>
      <c r="C68" s="85"/>
      <c r="D68" s="85"/>
      <c r="E68" s="85"/>
      <c r="F68" s="85"/>
      <c r="G68" s="86"/>
      <c r="H68" s="85"/>
      <c r="I68" s="87"/>
      <c r="J68" s="87"/>
      <c r="K68" s="88"/>
      <c r="L68" s="88"/>
      <c r="M68" s="88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</row>
    <row r="69">
      <c r="A69" s="85"/>
      <c r="B69" s="85"/>
      <c r="C69" s="85"/>
      <c r="D69" s="85"/>
      <c r="E69" s="85"/>
      <c r="F69" s="85"/>
      <c r="G69" s="86"/>
      <c r="H69" s="85"/>
      <c r="I69" s="87"/>
      <c r="J69" s="87"/>
      <c r="K69" s="88"/>
      <c r="L69" s="88"/>
      <c r="M69" s="88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</row>
    <row r="70">
      <c r="A70" s="85"/>
      <c r="B70" s="85"/>
      <c r="C70" s="85"/>
      <c r="D70" s="85"/>
      <c r="E70" s="85"/>
      <c r="F70" s="85"/>
      <c r="G70" s="86"/>
      <c r="H70" s="85"/>
      <c r="I70" s="87"/>
      <c r="J70" s="87"/>
      <c r="K70" s="88"/>
      <c r="L70" s="88"/>
      <c r="M70" s="88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</row>
    <row r="71">
      <c r="A71" s="85"/>
      <c r="B71" s="85"/>
      <c r="C71" s="85"/>
      <c r="D71" s="85"/>
      <c r="E71" s="85"/>
      <c r="F71" s="85"/>
      <c r="G71" s="86"/>
      <c r="H71" s="85"/>
      <c r="I71" s="87"/>
      <c r="J71" s="87"/>
      <c r="K71" s="88"/>
      <c r="L71" s="88"/>
      <c r="M71" s="88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</row>
    <row r="72">
      <c r="A72" s="85"/>
      <c r="B72" s="85"/>
      <c r="C72" s="85"/>
      <c r="D72" s="85"/>
      <c r="E72" s="85"/>
      <c r="F72" s="85"/>
      <c r="G72" s="86"/>
      <c r="H72" s="85"/>
      <c r="I72" s="87"/>
      <c r="J72" s="87"/>
      <c r="K72" s="88"/>
      <c r="L72" s="88"/>
      <c r="M72" s="88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</row>
    <row r="73">
      <c r="A73" s="85"/>
      <c r="B73" s="85"/>
      <c r="C73" s="85"/>
      <c r="D73" s="85"/>
      <c r="E73" s="85"/>
      <c r="F73" s="85"/>
      <c r="G73" s="86"/>
      <c r="H73" s="85"/>
      <c r="I73" s="87"/>
      <c r="J73" s="87"/>
      <c r="K73" s="88"/>
      <c r="L73" s="88"/>
      <c r="M73" s="88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</row>
    <row r="74">
      <c r="A74" s="85"/>
      <c r="B74" s="85"/>
      <c r="C74" s="85"/>
      <c r="D74" s="85"/>
      <c r="E74" s="85"/>
      <c r="F74" s="85"/>
      <c r="G74" s="86"/>
      <c r="H74" s="85"/>
      <c r="I74" s="87"/>
      <c r="J74" s="87"/>
      <c r="K74" s="88"/>
      <c r="L74" s="88"/>
      <c r="M74" s="88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</row>
    <row r="75">
      <c r="A75" s="85"/>
      <c r="B75" s="85"/>
      <c r="C75" s="85"/>
      <c r="D75" s="85"/>
      <c r="E75" s="85"/>
      <c r="F75" s="85"/>
      <c r="G75" s="86"/>
      <c r="H75" s="85"/>
      <c r="I75" s="87"/>
      <c r="J75" s="87"/>
      <c r="K75" s="88"/>
      <c r="L75" s="88"/>
      <c r="M75" s="88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</row>
    <row r="76">
      <c r="A76" s="85"/>
      <c r="B76" s="85"/>
      <c r="C76" s="85"/>
      <c r="D76" s="85"/>
      <c r="E76" s="85"/>
      <c r="F76" s="85"/>
      <c r="G76" s="86"/>
      <c r="H76" s="85"/>
      <c r="I76" s="87"/>
      <c r="J76" s="87"/>
      <c r="K76" s="88"/>
      <c r="L76" s="88"/>
      <c r="M76" s="88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</row>
    <row r="77">
      <c r="A77" s="85"/>
      <c r="B77" s="85"/>
      <c r="C77" s="85"/>
      <c r="D77" s="85"/>
      <c r="E77" s="85"/>
      <c r="F77" s="85"/>
      <c r="G77" s="86"/>
      <c r="H77" s="85"/>
      <c r="I77" s="87"/>
      <c r="J77" s="87"/>
      <c r="K77" s="88"/>
      <c r="L77" s="88"/>
      <c r="M77" s="88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</row>
    <row r="78">
      <c r="A78" s="85"/>
      <c r="B78" s="85"/>
      <c r="C78" s="85"/>
      <c r="D78" s="85"/>
      <c r="E78" s="85"/>
      <c r="F78" s="85"/>
      <c r="G78" s="86"/>
      <c r="H78" s="85"/>
      <c r="I78" s="87"/>
      <c r="J78" s="87"/>
      <c r="K78" s="88"/>
      <c r="L78" s="88"/>
      <c r="M78" s="88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</row>
    <row r="79">
      <c r="A79" s="85"/>
      <c r="B79" s="85"/>
      <c r="C79" s="85"/>
      <c r="D79" s="85"/>
      <c r="E79" s="85"/>
      <c r="F79" s="85"/>
      <c r="G79" s="86"/>
      <c r="H79" s="85"/>
      <c r="I79" s="87"/>
      <c r="J79" s="87"/>
      <c r="K79" s="88"/>
      <c r="L79" s="88"/>
      <c r="M79" s="88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</row>
    <row r="80">
      <c r="A80" s="85"/>
      <c r="B80" s="85"/>
      <c r="C80" s="85"/>
      <c r="D80" s="85"/>
      <c r="E80" s="85"/>
      <c r="F80" s="85"/>
      <c r="G80" s="86"/>
      <c r="H80" s="85"/>
      <c r="I80" s="87"/>
      <c r="J80" s="87"/>
      <c r="K80" s="88"/>
      <c r="L80" s="88"/>
      <c r="M80" s="88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</row>
    <row r="81">
      <c r="A81" s="85"/>
      <c r="B81" s="85"/>
      <c r="C81" s="85"/>
      <c r="D81" s="85"/>
      <c r="E81" s="85"/>
      <c r="F81" s="85"/>
      <c r="G81" s="86"/>
      <c r="H81" s="85"/>
      <c r="I81" s="87"/>
      <c r="J81" s="87"/>
      <c r="K81" s="88"/>
      <c r="L81" s="88"/>
      <c r="M81" s="88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</row>
    <row r="82">
      <c r="A82" s="85"/>
      <c r="B82" s="85"/>
      <c r="C82" s="85"/>
      <c r="D82" s="85"/>
      <c r="E82" s="85"/>
      <c r="F82" s="85"/>
      <c r="G82" s="86"/>
      <c r="H82" s="85"/>
      <c r="I82" s="87"/>
      <c r="J82" s="87"/>
      <c r="K82" s="88"/>
      <c r="L82" s="88"/>
      <c r="M82" s="88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</row>
    <row r="83">
      <c r="A83" s="85"/>
      <c r="B83" s="85"/>
      <c r="C83" s="85"/>
      <c r="D83" s="85"/>
      <c r="E83" s="85"/>
      <c r="F83" s="85"/>
      <c r="G83" s="86"/>
      <c r="H83" s="85"/>
      <c r="I83" s="87"/>
      <c r="J83" s="87"/>
      <c r="K83" s="88"/>
      <c r="L83" s="88"/>
      <c r="M83" s="88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</row>
    <row r="84">
      <c r="A84" s="85"/>
      <c r="B84" s="85"/>
      <c r="C84" s="85"/>
      <c r="D84" s="85"/>
      <c r="E84" s="85"/>
      <c r="F84" s="85"/>
      <c r="G84" s="86"/>
      <c r="H84" s="85"/>
      <c r="I84" s="87"/>
      <c r="J84" s="87"/>
      <c r="K84" s="88"/>
      <c r="L84" s="88"/>
      <c r="M84" s="88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</row>
    <row r="85">
      <c r="A85" s="85"/>
      <c r="B85" s="85"/>
      <c r="C85" s="85"/>
      <c r="D85" s="85"/>
      <c r="E85" s="85"/>
      <c r="F85" s="85"/>
      <c r="G85" s="86"/>
      <c r="H85" s="85"/>
      <c r="I85" s="87"/>
      <c r="J85" s="87"/>
      <c r="K85" s="88"/>
      <c r="L85" s="88"/>
      <c r="M85" s="88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</row>
    <row r="86">
      <c r="A86" s="85"/>
      <c r="B86" s="85"/>
      <c r="C86" s="85"/>
      <c r="D86" s="85"/>
      <c r="E86" s="85"/>
      <c r="F86" s="85"/>
      <c r="G86" s="86"/>
      <c r="H86" s="85"/>
      <c r="I86" s="87"/>
      <c r="J86" s="87"/>
      <c r="K86" s="88"/>
      <c r="L86" s="88"/>
      <c r="M86" s="88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</row>
    <row r="87">
      <c r="A87" s="85"/>
      <c r="B87" s="85"/>
      <c r="C87" s="85"/>
      <c r="D87" s="85"/>
      <c r="E87" s="85"/>
      <c r="F87" s="85"/>
      <c r="G87" s="86"/>
      <c r="H87" s="85"/>
      <c r="I87" s="87"/>
      <c r="J87" s="87"/>
      <c r="K87" s="88"/>
      <c r="L87" s="88"/>
      <c r="M87" s="88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</row>
    <row r="88">
      <c r="A88" s="85"/>
      <c r="B88" s="85"/>
      <c r="C88" s="85"/>
      <c r="D88" s="85"/>
      <c r="E88" s="85"/>
      <c r="F88" s="85"/>
      <c r="G88" s="86"/>
      <c r="H88" s="85"/>
      <c r="I88" s="87"/>
      <c r="J88" s="87"/>
      <c r="K88" s="88"/>
      <c r="L88" s="88"/>
      <c r="M88" s="88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</row>
    <row r="89">
      <c r="A89" s="85"/>
      <c r="B89" s="85"/>
      <c r="C89" s="85"/>
      <c r="D89" s="85"/>
      <c r="E89" s="85"/>
      <c r="F89" s="85"/>
      <c r="G89" s="86"/>
      <c r="H89" s="85"/>
      <c r="I89" s="87"/>
      <c r="J89" s="87"/>
      <c r="K89" s="88"/>
      <c r="L89" s="88"/>
      <c r="M89" s="88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</row>
    <row r="90">
      <c r="A90" s="85"/>
      <c r="B90" s="85"/>
      <c r="C90" s="85"/>
      <c r="D90" s="85"/>
      <c r="E90" s="85"/>
      <c r="F90" s="85"/>
      <c r="G90" s="86"/>
      <c r="H90" s="85"/>
      <c r="I90" s="87"/>
      <c r="J90" s="87"/>
      <c r="K90" s="88"/>
      <c r="L90" s="88"/>
      <c r="M90" s="88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</row>
    <row r="91">
      <c r="A91" s="85"/>
      <c r="B91" s="85"/>
      <c r="C91" s="85"/>
      <c r="D91" s="85"/>
      <c r="E91" s="85"/>
      <c r="F91" s="85"/>
      <c r="G91" s="86"/>
      <c r="H91" s="85"/>
      <c r="I91" s="87"/>
      <c r="J91" s="87"/>
      <c r="K91" s="88"/>
      <c r="L91" s="88"/>
      <c r="M91" s="88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</row>
    <row r="92">
      <c r="A92" s="85"/>
      <c r="B92" s="85"/>
      <c r="C92" s="85"/>
      <c r="D92" s="85"/>
      <c r="E92" s="85"/>
      <c r="F92" s="85"/>
      <c r="G92" s="86"/>
      <c r="H92" s="85"/>
      <c r="I92" s="87"/>
      <c r="J92" s="87"/>
      <c r="K92" s="88"/>
      <c r="L92" s="88"/>
      <c r="M92" s="88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</row>
    <row r="93">
      <c r="A93" s="85"/>
      <c r="B93" s="85"/>
      <c r="C93" s="85"/>
      <c r="D93" s="85"/>
      <c r="E93" s="85"/>
      <c r="F93" s="85"/>
      <c r="G93" s="86"/>
      <c r="H93" s="85"/>
      <c r="I93" s="87"/>
      <c r="J93" s="87"/>
      <c r="K93" s="88"/>
      <c r="L93" s="88"/>
      <c r="M93" s="88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</row>
    <row r="94">
      <c r="A94" s="85"/>
      <c r="B94" s="85"/>
      <c r="C94" s="85"/>
      <c r="D94" s="85"/>
      <c r="E94" s="85"/>
      <c r="F94" s="85"/>
      <c r="G94" s="86"/>
      <c r="H94" s="85"/>
      <c r="I94" s="87"/>
      <c r="J94" s="87"/>
      <c r="K94" s="88"/>
      <c r="L94" s="88"/>
      <c r="M94" s="88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</row>
    <row r="95">
      <c r="A95" s="85"/>
      <c r="B95" s="85"/>
      <c r="C95" s="85"/>
      <c r="D95" s="85"/>
      <c r="E95" s="85"/>
      <c r="F95" s="85"/>
      <c r="G95" s="86"/>
      <c r="H95" s="85"/>
      <c r="I95" s="87"/>
      <c r="J95" s="87"/>
      <c r="K95" s="88"/>
      <c r="L95" s="88"/>
      <c r="M95" s="88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</row>
    <row r="96">
      <c r="A96" s="85"/>
      <c r="B96" s="85"/>
      <c r="C96" s="85"/>
      <c r="D96" s="85"/>
      <c r="E96" s="85"/>
      <c r="F96" s="85"/>
      <c r="G96" s="86"/>
      <c r="H96" s="85"/>
      <c r="I96" s="87"/>
      <c r="J96" s="87"/>
      <c r="K96" s="88"/>
      <c r="L96" s="88"/>
      <c r="M96" s="88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</row>
    <row r="97">
      <c r="A97" s="85"/>
      <c r="B97" s="85"/>
      <c r="C97" s="85"/>
      <c r="D97" s="85"/>
      <c r="E97" s="85"/>
      <c r="F97" s="85"/>
      <c r="G97" s="86"/>
      <c r="H97" s="85"/>
      <c r="I97" s="87"/>
      <c r="J97" s="87"/>
      <c r="K97" s="88"/>
      <c r="L97" s="88"/>
      <c r="M97" s="88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</row>
    <row r="98">
      <c r="A98" s="85"/>
      <c r="B98" s="85"/>
      <c r="C98" s="85"/>
      <c r="D98" s="85"/>
      <c r="E98" s="85"/>
      <c r="F98" s="85"/>
      <c r="G98" s="86"/>
      <c r="H98" s="85"/>
      <c r="I98" s="87"/>
      <c r="J98" s="87"/>
      <c r="K98" s="88"/>
      <c r="L98" s="88"/>
      <c r="M98" s="88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</row>
    <row r="99">
      <c r="A99" s="85"/>
      <c r="B99" s="85"/>
      <c r="C99" s="85"/>
      <c r="D99" s="85"/>
      <c r="E99" s="85"/>
      <c r="F99" s="85"/>
      <c r="G99" s="86"/>
      <c r="H99" s="85"/>
      <c r="I99" s="87"/>
      <c r="J99" s="87"/>
      <c r="K99" s="88"/>
      <c r="L99" s="88"/>
      <c r="M99" s="88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</row>
    <row r="100">
      <c r="A100" s="85"/>
      <c r="B100" s="85"/>
      <c r="C100" s="85"/>
      <c r="D100" s="85"/>
      <c r="E100" s="85"/>
      <c r="F100" s="85"/>
      <c r="G100" s="86"/>
      <c r="H100" s="85"/>
      <c r="I100" s="87"/>
      <c r="J100" s="87"/>
      <c r="K100" s="88"/>
      <c r="L100" s="88"/>
      <c r="M100" s="88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</row>
    <row r="101">
      <c r="A101" s="85"/>
      <c r="B101" s="85"/>
      <c r="C101" s="85"/>
      <c r="D101" s="85"/>
      <c r="E101" s="85"/>
      <c r="F101" s="85"/>
      <c r="G101" s="86"/>
      <c r="H101" s="85"/>
      <c r="I101" s="87"/>
      <c r="J101" s="87"/>
      <c r="K101" s="88"/>
      <c r="L101" s="88"/>
      <c r="M101" s="88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</row>
    <row r="102">
      <c r="A102" s="85"/>
      <c r="B102" s="85"/>
      <c r="C102" s="85"/>
      <c r="D102" s="85"/>
      <c r="E102" s="85"/>
      <c r="F102" s="85"/>
      <c r="G102" s="86"/>
      <c r="H102" s="85"/>
      <c r="I102" s="87"/>
      <c r="J102" s="87"/>
      <c r="K102" s="88"/>
      <c r="L102" s="88"/>
      <c r="M102" s="88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</row>
    <row r="103">
      <c r="A103" s="85"/>
      <c r="B103" s="85"/>
      <c r="C103" s="85"/>
      <c r="D103" s="85"/>
      <c r="E103" s="85"/>
      <c r="F103" s="85"/>
      <c r="G103" s="86"/>
      <c r="H103" s="85"/>
      <c r="I103" s="87"/>
      <c r="J103" s="87"/>
      <c r="K103" s="88"/>
      <c r="L103" s="88"/>
      <c r="M103" s="88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</row>
    <row r="104">
      <c r="A104" s="85"/>
      <c r="B104" s="85"/>
      <c r="C104" s="85"/>
      <c r="D104" s="85"/>
      <c r="E104" s="85"/>
      <c r="F104" s="85"/>
      <c r="G104" s="86"/>
      <c r="H104" s="85"/>
      <c r="I104" s="87"/>
      <c r="J104" s="87"/>
      <c r="K104" s="88"/>
      <c r="L104" s="88"/>
      <c r="M104" s="88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</row>
    <row r="105">
      <c r="A105" s="85"/>
      <c r="B105" s="85"/>
      <c r="C105" s="85"/>
      <c r="D105" s="85"/>
      <c r="E105" s="85"/>
      <c r="F105" s="85"/>
      <c r="G105" s="86"/>
      <c r="H105" s="85"/>
      <c r="I105" s="87"/>
      <c r="J105" s="87"/>
      <c r="K105" s="88"/>
      <c r="L105" s="88"/>
      <c r="M105" s="88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</row>
    <row r="106">
      <c r="A106" s="85"/>
      <c r="B106" s="85"/>
      <c r="C106" s="85"/>
      <c r="D106" s="85"/>
      <c r="E106" s="85"/>
      <c r="F106" s="85"/>
      <c r="G106" s="86"/>
      <c r="H106" s="85"/>
      <c r="I106" s="87"/>
      <c r="J106" s="87"/>
      <c r="K106" s="88"/>
      <c r="L106" s="88"/>
      <c r="M106" s="88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</row>
    <row r="107">
      <c r="A107" s="85"/>
      <c r="B107" s="85"/>
      <c r="C107" s="85"/>
      <c r="D107" s="85"/>
      <c r="E107" s="85"/>
      <c r="F107" s="85"/>
      <c r="G107" s="86"/>
      <c r="H107" s="85"/>
      <c r="I107" s="87"/>
      <c r="J107" s="87"/>
      <c r="K107" s="88"/>
      <c r="L107" s="88"/>
      <c r="M107" s="88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</row>
    <row r="108">
      <c r="A108" s="85"/>
      <c r="B108" s="85"/>
      <c r="C108" s="85"/>
      <c r="D108" s="85"/>
      <c r="E108" s="85"/>
      <c r="F108" s="85"/>
      <c r="G108" s="86"/>
      <c r="H108" s="85"/>
      <c r="I108" s="87"/>
      <c r="J108" s="87"/>
      <c r="K108" s="88"/>
      <c r="L108" s="88"/>
      <c r="M108" s="88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</row>
    <row r="109">
      <c r="A109" s="85"/>
      <c r="B109" s="85"/>
      <c r="C109" s="85"/>
      <c r="D109" s="85"/>
      <c r="E109" s="85"/>
      <c r="F109" s="85"/>
      <c r="G109" s="86"/>
      <c r="H109" s="85"/>
      <c r="I109" s="87"/>
      <c r="J109" s="87"/>
      <c r="K109" s="88"/>
      <c r="L109" s="88"/>
      <c r="M109" s="88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</row>
    <row r="110">
      <c r="A110" s="85"/>
      <c r="B110" s="85"/>
      <c r="C110" s="85"/>
      <c r="D110" s="85"/>
      <c r="E110" s="85"/>
      <c r="F110" s="85"/>
      <c r="G110" s="86"/>
      <c r="H110" s="85"/>
      <c r="I110" s="87"/>
      <c r="J110" s="87"/>
      <c r="K110" s="88"/>
      <c r="L110" s="88"/>
      <c r="M110" s="88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</row>
    <row r="111">
      <c r="A111" s="85"/>
      <c r="B111" s="85"/>
      <c r="C111" s="85"/>
      <c r="D111" s="85"/>
      <c r="E111" s="85"/>
      <c r="F111" s="85"/>
      <c r="G111" s="86"/>
      <c r="H111" s="85"/>
      <c r="I111" s="87"/>
      <c r="J111" s="87"/>
      <c r="K111" s="88"/>
      <c r="L111" s="88"/>
      <c r="M111" s="88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</row>
    <row r="112">
      <c r="A112" s="85"/>
      <c r="B112" s="85"/>
      <c r="C112" s="85"/>
      <c r="D112" s="85"/>
      <c r="E112" s="85"/>
      <c r="F112" s="85"/>
      <c r="G112" s="86"/>
      <c r="H112" s="85"/>
      <c r="I112" s="87"/>
      <c r="J112" s="87"/>
      <c r="K112" s="88"/>
      <c r="L112" s="88"/>
      <c r="M112" s="88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</row>
    <row r="113">
      <c r="A113" s="85"/>
      <c r="B113" s="85"/>
      <c r="C113" s="85"/>
      <c r="D113" s="85"/>
      <c r="E113" s="85"/>
      <c r="F113" s="85"/>
      <c r="G113" s="86"/>
      <c r="H113" s="85"/>
      <c r="I113" s="87"/>
      <c r="J113" s="87"/>
      <c r="K113" s="88"/>
      <c r="L113" s="88"/>
      <c r="M113" s="88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</row>
    <row r="114">
      <c r="A114" s="85"/>
      <c r="B114" s="85"/>
      <c r="C114" s="85"/>
      <c r="D114" s="85"/>
      <c r="E114" s="85"/>
      <c r="F114" s="85"/>
      <c r="G114" s="86"/>
      <c r="H114" s="85"/>
      <c r="I114" s="87"/>
      <c r="J114" s="87"/>
      <c r="K114" s="88"/>
      <c r="L114" s="88"/>
      <c r="M114" s="88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</row>
    <row r="115">
      <c r="A115" s="85"/>
      <c r="B115" s="85"/>
      <c r="C115" s="85"/>
      <c r="D115" s="85"/>
      <c r="E115" s="85"/>
      <c r="F115" s="85"/>
      <c r="G115" s="86"/>
      <c r="H115" s="85"/>
      <c r="I115" s="87"/>
      <c r="J115" s="87"/>
      <c r="K115" s="88"/>
      <c r="L115" s="88"/>
      <c r="M115" s="88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</row>
    <row r="116">
      <c r="A116" s="85"/>
      <c r="B116" s="85"/>
      <c r="C116" s="85"/>
      <c r="D116" s="85"/>
      <c r="E116" s="85"/>
      <c r="F116" s="85"/>
      <c r="G116" s="86"/>
      <c r="H116" s="85"/>
      <c r="I116" s="87"/>
      <c r="J116" s="87"/>
      <c r="K116" s="88"/>
      <c r="L116" s="88"/>
      <c r="M116" s="88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</row>
    <row r="117">
      <c r="A117" s="85"/>
      <c r="B117" s="85"/>
      <c r="C117" s="85"/>
      <c r="D117" s="85"/>
      <c r="E117" s="85"/>
      <c r="F117" s="85"/>
      <c r="G117" s="86"/>
      <c r="H117" s="85"/>
      <c r="I117" s="87"/>
      <c r="J117" s="87"/>
      <c r="K117" s="88"/>
      <c r="L117" s="88"/>
      <c r="M117" s="88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</row>
    <row r="118">
      <c r="A118" s="85"/>
      <c r="B118" s="85"/>
      <c r="C118" s="85"/>
      <c r="D118" s="85"/>
      <c r="E118" s="85"/>
      <c r="F118" s="85"/>
      <c r="G118" s="86"/>
      <c r="H118" s="85"/>
      <c r="I118" s="87"/>
      <c r="J118" s="87"/>
      <c r="K118" s="88"/>
      <c r="L118" s="88"/>
      <c r="M118" s="88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</row>
    <row r="119">
      <c r="A119" s="85"/>
      <c r="B119" s="85"/>
      <c r="C119" s="85"/>
      <c r="D119" s="85"/>
      <c r="E119" s="85"/>
      <c r="F119" s="85"/>
      <c r="G119" s="86"/>
      <c r="H119" s="85"/>
      <c r="I119" s="87"/>
      <c r="J119" s="87"/>
      <c r="K119" s="88"/>
      <c r="L119" s="88"/>
      <c r="M119" s="88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</row>
    <row r="120">
      <c r="A120" s="85"/>
      <c r="B120" s="85"/>
      <c r="C120" s="85"/>
      <c r="D120" s="85"/>
      <c r="E120" s="85"/>
      <c r="F120" s="85"/>
      <c r="G120" s="86"/>
      <c r="H120" s="85"/>
      <c r="I120" s="87"/>
      <c r="J120" s="87"/>
      <c r="K120" s="88"/>
      <c r="L120" s="88"/>
      <c r="M120" s="88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</row>
    <row r="121">
      <c r="A121" s="85"/>
      <c r="B121" s="85"/>
      <c r="C121" s="85"/>
      <c r="D121" s="85"/>
      <c r="E121" s="85"/>
      <c r="F121" s="85"/>
      <c r="G121" s="86"/>
      <c r="H121" s="85"/>
      <c r="I121" s="87"/>
      <c r="J121" s="87"/>
      <c r="K121" s="88"/>
      <c r="L121" s="88"/>
      <c r="M121" s="88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</row>
    <row r="122">
      <c r="A122" s="85"/>
      <c r="B122" s="85"/>
      <c r="C122" s="85"/>
      <c r="D122" s="85"/>
      <c r="E122" s="85"/>
      <c r="F122" s="85"/>
      <c r="G122" s="86"/>
      <c r="H122" s="85"/>
      <c r="I122" s="87"/>
      <c r="J122" s="87"/>
      <c r="K122" s="88"/>
      <c r="L122" s="88"/>
      <c r="M122" s="88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</row>
    <row r="123">
      <c r="A123" s="85"/>
      <c r="B123" s="85"/>
      <c r="C123" s="85"/>
      <c r="D123" s="85"/>
      <c r="E123" s="85"/>
      <c r="F123" s="85"/>
      <c r="G123" s="86"/>
      <c r="H123" s="85"/>
      <c r="I123" s="87"/>
      <c r="J123" s="87"/>
      <c r="K123" s="88"/>
      <c r="L123" s="88"/>
      <c r="M123" s="88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</row>
    <row r="124">
      <c r="A124" s="85"/>
      <c r="B124" s="85"/>
      <c r="C124" s="85"/>
      <c r="D124" s="85"/>
      <c r="E124" s="85"/>
      <c r="F124" s="85"/>
      <c r="G124" s="86"/>
      <c r="H124" s="85"/>
      <c r="I124" s="87"/>
      <c r="J124" s="87"/>
      <c r="K124" s="88"/>
      <c r="L124" s="88"/>
      <c r="M124" s="88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</row>
    <row r="125">
      <c r="A125" s="85"/>
      <c r="B125" s="85"/>
      <c r="C125" s="85"/>
      <c r="D125" s="85"/>
      <c r="E125" s="85"/>
      <c r="F125" s="85"/>
      <c r="G125" s="86"/>
      <c r="H125" s="85"/>
      <c r="I125" s="87"/>
      <c r="J125" s="87"/>
      <c r="K125" s="88"/>
      <c r="L125" s="88"/>
      <c r="M125" s="88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</row>
    <row r="126">
      <c r="A126" s="85"/>
      <c r="B126" s="85"/>
      <c r="C126" s="85"/>
      <c r="D126" s="85"/>
      <c r="E126" s="85"/>
      <c r="F126" s="85"/>
      <c r="G126" s="86"/>
      <c r="H126" s="85"/>
      <c r="I126" s="87"/>
      <c r="J126" s="87"/>
      <c r="K126" s="88"/>
      <c r="L126" s="88"/>
      <c r="M126" s="88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</row>
    <row r="127">
      <c r="A127" s="85"/>
      <c r="B127" s="85"/>
      <c r="C127" s="85"/>
      <c r="D127" s="85"/>
      <c r="E127" s="85"/>
      <c r="F127" s="85"/>
      <c r="G127" s="86"/>
      <c r="H127" s="85"/>
      <c r="I127" s="87"/>
      <c r="J127" s="87"/>
      <c r="K127" s="88"/>
      <c r="L127" s="88"/>
      <c r="M127" s="88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</row>
    <row r="128">
      <c r="A128" s="85"/>
      <c r="B128" s="85"/>
      <c r="C128" s="85"/>
      <c r="D128" s="85"/>
      <c r="E128" s="85"/>
      <c r="F128" s="85"/>
      <c r="G128" s="86"/>
      <c r="H128" s="85"/>
      <c r="I128" s="87"/>
      <c r="J128" s="87"/>
      <c r="K128" s="88"/>
      <c r="L128" s="88"/>
      <c r="M128" s="88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</row>
    <row r="129">
      <c r="A129" s="85"/>
      <c r="B129" s="85"/>
      <c r="C129" s="85"/>
      <c r="D129" s="85"/>
      <c r="E129" s="85"/>
      <c r="F129" s="85"/>
      <c r="G129" s="86"/>
      <c r="H129" s="85"/>
      <c r="I129" s="87"/>
      <c r="J129" s="87"/>
      <c r="K129" s="88"/>
      <c r="L129" s="88"/>
      <c r="M129" s="88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</row>
    <row r="130">
      <c r="A130" s="85"/>
      <c r="B130" s="85"/>
      <c r="C130" s="85"/>
      <c r="D130" s="85"/>
      <c r="E130" s="85"/>
      <c r="F130" s="85"/>
      <c r="G130" s="86"/>
      <c r="H130" s="85"/>
      <c r="I130" s="87"/>
      <c r="J130" s="87"/>
      <c r="K130" s="88"/>
      <c r="L130" s="88"/>
      <c r="M130" s="88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</row>
    <row r="131">
      <c r="A131" s="85"/>
      <c r="B131" s="85"/>
      <c r="C131" s="85"/>
      <c r="D131" s="85"/>
      <c r="E131" s="85"/>
      <c r="F131" s="85"/>
      <c r="G131" s="86"/>
      <c r="H131" s="85"/>
      <c r="I131" s="87"/>
      <c r="J131" s="87"/>
      <c r="K131" s="88"/>
      <c r="L131" s="88"/>
      <c r="M131" s="88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</row>
    <row r="132">
      <c r="A132" s="85"/>
      <c r="B132" s="85"/>
      <c r="C132" s="85"/>
      <c r="D132" s="85"/>
      <c r="E132" s="85"/>
      <c r="F132" s="85"/>
      <c r="G132" s="86"/>
      <c r="H132" s="85"/>
      <c r="I132" s="87"/>
      <c r="J132" s="87"/>
      <c r="K132" s="88"/>
      <c r="L132" s="88"/>
      <c r="M132" s="88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</row>
    <row r="133">
      <c r="A133" s="85"/>
      <c r="B133" s="85"/>
      <c r="C133" s="85"/>
      <c r="D133" s="85"/>
      <c r="E133" s="85"/>
      <c r="F133" s="85"/>
      <c r="G133" s="86"/>
      <c r="H133" s="85"/>
      <c r="I133" s="87"/>
      <c r="J133" s="87"/>
      <c r="K133" s="88"/>
      <c r="L133" s="88"/>
      <c r="M133" s="88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</row>
    <row r="134">
      <c r="A134" s="85"/>
      <c r="B134" s="85"/>
      <c r="C134" s="85"/>
      <c r="D134" s="85"/>
      <c r="E134" s="85"/>
      <c r="F134" s="85"/>
      <c r="G134" s="86"/>
      <c r="H134" s="85"/>
      <c r="I134" s="87"/>
      <c r="J134" s="87"/>
      <c r="K134" s="88"/>
      <c r="L134" s="88"/>
      <c r="M134" s="88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</row>
    <row r="135">
      <c r="A135" s="85"/>
      <c r="B135" s="85"/>
      <c r="C135" s="85"/>
      <c r="D135" s="85"/>
      <c r="E135" s="85"/>
      <c r="F135" s="85"/>
      <c r="G135" s="86"/>
      <c r="H135" s="85"/>
      <c r="I135" s="87"/>
      <c r="J135" s="87"/>
      <c r="K135" s="88"/>
      <c r="L135" s="88"/>
      <c r="M135" s="88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</row>
    <row r="136">
      <c r="A136" s="85"/>
      <c r="B136" s="85"/>
      <c r="C136" s="85"/>
      <c r="D136" s="85"/>
      <c r="E136" s="85"/>
      <c r="F136" s="85"/>
      <c r="G136" s="86"/>
      <c r="H136" s="85"/>
      <c r="I136" s="87"/>
      <c r="J136" s="87"/>
      <c r="K136" s="88"/>
      <c r="L136" s="88"/>
      <c r="M136" s="88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</row>
    <row r="137">
      <c r="A137" s="85"/>
      <c r="B137" s="85"/>
      <c r="C137" s="85"/>
      <c r="D137" s="85"/>
      <c r="E137" s="85"/>
      <c r="F137" s="85"/>
      <c r="G137" s="86"/>
      <c r="H137" s="85"/>
      <c r="I137" s="87"/>
      <c r="J137" s="87"/>
      <c r="K137" s="88"/>
      <c r="L137" s="88"/>
      <c r="M137" s="88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</row>
    <row r="138">
      <c r="A138" s="85"/>
      <c r="B138" s="85"/>
      <c r="C138" s="85"/>
      <c r="D138" s="85"/>
      <c r="E138" s="85"/>
      <c r="F138" s="85"/>
      <c r="G138" s="86"/>
      <c r="H138" s="85"/>
      <c r="I138" s="87"/>
      <c r="J138" s="87"/>
      <c r="K138" s="88"/>
      <c r="L138" s="88"/>
      <c r="M138" s="88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</row>
    <row r="139">
      <c r="A139" s="85"/>
      <c r="B139" s="85"/>
      <c r="C139" s="85"/>
      <c r="D139" s="85"/>
      <c r="E139" s="85"/>
      <c r="F139" s="85"/>
      <c r="G139" s="86"/>
      <c r="H139" s="85"/>
      <c r="I139" s="87"/>
      <c r="J139" s="87"/>
      <c r="K139" s="88"/>
      <c r="L139" s="88"/>
      <c r="M139" s="88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</row>
    <row r="140">
      <c r="A140" s="85"/>
      <c r="B140" s="85"/>
      <c r="C140" s="85"/>
      <c r="D140" s="85"/>
      <c r="E140" s="85"/>
      <c r="F140" s="85"/>
      <c r="G140" s="86"/>
      <c r="H140" s="85"/>
      <c r="I140" s="87"/>
      <c r="J140" s="87"/>
      <c r="K140" s="88"/>
      <c r="L140" s="88"/>
      <c r="M140" s="88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</row>
    <row r="141">
      <c r="A141" s="85"/>
      <c r="B141" s="85"/>
      <c r="C141" s="85"/>
      <c r="D141" s="85"/>
      <c r="E141" s="85"/>
      <c r="F141" s="85"/>
      <c r="G141" s="86"/>
      <c r="H141" s="85"/>
      <c r="I141" s="87"/>
      <c r="J141" s="87"/>
      <c r="K141" s="88"/>
      <c r="L141" s="88"/>
      <c r="M141" s="88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</row>
    <row r="142">
      <c r="A142" s="85"/>
      <c r="B142" s="85"/>
      <c r="C142" s="85"/>
      <c r="D142" s="85"/>
      <c r="E142" s="85"/>
      <c r="F142" s="85"/>
      <c r="G142" s="86"/>
      <c r="H142" s="85"/>
      <c r="I142" s="87"/>
      <c r="J142" s="87"/>
      <c r="K142" s="88"/>
      <c r="L142" s="88"/>
      <c r="M142" s="88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</row>
    <row r="143">
      <c r="A143" s="85"/>
      <c r="B143" s="85"/>
      <c r="C143" s="85"/>
      <c r="D143" s="85"/>
      <c r="E143" s="85"/>
      <c r="F143" s="85"/>
      <c r="G143" s="86"/>
      <c r="H143" s="85"/>
      <c r="I143" s="87"/>
      <c r="J143" s="87"/>
      <c r="K143" s="88"/>
      <c r="L143" s="88"/>
      <c r="M143" s="88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</row>
    <row r="144">
      <c r="A144" s="85"/>
      <c r="B144" s="85"/>
      <c r="C144" s="85"/>
      <c r="D144" s="85"/>
      <c r="E144" s="85"/>
      <c r="F144" s="85"/>
      <c r="G144" s="86"/>
      <c r="H144" s="85"/>
      <c r="I144" s="87"/>
      <c r="J144" s="87"/>
      <c r="K144" s="88"/>
      <c r="L144" s="88"/>
      <c r="M144" s="88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</row>
    <row r="145">
      <c r="A145" s="85"/>
      <c r="B145" s="85"/>
      <c r="C145" s="85"/>
      <c r="D145" s="85"/>
      <c r="E145" s="85"/>
      <c r="F145" s="85"/>
      <c r="G145" s="86"/>
      <c r="H145" s="85"/>
      <c r="I145" s="87"/>
      <c r="J145" s="87"/>
      <c r="K145" s="88"/>
      <c r="L145" s="88"/>
      <c r="M145" s="88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</row>
    <row r="146">
      <c r="A146" s="85"/>
      <c r="B146" s="85"/>
      <c r="C146" s="85"/>
      <c r="D146" s="85"/>
      <c r="E146" s="85"/>
      <c r="F146" s="85"/>
      <c r="G146" s="86"/>
      <c r="H146" s="85"/>
      <c r="I146" s="87"/>
      <c r="J146" s="87"/>
      <c r="K146" s="88"/>
      <c r="L146" s="88"/>
      <c r="M146" s="88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</row>
    <row r="147">
      <c r="A147" s="85"/>
      <c r="B147" s="85"/>
      <c r="C147" s="85"/>
      <c r="D147" s="85"/>
      <c r="E147" s="85"/>
      <c r="F147" s="85"/>
      <c r="G147" s="86"/>
      <c r="H147" s="85"/>
      <c r="I147" s="87"/>
      <c r="J147" s="87"/>
      <c r="K147" s="88"/>
      <c r="L147" s="88"/>
      <c r="M147" s="88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</row>
    <row r="148">
      <c r="A148" s="85"/>
      <c r="B148" s="85"/>
      <c r="C148" s="85"/>
      <c r="D148" s="85"/>
      <c r="E148" s="85"/>
      <c r="F148" s="85"/>
      <c r="G148" s="86"/>
      <c r="H148" s="85"/>
      <c r="I148" s="87"/>
      <c r="J148" s="87"/>
      <c r="K148" s="88"/>
      <c r="L148" s="88"/>
      <c r="M148" s="88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</row>
    <row r="149">
      <c r="A149" s="85"/>
      <c r="B149" s="85"/>
      <c r="C149" s="85"/>
      <c r="D149" s="85"/>
      <c r="E149" s="85"/>
      <c r="F149" s="85"/>
      <c r="G149" s="86"/>
      <c r="H149" s="85"/>
      <c r="I149" s="87"/>
      <c r="J149" s="87"/>
      <c r="K149" s="88"/>
      <c r="L149" s="88"/>
      <c r="M149" s="88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</row>
    <row r="150">
      <c r="A150" s="85"/>
      <c r="B150" s="85"/>
      <c r="C150" s="85"/>
      <c r="D150" s="85"/>
      <c r="E150" s="85"/>
      <c r="F150" s="85"/>
      <c r="G150" s="86"/>
      <c r="H150" s="85"/>
      <c r="I150" s="87"/>
      <c r="J150" s="87"/>
      <c r="K150" s="88"/>
      <c r="L150" s="88"/>
      <c r="M150" s="88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</row>
    <row r="151">
      <c r="A151" s="85"/>
      <c r="B151" s="85"/>
      <c r="C151" s="85"/>
      <c r="D151" s="85"/>
      <c r="E151" s="85"/>
      <c r="F151" s="85"/>
      <c r="G151" s="86"/>
      <c r="H151" s="85"/>
      <c r="I151" s="87"/>
      <c r="J151" s="87"/>
      <c r="K151" s="88"/>
      <c r="L151" s="88"/>
      <c r="M151" s="88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</row>
    <row r="152">
      <c r="A152" s="85"/>
      <c r="B152" s="85"/>
      <c r="C152" s="85"/>
      <c r="D152" s="85"/>
      <c r="E152" s="85"/>
      <c r="F152" s="85"/>
      <c r="G152" s="86"/>
      <c r="H152" s="85"/>
      <c r="I152" s="87"/>
      <c r="J152" s="87"/>
      <c r="K152" s="88"/>
      <c r="L152" s="88"/>
      <c r="M152" s="88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</row>
    <row r="153">
      <c r="A153" s="85"/>
      <c r="B153" s="85"/>
      <c r="C153" s="85"/>
      <c r="D153" s="85"/>
      <c r="E153" s="85"/>
      <c r="F153" s="85"/>
      <c r="G153" s="86"/>
      <c r="H153" s="85"/>
      <c r="I153" s="87"/>
      <c r="J153" s="87"/>
      <c r="K153" s="88"/>
      <c r="L153" s="88"/>
      <c r="M153" s="88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</row>
    <row r="154">
      <c r="A154" s="85"/>
      <c r="B154" s="85"/>
      <c r="C154" s="85"/>
      <c r="D154" s="85"/>
      <c r="E154" s="85"/>
      <c r="F154" s="85"/>
      <c r="G154" s="86"/>
      <c r="H154" s="85"/>
      <c r="I154" s="87"/>
      <c r="J154" s="87"/>
      <c r="K154" s="88"/>
      <c r="L154" s="88"/>
      <c r="M154" s="88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</row>
    <row r="155">
      <c r="A155" s="85"/>
      <c r="B155" s="85"/>
      <c r="C155" s="85"/>
      <c r="D155" s="85"/>
      <c r="E155" s="85"/>
      <c r="F155" s="85"/>
      <c r="G155" s="86"/>
      <c r="H155" s="85"/>
      <c r="I155" s="87"/>
      <c r="J155" s="87"/>
      <c r="K155" s="88"/>
      <c r="L155" s="88"/>
      <c r="M155" s="88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</row>
    <row r="156">
      <c r="A156" s="85"/>
      <c r="B156" s="85"/>
      <c r="C156" s="85"/>
      <c r="D156" s="85"/>
      <c r="E156" s="85"/>
      <c r="F156" s="85"/>
      <c r="G156" s="86"/>
      <c r="H156" s="85"/>
      <c r="I156" s="87"/>
      <c r="J156" s="87"/>
      <c r="K156" s="88"/>
      <c r="L156" s="88"/>
      <c r="M156" s="88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</row>
    <row r="157">
      <c r="A157" s="85"/>
      <c r="B157" s="85"/>
      <c r="C157" s="85"/>
      <c r="D157" s="85"/>
      <c r="E157" s="85"/>
      <c r="F157" s="85"/>
      <c r="G157" s="86"/>
      <c r="H157" s="85"/>
      <c r="I157" s="87"/>
      <c r="J157" s="87"/>
      <c r="K157" s="88"/>
      <c r="L157" s="88"/>
      <c r="M157" s="88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</row>
    <row r="158">
      <c r="A158" s="85"/>
      <c r="B158" s="85"/>
      <c r="C158" s="85"/>
      <c r="D158" s="85"/>
      <c r="E158" s="85"/>
      <c r="F158" s="85"/>
      <c r="G158" s="86"/>
      <c r="H158" s="85"/>
      <c r="I158" s="87"/>
      <c r="J158" s="87"/>
      <c r="K158" s="88"/>
      <c r="L158" s="88"/>
      <c r="M158" s="88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</row>
    <row r="159">
      <c r="A159" s="85"/>
      <c r="B159" s="85"/>
      <c r="C159" s="85"/>
      <c r="D159" s="85"/>
      <c r="E159" s="85"/>
      <c r="F159" s="85"/>
      <c r="G159" s="86"/>
      <c r="H159" s="85"/>
      <c r="I159" s="87"/>
      <c r="J159" s="87"/>
      <c r="K159" s="88"/>
      <c r="L159" s="88"/>
      <c r="M159" s="88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</row>
    <row r="160">
      <c r="A160" s="85"/>
      <c r="B160" s="85"/>
      <c r="C160" s="85"/>
      <c r="D160" s="85"/>
      <c r="E160" s="85"/>
      <c r="F160" s="85"/>
      <c r="G160" s="86"/>
      <c r="H160" s="85"/>
      <c r="I160" s="87"/>
      <c r="J160" s="87"/>
      <c r="K160" s="88"/>
      <c r="L160" s="88"/>
      <c r="M160" s="88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</row>
    <row r="161">
      <c r="A161" s="85"/>
      <c r="B161" s="85"/>
      <c r="C161" s="85"/>
      <c r="D161" s="85"/>
      <c r="E161" s="85"/>
      <c r="F161" s="85"/>
      <c r="G161" s="86"/>
      <c r="H161" s="85"/>
      <c r="I161" s="87"/>
      <c r="J161" s="87"/>
      <c r="K161" s="88"/>
      <c r="L161" s="88"/>
      <c r="M161" s="88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</row>
    <row r="162">
      <c r="A162" s="85"/>
      <c r="B162" s="85"/>
      <c r="C162" s="85"/>
      <c r="D162" s="85"/>
      <c r="E162" s="85"/>
      <c r="F162" s="85"/>
      <c r="G162" s="86"/>
      <c r="H162" s="85"/>
      <c r="I162" s="87"/>
      <c r="J162" s="87"/>
      <c r="K162" s="88"/>
      <c r="L162" s="88"/>
      <c r="M162" s="88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</row>
    <row r="163">
      <c r="A163" s="85"/>
      <c r="B163" s="85"/>
      <c r="C163" s="85"/>
      <c r="D163" s="85"/>
      <c r="E163" s="85"/>
      <c r="F163" s="85"/>
      <c r="G163" s="86"/>
      <c r="H163" s="85"/>
      <c r="I163" s="87"/>
      <c r="J163" s="87"/>
      <c r="K163" s="88"/>
      <c r="L163" s="88"/>
      <c r="M163" s="88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</row>
    <row r="164">
      <c r="A164" s="85"/>
      <c r="B164" s="85"/>
      <c r="C164" s="85"/>
      <c r="D164" s="85"/>
      <c r="E164" s="85"/>
      <c r="F164" s="85"/>
      <c r="G164" s="86"/>
      <c r="H164" s="85"/>
      <c r="I164" s="87"/>
      <c r="J164" s="87"/>
      <c r="K164" s="88"/>
      <c r="L164" s="88"/>
      <c r="M164" s="88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</row>
    <row r="165">
      <c r="A165" s="85"/>
      <c r="B165" s="85"/>
      <c r="C165" s="85"/>
      <c r="D165" s="85"/>
      <c r="E165" s="85"/>
      <c r="F165" s="85"/>
      <c r="G165" s="86"/>
      <c r="H165" s="85"/>
      <c r="I165" s="87"/>
      <c r="J165" s="87"/>
      <c r="K165" s="88"/>
      <c r="L165" s="88"/>
      <c r="M165" s="88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</row>
    <row r="166">
      <c r="A166" s="85"/>
      <c r="B166" s="85"/>
      <c r="C166" s="85"/>
      <c r="D166" s="85"/>
      <c r="E166" s="85"/>
      <c r="F166" s="85"/>
      <c r="G166" s="86"/>
      <c r="H166" s="85"/>
      <c r="I166" s="87"/>
      <c r="J166" s="87"/>
      <c r="K166" s="88"/>
      <c r="L166" s="88"/>
      <c r="M166" s="88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</row>
    <row r="167">
      <c r="A167" s="85"/>
      <c r="B167" s="85"/>
      <c r="C167" s="85"/>
      <c r="D167" s="85"/>
      <c r="E167" s="85"/>
      <c r="F167" s="85"/>
      <c r="G167" s="86"/>
      <c r="H167" s="85"/>
      <c r="I167" s="87"/>
      <c r="J167" s="87"/>
      <c r="K167" s="88"/>
      <c r="L167" s="88"/>
      <c r="M167" s="88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</row>
    <row r="168">
      <c r="A168" s="85"/>
      <c r="B168" s="85"/>
      <c r="C168" s="85"/>
      <c r="D168" s="85"/>
      <c r="E168" s="85"/>
      <c r="F168" s="85"/>
      <c r="G168" s="86"/>
      <c r="H168" s="85"/>
      <c r="I168" s="87"/>
      <c r="J168" s="87"/>
      <c r="K168" s="88"/>
      <c r="L168" s="88"/>
      <c r="M168" s="88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</row>
    <row r="169">
      <c r="A169" s="85"/>
      <c r="B169" s="85"/>
      <c r="C169" s="85"/>
      <c r="D169" s="85"/>
      <c r="E169" s="85"/>
      <c r="F169" s="85"/>
      <c r="G169" s="86"/>
      <c r="H169" s="85"/>
      <c r="I169" s="87"/>
      <c r="J169" s="87"/>
      <c r="K169" s="88"/>
      <c r="L169" s="88"/>
      <c r="M169" s="88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</row>
    <row r="170">
      <c r="A170" s="85"/>
      <c r="B170" s="85"/>
      <c r="C170" s="85"/>
      <c r="D170" s="85"/>
      <c r="E170" s="85"/>
      <c r="F170" s="85"/>
      <c r="G170" s="86"/>
      <c r="H170" s="85"/>
      <c r="I170" s="87"/>
      <c r="J170" s="87"/>
      <c r="K170" s="88"/>
      <c r="L170" s="88"/>
      <c r="M170" s="88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</row>
    <row r="171">
      <c r="A171" s="85"/>
      <c r="B171" s="85"/>
      <c r="C171" s="85"/>
      <c r="D171" s="85"/>
      <c r="E171" s="85"/>
      <c r="F171" s="85"/>
      <c r="G171" s="86"/>
      <c r="H171" s="85"/>
      <c r="I171" s="87"/>
      <c r="J171" s="87"/>
      <c r="K171" s="88"/>
      <c r="L171" s="88"/>
      <c r="M171" s="88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</row>
    <row r="172">
      <c r="A172" s="85"/>
      <c r="B172" s="85"/>
      <c r="C172" s="85"/>
      <c r="D172" s="85"/>
      <c r="E172" s="85"/>
      <c r="F172" s="85"/>
      <c r="G172" s="86"/>
      <c r="H172" s="85"/>
      <c r="I172" s="87"/>
      <c r="J172" s="87"/>
      <c r="K172" s="88"/>
      <c r="L172" s="88"/>
      <c r="M172" s="88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</row>
    <row r="173">
      <c r="A173" s="85"/>
      <c r="B173" s="85"/>
      <c r="C173" s="85"/>
      <c r="D173" s="85"/>
      <c r="E173" s="85"/>
      <c r="F173" s="85"/>
      <c r="G173" s="86"/>
      <c r="H173" s="85"/>
      <c r="I173" s="87"/>
      <c r="J173" s="87"/>
      <c r="K173" s="88"/>
      <c r="L173" s="88"/>
      <c r="M173" s="88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</row>
    <row r="174">
      <c r="A174" s="85"/>
      <c r="B174" s="85"/>
      <c r="C174" s="85"/>
      <c r="D174" s="85"/>
      <c r="E174" s="85"/>
      <c r="F174" s="85"/>
      <c r="G174" s="86"/>
      <c r="H174" s="85"/>
      <c r="I174" s="87"/>
      <c r="J174" s="87"/>
      <c r="K174" s="88"/>
      <c r="L174" s="88"/>
      <c r="M174" s="88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</row>
    <row r="175">
      <c r="A175" s="85"/>
      <c r="B175" s="85"/>
      <c r="C175" s="85"/>
      <c r="D175" s="85"/>
      <c r="E175" s="85"/>
      <c r="F175" s="85"/>
      <c r="G175" s="86"/>
      <c r="H175" s="85"/>
      <c r="I175" s="87"/>
      <c r="J175" s="87"/>
      <c r="K175" s="88"/>
      <c r="L175" s="88"/>
      <c r="M175" s="88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</row>
    <row r="176">
      <c r="A176" s="85"/>
      <c r="B176" s="85"/>
      <c r="C176" s="85"/>
      <c r="D176" s="85"/>
      <c r="E176" s="85"/>
      <c r="F176" s="85"/>
      <c r="G176" s="86"/>
      <c r="H176" s="85"/>
      <c r="I176" s="87"/>
      <c r="J176" s="87"/>
      <c r="K176" s="88"/>
      <c r="L176" s="88"/>
      <c r="M176" s="88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</row>
    <row r="177">
      <c r="A177" s="85"/>
      <c r="B177" s="85"/>
      <c r="C177" s="85"/>
      <c r="D177" s="85"/>
      <c r="E177" s="85"/>
      <c r="F177" s="85"/>
      <c r="G177" s="86"/>
      <c r="H177" s="85"/>
      <c r="I177" s="87"/>
      <c r="J177" s="87"/>
      <c r="K177" s="88"/>
      <c r="L177" s="88"/>
      <c r="M177" s="88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</row>
    <row r="178">
      <c r="A178" s="85"/>
      <c r="B178" s="85"/>
      <c r="C178" s="85"/>
      <c r="D178" s="85"/>
      <c r="E178" s="85"/>
      <c r="F178" s="85"/>
      <c r="G178" s="86"/>
      <c r="H178" s="85"/>
      <c r="I178" s="87"/>
      <c r="J178" s="87"/>
      <c r="K178" s="88"/>
      <c r="L178" s="88"/>
      <c r="M178" s="88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</row>
    <row r="179">
      <c r="A179" s="85"/>
      <c r="B179" s="85"/>
      <c r="C179" s="85"/>
      <c r="D179" s="85"/>
      <c r="E179" s="85"/>
      <c r="F179" s="85"/>
      <c r="G179" s="86"/>
      <c r="H179" s="85"/>
      <c r="I179" s="87"/>
      <c r="J179" s="87"/>
      <c r="K179" s="88"/>
      <c r="L179" s="88"/>
      <c r="M179" s="88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</row>
    <row r="180">
      <c r="A180" s="85"/>
      <c r="B180" s="85"/>
      <c r="C180" s="85"/>
      <c r="D180" s="85"/>
      <c r="E180" s="85"/>
      <c r="F180" s="85"/>
      <c r="G180" s="86"/>
      <c r="H180" s="85"/>
      <c r="I180" s="87"/>
      <c r="J180" s="87"/>
      <c r="K180" s="88"/>
      <c r="L180" s="88"/>
      <c r="M180" s="88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</row>
    <row r="181">
      <c r="A181" s="85"/>
      <c r="B181" s="85"/>
      <c r="C181" s="85"/>
      <c r="D181" s="85"/>
      <c r="E181" s="85"/>
      <c r="F181" s="85"/>
      <c r="G181" s="86"/>
      <c r="H181" s="85"/>
      <c r="I181" s="87"/>
      <c r="J181" s="87"/>
      <c r="K181" s="88"/>
      <c r="L181" s="88"/>
      <c r="M181" s="88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</row>
    <row r="182">
      <c r="A182" s="85"/>
      <c r="B182" s="85"/>
      <c r="C182" s="85"/>
      <c r="D182" s="85"/>
      <c r="E182" s="85"/>
      <c r="F182" s="85"/>
      <c r="G182" s="86"/>
      <c r="H182" s="85"/>
      <c r="I182" s="87"/>
      <c r="J182" s="87"/>
      <c r="K182" s="88"/>
      <c r="L182" s="88"/>
      <c r="M182" s="88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</row>
    <row r="183">
      <c r="A183" s="85"/>
      <c r="B183" s="85"/>
      <c r="C183" s="85"/>
      <c r="D183" s="85"/>
      <c r="E183" s="85"/>
      <c r="F183" s="85"/>
      <c r="G183" s="86"/>
      <c r="H183" s="85"/>
      <c r="I183" s="87"/>
      <c r="J183" s="87"/>
      <c r="K183" s="88"/>
      <c r="L183" s="88"/>
      <c r="M183" s="88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</row>
    <row r="184">
      <c r="A184" s="85"/>
      <c r="B184" s="85"/>
      <c r="C184" s="85"/>
      <c r="D184" s="85"/>
      <c r="E184" s="85"/>
      <c r="F184" s="85"/>
      <c r="G184" s="86"/>
      <c r="H184" s="85"/>
      <c r="I184" s="87"/>
      <c r="J184" s="87"/>
      <c r="K184" s="88"/>
      <c r="L184" s="88"/>
      <c r="M184" s="88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</row>
    <row r="185">
      <c r="A185" s="85"/>
      <c r="B185" s="85"/>
      <c r="C185" s="85"/>
      <c r="D185" s="85"/>
      <c r="E185" s="85"/>
      <c r="F185" s="85"/>
      <c r="G185" s="86"/>
      <c r="H185" s="85"/>
      <c r="I185" s="87"/>
      <c r="J185" s="87"/>
      <c r="K185" s="88"/>
      <c r="L185" s="88"/>
      <c r="M185" s="88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</row>
    <row r="186">
      <c r="A186" s="85"/>
      <c r="B186" s="85"/>
      <c r="C186" s="85"/>
      <c r="D186" s="85"/>
      <c r="E186" s="85"/>
      <c r="F186" s="85"/>
      <c r="G186" s="86"/>
      <c r="H186" s="85"/>
      <c r="I186" s="87"/>
      <c r="J186" s="87"/>
      <c r="K186" s="88"/>
      <c r="L186" s="88"/>
      <c r="M186" s="88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</row>
    <row r="187">
      <c r="A187" s="85"/>
      <c r="B187" s="85"/>
      <c r="C187" s="85"/>
      <c r="D187" s="85"/>
      <c r="E187" s="85"/>
      <c r="F187" s="85"/>
      <c r="G187" s="86"/>
      <c r="H187" s="85"/>
      <c r="I187" s="87"/>
      <c r="J187" s="87"/>
      <c r="K187" s="88"/>
      <c r="L187" s="88"/>
      <c r="M187" s="88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</row>
    <row r="188">
      <c r="A188" s="85"/>
      <c r="B188" s="85"/>
      <c r="C188" s="85"/>
      <c r="D188" s="85"/>
      <c r="E188" s="85"/>
      <c r="F188" s="85"/>
      <c r="G188" s="86"/>
      <c r="H188" s="85"/>
      <c r="I188" s="87"/>
      <c r="J188" s="87"/>
      <c r="K188" s="88"/>
      <c r="L188" s="88"/>
      <c r="M188" s="88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</row>
    <row r="189">
      <c r="A189" s="85"/>
      <c r="B189" s="85"/>
      <c r="C189" s="85"/>
      <c r="D189" s="85"/>
      <c r="E189" s="85"/>
      <c r="F189" s="85"/>
      <c r="G189" s="86"/>
      <c r="H189" s="85"/>
      <c r="I189" s="87"/>
      <c r="J189" s="87"/>
      <c r="K189" s="88"/>
      <c r="L189" s="88"/>
      <c r="M189" s="88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</row>
    <row r="190">
      <c r="A190" s="85"/>
      <c r="B190" s="85"/>
      <c r="C190" s="85"/>
      <c r="D190" s="85"/>
      <c r="E190" s="85"/>
      <c r="F190" s="85"/>
      <c r="G190" s="86"/>
      <c r="H190" s="85"/>
      <c r="I190" s="87"/>
      <c r="J190" s="87"/>
      <c r="K190" s="88"/>
      <c r="L190" s="88"/>
      <c r="M190" s="88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</row>
    <row r="191">
      <c r="A191" s="85"/>
      <c r="B191" s="85"/>
      <c r="C191" s="85"/>
      <c r="D191" s="85"/>
      <c r="E191" s="85"/>
      <c r="F191" s="85"/>
      <c r="G191" s="86"/>
      <c r="H191" s="85"/>
      <c r="I191" s="87"/>
      <c r="J191" s="87"/>
      <c r="K191" s="88"/>
      <c r="L191" s="88"/>
      <c r="M191" s="88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</row>
    <row r="192">
      <c r="A192" s="85"/>
      <c r="B192" s="85"/>
      <c r="C192" s="85"/>
      <c r="D192" s="85"/>
      <c r="E192" s="85"/>
      <c r="F192" s="85"/>
      <c r="G192" s="86"/>
      <c r="H192" s="85"/>
      <c r="I192" s="87"/>
      <c r="J192" s="87"/>
      <c r="K192" s="88"/>
      <c r="L192" s="88"/>
      <c r="M192" s="88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</row>
    <row r="193">
      <c r="A193" s="85"/>
      <c r="B193" s="85"/>
      <c r="C193" s="85"/>
      <c r="D193" s="85"/>
      <c r="E193" s="85"/>
      <c r="F193" s="85"/>
      <c r="G193" s="86"/>
      <c r="H193" s="85"/>
      <c r="I193" s="87"/>
      <c r="J193" s="87"/>
      <c r="K193" s="88"/>
      <c r="L193" s="88"/>
      <c r="M193" s="88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</row>
    <row r="194">
      <c r="A194" s="85"/>
      <c r="B194" s="85"/>
      <c r="C194" s="85"/>
      <c r="D194" s="85"/>
      <c r="E194" s="85"/>
      <c r="F194" s="85"/>
      <c r="G194" s="86"/>
      <c r="H194" s="85"/>
      <c r="I194" s="87"/>
      <c r="J194" s="87"/>
      <c r="K194" s="88"/>
      <c r="L194" s="88"/>
      <c r="M194" s="88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</row>
    <row r="195">
      <c r="A195" s="85"/>
      <c r="B195" s="85"/>
      <c r="C195" s="85"/>
      <c r="D195" s="85"/>
      <c r="E195" s="85"/>
      <c r="F195" s="85"/>
      <c r="G195" s="86"/>
      <c r="H195" s="85"/>
      <c r="I195" s="87"/>
      <c r="J195" s="87"/>
      <c r="K195" s="88"/>
      <c r="L195" s="88"/>
      <c r="M195" s="88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</row>
    <row r="196">
      <c r="A196" s="85"/>
      <c r="B196" s="85"/>
      <c r="C196" s="85"/>
      <c r="D196" s="85"/>
      <c r="E196" s="85"/>
      <c r="F196" s="85"/>
      <c r="G196" s="86"/>
      <c r="H196" s="85"/>
      <c r="I196" s="87"/>
      <c r="J196" s="87"/>
      <c r="K196" s="88"/>
      <c r="L196" s="88"/>
      <c r="M196" s="88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</row>
    <row r="197">
      <c r="A197" s="85"/>
      <c r="B197" s="85"/>
      <c r="C197" s="85"/>
      <c r="D197" s="85"/>
      <c r="E197" s="85"/>
      <c r="F197" s="85"/>
      <c r="G197" s="86"/>
      <c r="H197" s="85"/>
      <c r="I197" s="87"/>
      <c r="J197" s="87"/>
      <c r="K197" s="88"/>
      <c r="L197" s="88"/>
      <c r="M197" s="88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</row>
    <row r="198">
      <c r="A198" s="85"/>
      <c r="B198" s="85"/>
      <c r="C198" s="85"/>
      <c r="D198" s="85"/>
      <c r="E198" s="85"/>
      <c r="F198" s="85"/>
      <c r="G198" s="86"/>
      <c r="H198" s="85"/>
      <c r="I198" s="87"/>
      <c r="J198" s="87"/>
      <c r="K198" s="88"/>
      <c r="L198" s="88"/>
      <c r="M198" s="88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</row>
    <row r="199">
      <c r="A199" s="85"/>
      <c r="B199" s="85"/>
      <c r="C199" s="85"/>
      <c r="D199" s="85"/>
      <c r="E199" s="85"/>
      <c r="F199" s="85"/>
      <c r="G199" s="86"/>
      <c r="H199" s="85"/>
      <c r="I199" s="87"/>
      <c r="J199" s="87"/>
      <c r="K199" s="88"/>
      <c r="L199" s="88"/>
      <c r="M199" s="88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</row>
    <row r="200">
      <c r="A200" s="85"/>
      <c r="B200" s="85"/>
      <c r="C200" s="85"/>
      <c r="D200" s="85"/>
      <c r="E200" s="85"/>
      <c r="F200" s="85"/>
      <c r="G200" s="86"/>
      <c r="H200" s="85"/>
      <c r="I200" s="87"/>
      <c r="J200" s="87"/>
      <c r="K200" s="88"/>
      <c r="L200" s="88"/>
      <c r="M200" s="88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</row>
    <row r="201">
      <c r="A201" s="85"/>
      <c r="B201" s="85"/>
      <c r="C201" s="85"/>
      <c r="D201" s="85"/>
      <c r="E201" s="85"/>
      <c r="F201" s="85"/>
      <c r="G201" s="86"/>
      <c r="H201" s="85"/>
      <c r="I201" s="87"/>
      <c r="J201" s="87"/>
      <c r="K201" s="88"/>
      <c r="L201" s="88"/>
      <c r="M201" s="88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</row>
    <row r="202">
      <c r="A202" s="85"/>
      <c r="B202" s="85"/>
      <c r="C202" s="85"/>
      <c r="D202" s="85"/>
      <c r="E202" s="85"/>
      <c r="F202" s="85"/>
      <c r="G202" s="86"/>
      <c r="H202" s="85"/>
      <c r="I202" s="87"/>
      <c r="J202" s="87"/>
      <c r="K202" s="88"/>
      <c r="L202" s="88"/>
      <c r="M202" s="88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</row>
    <row r="203">
      <c r="A203" s="85"/>
      <c r="B203" s="85"/>
      <c r="C203" s="85"/>
      <c r="D203" s="85"/>
      <c r="E203" s="85"/>
      <c r="F203" s="85"/>
      <c r="G203" s="86"/>
      <c r="H203" s="85"/>
      <c r="I203" s="87"/>
      <c r="J203" s="87"/>
      <c r="K203" s="88"/>
      <c r="L203" s="88"/>
      <c r="M203" s="88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</row>
    <row r="204">
      <c r="A204" s="85"/>
      <c r="B204" s="85"/>
      <c r="C204" s="85"/>
      <c r="D204" s="85"/>
      <c r="E204" s="85"/>
      <c r="F204" s="85"/>
      <c r="G204" s="86"/>
      <c r="H204" s="85"/>
      <c r="I204" s="87"/>
      <c r="J204" s="87"/>
      <c r="K204" s="88"/>
      <c r="L204" s="88"/>
      <c r="M204" s="88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</row>
    <row r="205">
      <c r="A205" s="85"/>
      <c r="B205" s="85"/>
      <c r="C205" s="85"/>
      <c r="D205" s="85"/>
      <c r="E205" s="85"/>
      <c r="F205" s="85"/>
      <c r="G205" s="86"/>
      <c r="H205" s="85"/>
      <c r="I205" s="87"/>
      <c r="J205" s="87"/>
      <c r="K205" s="88"/>
      <c r="L205" s="88"/>
      <c r="M205" s="88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</row>
    <row r="206">
      <c r="A206" s="85"/>
      <c r="B206" s="85"/>
      <c r="C206" s="85"/>
      <c r="D206" s="85"/>
      <c r="E206" s="85"/>
      <c r="F206" s="85"/>
      <c r="G206" s="86"/>
      <c r="H206" s="85"/>
      <c r="I206" s="87"/>
      <c r="J206" s="87"/>
      <c r="K206" s="88"/>
      <c r="L206" s="88"/>
      <c r="M206" s="88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</row>
    <row r="207">
      <c r="A207" s="85"/>
      <c r="B207" s="85"/>
      <c r="C207" s="85"/>
      <c r="D207" s="85"/>
      <c r="E207" s="85"/>
      <c r="F207" s="85"/>
      <c r="G207" s="86"/>
      <c r="H207" s="85"/>
      <c r="I207" s="87"/>
      <c r="J207" s="87"/>
      <c r="K207" s="88"/>
      <c r="L207" s="88"/>
      <c r="M207" s="88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</row>
    <row r="208">
      <c r="A208" s="85"/>
      <c r="B208" s="85"/>
      <c r="C208" s="85"/>
      <c r="D208" s="85"/>
      <c r="E208" s="85"/>
      <c r="F208" s="85"/>
      <c r="G208" s="86"/>
      <c r="H208" s="85"/>
      <c r="I208" s="87"/>
      <c r="J208" s="87"/>
      <c r="K208" s="88"/>
      <c r="L208" s="88"/>
      <c r="M208" s="88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</row>
    <row r="209">
      <c r="A209" s="85"/>
      <c r="B209" s="85"/>
      <c r="C209" s="85"/>
      <c r="D209" s="85"/>
      <c r="E209" s="85"/>
      <c r="F209" s="85"/>
      <c r="G209" s="86"/>
      <c r="H209" s="85"/>
      <c r="I209" s="87"/>
      <c r="J209" s="87"/>
      <c r="K209" s="88"/>
      <c r="L209" s="88"/>
      <c r="M209" s="88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</row>
    <row r="210">
      <c r="A210" s="85"/>
      <c r="B210" s="85"/>
      <c r="C210" s="85"/>
      <c r="D210" s="85"/>
      <c r="E210" s="85"/>
      <c r="F210" s="85"/>
      <c r="G210" s="86"/>
      <c r="H210" s="85"/>
      <c r="I210" s="87"/>
      <c r="J210" s="87"/>
      <c r="K210" s="88"/>
      <c r="L210" s="88"/>
      <c r="M210" s="88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</row>
    <row r="211">
      <c r="A211" s="85"/>
      <c r="B211" s="85"/>
      <c r="C211" s="85"/>
      <c r="D211" s="85"/>
      <c r="E211" s="85"/>
      <c r="F211" s="85"/>
      <c r="G211" s="86"/>
      <c r="H211" s="85"/>
      <c r="I211" s="87"/>
      <c r="J211" s="87"/>
      <c r="K211" s="88"/>
      <c r="L211" s="88"/>
      <c r="M211" s="88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</row>
    <row r="212">
      <c r="A212" s="85"/>
      <c r="B212" s="85"/>
      <c r="C212" s="85"/>
      <c r="D212" s="85"/>
      <c r="E212" s="85"/>
      <c r="F212" s="85"/>
      <c r="G212" s="86"/>
      <c r="H212" s="85"/>
      <c r="I212" s="87"/>
      <c r="J212" s="87"/>
      <c r="K212" s="88"/>
      <c r="L212" s="88"/>
      <c r="M212" s="88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</row>
    <row r="213">
      <c r="A213" s="85"/>
      <c r="B213" s="85"/>
      <c r="C213" s="85"/>
      <c r="D213" s="85"/>
      <c r="E213" s="85"/>
      <c r="F213" s="85"/>
      <c r="G213" s="86"/>
      <c r="H213" s="85"/>
      <c r="I213" s="87"/>
      <c r="J213" s="87"/>
      <c r="K213" s="88"/>
      <c r="L213" s="88"/>
      <c r="M213" s="88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</row>
    <row r="214">
      <c r="A214" s="85"/>
      <c r="B214" s="85"/>
      <c r="C214" s="85"/>
      <c r="D214" s="85"/>
      <c r="E214" s="85"/>
      <c r="F214" s="85"/>
      <c r="G214" s="86"/>
      <c r="H214" s="85"/>
      <c r="I214" s="87"/>
      <c r="J214" s="87"/>
      <c r="K214" s="88"/>
      <c r="L214" s="88"/>
      <c r="M214" s="88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</row>
    <row r="215">
      <c r="A215" s="85"/>
      <c r="B215" s="85"/>
      <c r="C215" s="85"/>
      <c r="D215" s="85"/>
      <c r="E215" s="85"/>
      <c r="F215" s="85"/>
      <c r="G215" s="86"/>
      <c r="H215" s="85"/>
      <c r="I215" s="87"/>
      <c r="J215" s="87"/>
      <c r="K215" s="88"/>
      <c r="L215" s="88"/>
      <c r="M215" s="88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</row>
    <row r="216">
      <c r="A216" s="85"/>
      <c r="B216" s="85"/>
      <c r="C216" s="85"/>
      <c r="D216" s="85"/>
      <c r="E216" s="85"/>
      <c r="F216" s="85"/>
      <c r="G216" s="86"/>
      <c r="H216" s="85"/>
      <c r="I216" s="87"/>
      <c r="J216" s="87"/>
      <c r="K216" s="88"/>
      <c r="L216" s="88"/>
      <c r="M216" s="88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</row>
    <row r="217">
      <c r="A217" s="85"/>
      <c r="B217" s="85"/>
      <c r="C217" s="85"/>
      <c r="D217" s="85"/>
      <c r="E217" s="85"/>
      <c r="F217" s="85"/>
      <c r="G217" s="86"/>
      <c r="H217" s="85"/>
      <c r="I217" s="87"/>
      <c r="J217" s="87"/>
      <c r="K217" s="88"/>
      <c r="L217" s="88"/>
      <c r="M217" s="88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</row>
    <row r="218">
      <c r="A218" s="85"/>
      <c r="B218" s="85"/>
      <c r="C218" s="85"/>
      <c r="D218" s="85"/>
      <c r="E218" s="85"/>
      <c r="F218" s="85"/>
      <c r="G218" s="86"/>
      <c r="H218" s="85"/>
      <c r="I218" s="87"/>
      <c r="J218" s="87"/>
      <c r="K218" s="88"/>
      <c r="L218" s="88"/>
      <c r="M218" s="88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</row>
    <row r="219">
      <c r="A219" s="85"/>
      <c r="B219" s="85"/>
      <c r="C219" s="85"/>
      <c r="D219" s="85"/>
      <c r="E219" s="85"/>
      <c r="F219" s="85"/>
      <c r="G219" s="86"/>
      <c r="H219" s="85"/>
      <c r="I219" s="87"/>
      <c r="J219" s="87"/>
      <c r="K219" s="88"/>
      <c r="L219" s="88"/>
      <c r="M219" s="88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</row>
    <row r="220">
      <c r="A220" s="85"/>
      <c r="B220" s="85"/>
      <c r="C220" s="85"/>
      <c r="D220" s="85"/>
      <c r="E220" s="85"/>
      <c r="F220" s="85"/>
      <c r="G220" s="86"/>
      <c r="H220" s="85"/>
      <c r="I220" s="87"/>
      <c r="J220" s="87"/>
      <c r="K220" s="88"/>
      <c r="L220" s="88"/>
      <c r="M220" s="88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</row>
    <row r="221">
      <c r="A221" s="85"/>
      <c r="B221" s="85"/>
      <c r="C221" s="85"/>
      <c r="D221" s="85"/>
      <c r="E221" s="85"/>
      <c r="F221" s="85"/>
      <c r="G221" s="86"/>
      <c r="H221" s="85"/>
      <c r="I221" s="87"/>
      <c r="J221" s="87"/>
      <c r="K221" s="88"/>
      <c r="L221" s="88"/>
      <c r="M221" s="88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</row>
    <row r="222">
      <c r="A222" s="85"/>
      <c r="B222" s="85"/>
      <c r="C222" s="85"/>
      <c r="D222" s="85"/>
      <c r="E222" s="85"/>
      <c r="F222" s="85"/>
      <c r="G222" s="86"/>
      <c r="H222" s="85"/>
      <c r="I222" s="87"/>
      <c r="J222" s="87"/>
      <c r="K222" s="88"/>
      <c r="L222" s="88"/>
      <c r="M222" s="88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  <c r="AA222" s="80"/>
    </row>
    <row r="223">
      <c r="A223" s="85"/>
      <c r="B223" s="85"/>
      <c r="C223" s="85"/>
      <c r="D223" s="85"/>
      <c r="E223" s="85"/>
      <c r="F223" s="85"/>
      <c r="G223" s="86"/>
      <c r="H223" s="85"/>
      <c r="I223" s="87"/>
      <c r="J223" s="87"/>
      <c r="K223" s="88"/>
      <c r="L223" s="88"/>
      <c r="M223" s="88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  <c r="AA223" s="80"/>
    </row>
    <row r="224">
      <c r="A224" s="85"/>
      <c r="B224" s="85"/>
      <c r="C224" s="85"/>
      <c r="D224" s="85"/>
      <c r="E224" s="85"/>
      <c r="F224" s="85"/>
      <c r="G224" s="86"/>
      <c r="H224" s="85"/>
      <c r="I224" s="87"/>
      <c r="J224" s="87"/>
      <c r="K224" s="88"/>
      <c r="L224" s="88"/>
      <c r="M224" s="88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</row>
    <row r="225">
      <c r="A225" s="85"/>
      <c r="B225" s="85"/>
      <c r="C225" s="85"/>
      <c r="D225" s="85"/>
      <c r="E225" s="85"/>
      <c r="F225" s="85"/>
      <c r="G225" s="86"/>
      <c r="H225" s="85"/>
      <c r="I225" s="87"/>
      <c r="J225" s="87"/>
      <c r="K225" s="88"/>
      <c r="L225" s="88"/>
      <c r="M225" s="88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  <c r="AA225" s="80"/>
    </row>
    <row r="226">
      <c r="A226" s="85"/>
      <c r="B226" s="85"/>
      <c r="C226" s="85"/>
      <c r="D226" s="85"/>
      <c r="E226" s="85"/>
      <c r="F226" s="85"/>
      <c r="G226" s="86"/>
      <c r="H226" s="85"/>
      <c r="I226" s="87"/>
      <c r="J226" s="87"/>
      <c r="K226" s="88"/>
      <c r="L226" s="88"/>
      <c r="M226" s="88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  <c r="AA226" s="80"/>
    </row>
    <row r="227">
      <c r="A227" s="85"/>
      <c r="B227" s="85"/>
      <c r="C227" s="85"/>
      <c r="D227" s="85"/>
      <c r="E227" s="85"/>
      <c r="F227" s="85"/>
      <c r="G227" s="86"/>
      <c r="H227" s="85"/>
      <c r="I227" s="87"/>
      <c r="J227" s="87"/>
      <c r="K227" s="88"/>
      <c r="L227" s="88"/>
      <c r="M227" s="88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  <c r="AA227" s="80"/>
    </row>
    <row r="228">
      <c r="A228" s="85"/>
      <c r="B228" s="85"/>
      <c r="C228" s="85"/>
      <c r="D228" s="85"/>
      <c r="E228" s="85"/>
      <c r="F228" s="85"/>
      <c r="G228" s="86"/>
      <c r="H228" s="85"/>
      <c r="I228" s="87"/>
      <c r="J228" s="87"/>
      <c r="K228" s="88"/>
      <c r="L228" s="88"/>
      <c r="M228" s="88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  <c r="AA228" s="80"/>
    </row>
    <row r="229">
      <c r="A229" s="85"/>
      <c r="B229" s="85"/>
      <c r="C229" s="85"/>
      <c r="D229" s="85"/>
      <c r="E229" s="85"/>
      <c r="F229" s="85"/>
      <c r="G229" s="86"/>
      <c r="H229" s="85"/>
      <c r="I229" s="87"/>
      <c r="J229" s="87"/>
      <c r="K229" s="88"/>
      <c r="L229" s="88"/>
      <c r="M229" s="88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  <c r="AA229" s="80"/>
    </row>
    <row r="230">
      <c r="A230" s="85"/>
      <c r="B230" s="85"/>
      <c r="C230" s="85"/>
      <c r="D230" s="85"/>
      <c r="E230" s="85"/>
      <c r="F230" s="85"/>
      <c r="G230" s="86"/>
      <c r="H230" s="85"/>
      <c r="I230" s="87"/>
      <c r="J230" s="87"/>
      <c r="K230" s="88"/>
      <c r="L230" s="88"/>
      <c r="M230" s="88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  <c r="AA230" s="80"/>
    </row>
    <row r="231">
      <c r="A231" s="85"/>
      <c r="B231" s="85"/>
      <c r="C231" s="85"/>
      <c r="D231" s="85"/>
      <c r="E231" s="85"/>
      <c r="F231" s="85"/>
      <c r="G231" s="86"/>
      <c r="H231" s="85"/>
      <c r="I231" s="87"/>
      <c r="J231" s="87"/>
      <c r="K231" s="88"/>
      <c r="L231" s="88"/>
      <c r="M231" s="88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  <c r="AA231" s="80"/>
    </row>
    <row r="232">
      <c r="A232" s="85"/>
      <c r="B232" s="85"/>
      <c r="C232" s="85"/>
      <c r="D232" s="85"/>
      <c r="E232" s="85"/>
      <c r="F232" s="85"/>
      <c r="G232" s="86"/>
      <c r="H232" s="85"/>
      <c r="I232" s="87"/>
      <c r="J232" s="87"/>
      <c r="K232" s="88"/>
      <c r="L232" s="88"/>
      <c r="M232" s="88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  <c r="AA232" s="80"/>
    </row>
    <row r="233">
      <c r="A233" s="85"/>
      <c r="B233" s="85"/>
      <c r="C233" s="85"/>
      <c r="D233" s="85"/>
      <c r="E233" s="85"/>
      <c r="F233" s="85"/>
      <c r="G233" s="86"/>
      <c r="H233" s="85"/>
      <c r="I233" s="87"/>
      <c r="J233" s="87"/>
      <c r="K233" s="88"/>
      <c r="L233" s="88"/>
      <c r="M233" s="88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  <c r="AA233" s="80"/>
    </row>
    <row r="234">
      <c r="A234" s="85"/>
      <c r="B234" s="85"/>
      <c r="C234" s="85"/>
      <c r="D234" s="85"/>
      <c r="E234" s="85"/>
      <c r="F234" s="85"/>
      <c r="G234" s="86"/>
      <c r="H234" s="85"/>
      <c r="I234" s="87"/>
      <c r="J234" s="87"/>
      <c r="K234" s="88"/>
      <c r="L234" s="88"/>
      <c r="M234" s="88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  <c r="AA234" s="80"/>
    </row>
    <row r="235">
      <c r="A235" s="85"/>
      <c r="B235" s="85"/>
      <c r="C235" s="85"/>
      <c r="D235" s="85"/>
      <c r="E235" s="85"/>
      <c r="F235" s="85"/>
      <c r="G235" s="86"/>
      <c r="H235" s="85"/>
      <c r="I235" s="87"/>
      <c r="J235" s="87"/>
      <c r="K235" s="88"/>
      <c r="L235" s="88"/>
      <c r="M235" s="88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  <c r="AA235" s="80"/>
    </row>
    <row r="236">
      <c r="A236" s="85"/>
      <c r="B236" s="85"/>
      <c r="C236" s="85"/>
      <c r="D236" s="85"/>
      <c r="E236" s="85"/>
      <c r="F236" s="85"/>
      <c r="G236" s="86"/>
      <c r="H236" s="85"/>
      <c r="I236" s="87"/>
      <c r="J236" s="87"/>
      <c r="K236" s="88"/>
      <c r="L236" s="88"/>
      <c r="M236" s="88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0"/>
    </row>
    <row r="237">
      <c r="A237" s="85"/>
      <c r="B237" s="85"/>
      <c r="C237" s="85"/>
      <c r="D237" s="85"/>
      <c r="E237" s="85"/>
      <c r="F237" s="85"/>
      <c r="G237" s="86"/>
      <c r="H237" s="85"/>
      <c r="I237" s="87"/>
      <c r="J237" s="87"/>
      <c r="K237" s="88"/>
      <c r="L237" s="88"/>
      <c r="M237" s="88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  <c r="AA237" s="80"/>
    </row>
    <row r="238">
      <c r="A238" s="85"/>
      <c r="B238" s="85"/>
      <c r="C238" s="85"/>
      <c r="D238" s="85"/>
      <c r="E238" s="85"/>
      <c r="F238" s="85"/>
      <c r="G238" s="86"/>
      <c r="H238" s="85"/>
      <c r="I238" s="87"/>
      <c r="J238" s="87"/>
      <c r="K238" s="88"/>
      <c r="L238" s="88"/>
      <c r="M238" s="88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  <c r="AA238" s="80"/>
    </row>
    <row r="239">
      <c r="A239" s="85"/>
      <c r="B239" s="85"/>
      <c r="C239" s="85"/>
      <c r="D239" s="85"/>
      <c r="E239" s="85"/>
      <c r="F239" s="85"/>
      <c r="G239" s="86"/>
      <c r="H239" s="85"/>
      <c r="I239" s="87"/>
      <c r="J239" s="87"/>
      <c r="K239" s="88"/>
      <c r="L239" s="88"/>
      <c r="M239" s="88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  <c r="AA239" s="80"/>
    </row>
    <row r="240">
      <c r="A240" s="85"/>
      <c r="B240" s="85"/>
      <c r="C240" s="85"/>
      <c r="D240" s="85"/>
      <c r="E240" s="85"/>
      <c r="F240" s="85"/>
      <c r="G240" s="86"/>
      <c r="H240" s="85"/>
      <c r="I240" s="87"/>
      <c r="J240" s="87"/>
      <c r="K240" s="88"/>
      <c r="L240" s="88"/>
      <c r="M240" s="88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  <c r="AA240" s="80"/>
    </row>
    <row r="241">
      <c r="A241" s="85"/>
      <c r="B241" s="85"/>
      <c r="C241" s="85"/>
      <c r="D241" s="85"/>
      <c r="E241" s="85"/>
      <c r="F241" s="85"/>
      <c r="G241" s="86"/>
      <c r="H241" s="85"/>
      <c r="I241" s="87"/>
      <c r="J241" s="87"/>
      <c r="K241" s="88"/>
      <c r="L241" s="88"/>
      <c r="M241" s="88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  <c r="AA241" s="80"/>
    </row>
    <row r="242">
      <c r="A242" s="85"/>
      <c r="B242" s="85"/>
      <c r="C242" s="85"/>
      <c r="D242" s="85"/>
      <c r="E242" s="85"/>
      <c r="F242" s="85"/>
      <c r="G242" s="86"/>
      <c r="H242" s="85"/>
      <c r="I242" s="87"/>
      <c r="J242" s="87"/>
      <c r="K242" s="88"/>
      <c r="L242" s="88"/>
      <c r="M242" s="88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  <c r="AA242" s="80"/>
    </row>
    <row r="243">
      <c r="A243" s="85"/>
      <c r="B243" s="85"/>
      <c r="C243" s="85"/>
      <c r="D243" s="85"/>
      <c r="E243" s="85"/>
      <c r="F243" s="85"/>
      <c r="G243" s="86"/>
      <c r="H243" s="85"/>
      <c r="I243" s="87"/>
      <c r="J243" s="87"/>
      <c r="K243" s="88"/>
      <c r="L243" s="88"/>
      <c r="M243" s="88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</row>
    <row r="244">
      <c r="A244" s="85"/>
      <c r="B244" s="85"/>
      <c r="C244" s="85"/>
      <c r="D244" s="85"/>
      <c r="E244" s="85"/>
      <c r="F244" s="85"/>
      <c r="G244" s="86"/>
      <c r="H244" s="85"/>
      <c r="I244" s="87"/>
      <c r="J244" s="87"/>
      <c r="K244" s="88"/>
      <c r="L244" s="88"/>
      <c r="M244" s="88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  <c r="AA244" s="80"/>
    </row>
    <row r="245">
      <c r="A245" s="85"/>
      <c r="B245" s="85"/>
      <c r="C245" s="85"/>
      <c r="D245" s="85"/>
      <c r="E245" s="85"/>
      <c r="F245" s="85"/>
      <c r="G245" s="86"/>
      <c r="H245" s="85"/>
      <c r="I245" s="87"/>
      <c r="J245" s="87"/>
      <c r="K245" s="88"/>
      <c r="L245" s="88"/>
      <c r="M245" s="88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  <c r="AA245" s="80"/>
    </row>
    <row r="246">
      <c r="A246" s="85"/>
      <c r="B246" s="85"/>
      <c r="C246" s="85"/>
      <c r="D246" s="85"/>
      <c r="E246" s="85"/>
      <c r="F246" s="85"/>
      <c r="G246" s="86"/>
      <c r="H246" s="85"/>
      <c r="I246" s="87"/>
      <c r="J246" s="87"/>
      <c r="K246" s="88"/>
      <c r="L246" s="88"/>
      <c r="M246" s="88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  <c r="AA246" s="80"/>
    </row>
    <row r="247">
      <c r="A247" s="85"/>
      <c r="B247" s="85"/>
      <c r="C247" s="85"/>
      <c r="D247" s="85"/>
      <c r="E247" s="85"/>
      <c r="F247" s="85"/>
      <c r="G247" s="86"/>
      <c r="H247" s="85"/>
      <c r="I247" s="87"/>
      <c r="J247" s="87"/>
      <c r="K247" s="88"/>
      <c r="L247" s="88"/>
      <c r="M247" s="88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  <c r="AA247" s="80"/>
    </row>
    <row r="248">
      <c r="A248" s="85"/>
      <c r="B248" s="85"/>
      <c r="C248" s="85"/>
      <c r="D248" s="85"/>
      <c r="E248" s="85"/>
      <c r="F248" s="85"/>
      <c r="G248" s="86"/>
      <c r="H248" s="85"/>
      <c r="I248" s="87"/>
      <c r="J248" s="87"/>
      <c r="K248" s="88"/>
      <c r="L248" s="88"/>
      <c r="M248" s="88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  <c r="AA248" s="80"/>
    </row>
    <row r="249">
      <c r="A249" s="85"/>
      <c r="B249" s="85"/>
      <c r="C249" s="85"/>
      <c r="D249" s="85"/>
      <c r="E249" s="85"/>
      <c r="F249" s="85"/>
      <c r="G249" s="86"/>
      <c r="H249" s="85"/>
      <c r="I249" s="87"/>
      <c r="J249" s="87"/>
      <c r="K249" s="88"/>
      <c r="L249" s="88"/>
      <c r="M249" s="88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  <c r="AA249" s="80"/>
    </row>
    <row r="250">
      <c r="A250" s="85"/>
      <c r="B250" s="85"/>
      <c r="C250" s="85"/>
      <c r="D250" s="85"/>
      <c r="E250" s="85"/>
      <c r="F250" s="85"/>
      <c r="G250" s="86"/>
      <c r="H250" s="85"/>
      <c r="I250" s="87"/>
      <c r="J250" s="87"/>
      <c r="K250" s="88"/>
      <c r="L250" s="88"/>
      <c r="M250" s="88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  <c r="AA250" s="80"/>
    </row>
    <row r="251">
      <c r="A251" s="85"/>
      <c r="B251" s="85"/>
      <c r="C251" s="85"/>
      <c r="D251" s="85"/>
      <c r="E251" s="85"/>
      <c r="F251" s="85"/>
      <c r="G251" s="86"/>
      <c r="H251" s="85"/>
      <c r="I251" s="87"/>
      <c r="J251" s="87"/>
      <c r="K251" s="88"/>
      <c r="L251" s="88"/>
      <c r="M251" s="88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  <c r="AA251" s="80"/>
    </row>
    <row r="252">
      <c r="A252" s="85"/>
      <c r="B252" s="85"/>
      <c r="C252" s="85"/>
      <c r="D252" s="85"/>
      <c r="E252" s="85"/>
      <c r="F252" s="85"/>
      <c r="G252" s="86"/>
      <c r="H252" s="85"/>
      <c r="I252" s="87"/>
      <c r="J252" s="87"/>
      <c r="K252" s="88"/>
      <c r="L252" s="88"/>
      <c r="M252" s="88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  <c r="AA252" s="80"/>
    </row>
    <row r="253">
      <c r="A253" s="85"/>
      <c r="B253" s="85"/>
      <c r="C253" s="85"/>
      <c r="D253" s="85"/>
      <c r="E253" s="85"/>
      <c r="F253" s="85"/>
      <c r="G253" s="86"/>
      <c r="H253" s="85"/>
      <c r="I253" s="87"/>
      <c r="J253" s="87"/>
      <c r="K253" s="88"/>
      <c r="L253" s="88"/>
      <c r="M253" s="88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  <c r="AA253" s="80"/>
    </row>
    <row r="254">
      <c r="A254" s="85"/>
      <c r="B254" s="85"/>
      <c r="C254" s="85"/>
      <c r="D254" s="85"/>
      <c r="E254" s="85"/>
      <c r="F254" s="85"/>
      <c r="G254" s="86"/>
      <c r="H254" s="85"/>
      <c r="I254" s="87"/>
      <c r="J254" s="87"/>
      <c r="K254" s="88"/>
      <c r="L254" s="88"/>
      <c r="M254" s="88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  <c r="AA254" s="80"/>
    </row>
    <row r="255">
      <c r="A255" s="85"/>
      <c r="B255" s="85"/>
      <c r="C255" s="85"/>
      <c r="D255" s="85"/>
      <c r="E255" s="85"/>
      <c r="F255" s="85"/>
      <c r="G255" s="86"/>
      <c r="H255" s="85"/>
      <c r="I255" s="87"/>
      <c r="J255" s="87"/>
      <c r="K255" s="88"/>
      <c r="L255" s="88"/>
      <c r="M255" s="88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  <c r="AA255" s="80"/>
    </row>
    <row r="256">
      <c r="A256" s="85"/>
      <c r="B256" s="85"/>
      <c r="C256" s="85"/>
      <c r="D256" s="85"/>
      <c r="E256" s="85"/>
      <c r="F256" s="85"/>
      <c r="G256" s="86"/>
      <c r="H256" s="85"/>
      <c r="I256" s="87"/>
      <c r="J256" s="87"/>
      <c r="K256" s="88"/>
      <c r="L256" s="88"/>
      <c r="M256" s="88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  <c r="AA256" s="80"/>
    </row>
    <row r="257">
      <c r="A257" s="85"/>
      <c r="B257" s="85"/>
      <c r="C257" s="85"/>
      <c r="D257" s="85"/>
      <c r="E257" s="85"/>
      <c r="F257" s="85"/>
      <c r="G257" s="86"/>
      <c r="H257" s="85"/>
      <c r="I257" s="87"/>
      <c r="J257" s="87"/>
      <c r="K257" s="88"/>
      <c r="L257" s="88"/>
      <c r="M257" s="88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  <c r="AA257" s="80"/>
    </row>
    <row r="258">
      <c r="A258" s="85"/>
      <c r="B258" s="85"/>
      <c r="C258" s="85"/>
      <c r="D258" s="85"/>
      <c r="E258" s="85"/>
      <c r="F258" s="85"/>
      <c r="G258" s="86"/>
      <c r="H258" s="85"/>
      <c r="I258" s="87"/>
      <c r="J258" s="87"/>
      <c r="K258" s="88"/>
      <c r="L258" s="88"/>
      <c r="M258" s="88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  <c r="AA258" s="80"/>
    </row>
    <row r="259">
      <c r="A259" s="85"/>
      <c r="B259" s="85"/>
      <c r="C259" s="85"/>
      <c r="D259" s="85"/>
      <c r="E259" s="85"/>
      <c r="F259" s="85"/>
      <c r="G259" s="86"/>
      <c r="H259" s="85"/>
      <c r="I259" s="87"/>
      <c r="J259" s="87"/>
      <c r="K259" s="88"/>
      <c r="L259" s="88"/>
      <c r="M259" s="88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  <c r="AA259" s="80"/>
    </row>
    <row r="260">
      <c r="A260" s="85"/>
      <c r="B260" s="85"/>
      <c r="C260" s="85"/>
      <c r="D260" s="85"/>
      <c r="E260" s="85"/>
      <c r="F260" s="85"/>
      <c r="G260" s="86"/>
      <c r="H260" s="85"/>
      <c r="I260" s="87"/>
      <c r="J260" s="87"/>
      <c r="K260" s="88"/>
      <c r="L260" s="88"/>
      <c r="M260" s="88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  <c r="AA260" s="80"/>
    </row>
    <row r="261">
      <c r="A261" s="85"/>
      <c r="B261" s="85"/>
      <c r="C261" s="85"/>
      <c r="D261" s="85"/>
      <c r="E261" s="85"/>
      <c r="F261" s="85"/>
      <c r="G261" s="86"/>
      <c r="H261" s="85"/>
      <c r="I261" s="87"/>
      <c r="J261" s="87"/>
      <c r="K261" s="88"/>
      <c r="L261" s="88"/>
      <c r="M261" s="88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  <c r="AA261" s="80"/>
    </row>
    <row r="262">
      <c r="A262" s="85"/>
      <c r="B262" s="85"/>
      <c r="C262" s="85"/>
      <c r="D262" s="85"/>
      <c r="E262" s="85"/>
      <c r="F262" s="85"/>
      <c r="G262" s="86"/>
      <c r="H262" s="85"/>
      <c r="I262" s="87"/>
      <c r="J262" s="87"/>
      <c r="K262" s="88"/>
      <c r="L262" s="88"/>
      <c r="M262" s="88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  <c r="AA262" s="80"/>
    </row>
    <row r="263">
      <c r="A263" s="85"/>
      <c r="B263" s="85"/>
      <c r="C263" s="85"/>
      <c r="D263" s="85"/>
      <c r="E263" s="85"/>
      <c r="F263" s="85"/>
      <c r="G263" s="86"/>
      <c r="H263" s="85"/>
      <c r="I263" s="87"/>
      <c r="J263" s="87"/>
      <c r="K263" s="88"/>
      <c r="L263" s="88"/>
      <c r="M263" s="88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  <c r="AA263" s="80"/>
    </row>
    <row r="264">
      <c r="A264" s="85"/>
      <c r="B264" s="85"/>
      <c r="C264" s="85"/>
      <c r="D264" s="85"/>
      <c r="E264" s="85"/>
      <c r="F264" s="85"/>
      <c r="G264" s="86"/>
      <c r="H264" s="85"/>
      <c r="I264" s="87"/>
      <c r="J264" s="87"/>
      <c r="K264" s="88"/>
      <c r="L264" s="88"/>
      <c r="M264" s="88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  <c r="AA264" s="80"/>
    </row>
    <row r="265">
      <c r="A265" s="85"/>
      <c r="B265" s="85"/>
      <c r="C265" s="85"/>
      <c r="D265" s="85"/>
      <c r="E265" s="85"/>
      <c r="F265" s="85"/>
      <c r="G265" s="86"/>
      <c r="H265" s="85"/>
      <c r="I265" s="87"/>
      <c r="J265" s="87"/>
      <c r="K265" s="88"/>
      <c r="L265" s="88"/>
      <c r="M265" s="88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  <c r="AA265" s="80"/>
    </row>
    <row r="266">
      <c r="A266" s="85"/>
      <c r="B266" s="85"/>
      <c r="C266" s="85"/>
      <c r="D266" s="85"/>
      <c r="E266" s="85"/>
      <c r="F266" s="85"/>
      <c r="G266" s="86"/>
      <c r="H266" s="85"/>
      <c r="I266" s="87"/>
      <c r="J266" s="87"/>
      <c r="K266" s="88"/>
      <c r="L266" s="88"/>
      <c r="M266" s="88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  <c r="AA266" s="80"/>
    </row>
    <row r="267">
      <c r="A267" s="85"/>
      <c r="B267" s="85"/>
      <c r="C267" s="85"/>
      <c r="D267" s="85"/>
      <c r="E267" s="85"/>
      <c r="F267" s="85"/>
      <c r="G267" s="86"/>
      <c r="H267" s="85"/>
      <c r="I267" s="87"/>
      <c r="J267" s="87"/>
      <c r="K267" s="88"/>
      <c r="L267" s="88"/>
      <c r="M267" s="88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  <c r="AA267" s="80"/>
    </row>
    <row r="268">
      <c r="A268" s="85"/>
      <c r="B268" s="85"/>
      <c r="C268" s="85"/>
      <c r="D268" s="85"/>
      <c r="E268" s="85"/>
      <c r="F268" s="85"/>
      <c r="G268" s="86"/>
      <c r="H268" s="85"/>
      <c r="I268" s="87"/>
      <c r="J268" s="87"/>
      <c r="K268" s="88"/>
      <c r="L268" s="88"/>
      <c r="M268" s="88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  <c r="AA268" s="80"/>
    </row>
    <row r="269">
      <c r="A269" s="85"/>
      <c r="B269" s="85"/>
      <c r="C269" s="85"/>
      <c r="D269" s="85"/>
      <c r="E269" s="85"/>
      <c r="F269" s="85"/>
      <c r="G269" s="86"/>
      <c r="H269" s="85"/>
      <c r="I269" s="87"/>
      <c r="J269" s="87"/>
      <c r="K269" s="88"/>
      <c r="L269" s="88"/>
      <c r="M269" s="88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  <c r="AA269" s="80"/>
    </row>
    <row r="270">
      <c r="A270" s="85"/>
      <c r="B270" s="85"/>
      <c r="C270" s="85"/>
      <c r="D270" s="85"/>
      <c r="E270" s="85"/>
      <c r="F270" s="85"/>
      <c r="G270" s="86"/>
      <c r="H270" s="85"/>
      <c r="I270" s="87"/>
      <c r="J270" s="87"/>
      <c r="K270" s="88"/>
      <c r="L270" s="88"/>
      <c r="M270" s="88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  <c r="AA270" s="80"/>
    </row>
    <row r="271">
      <c r="A271" s="85"/>
      <c r="B271" s="85"/>
      <c r="C271" s="85"/>
      <c r="D271" s="85"/>
      <c r="E271" s="85"/>
      <c r="F271" s="85"/>
      <c r="G271" s="86"/>
      <c r="H271" s="85"/>
      <c r="I271" s="87"/>
      <c r="J271" s="87"/>
      <c r="K271" s="88"/>
      <c r="L271" s="88"/>
      <c r="M271" s="88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  <c r="AA271" s="80"/>
    </row>
    <row r="272">
      <c r="A272" s="85"/>
      <c r="B272" s="85"/>
      <c r="C272" s="85"/>
      <c r="D272" s="85"/>
      <c r="E272" s="85"/>
      <c r="F272" s="85"/>
      <c r="G272" s="86"/>
      <c r="H272" s="85"/>
      <c r="I272" s="87"/>
      <c r="J272" s="87"/>
      <c r="K272" s="88"/>
      <c r="L272" s="88"/>
      <c r="M272" s="88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  <c r="AA272" s="80"/>
    </row>
    <row r="273">
      <c r="A273" s="85"/>
      <c r="B273" s="85"/>
      <c r="C273" s="85"/>
      <c r="D273" s="85"/>
      <c r="E273" s="85"/>
      <c r="F273" s="85"/>
      <c r="G273" s="86"/>
      <c r="H273" s="85"/>
      <c r="I273" s="87"/>
      <c r="J273" s="87"/>
      <c r="K273" s="88"/>
      <c r="L273" s="88"/>
      <c r="M273" s="88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  <c r="AA273" s="80"/>
    </row>
    <row r="274">
      <c r="A274" s="85"/>
      <c r="B274" s="85"/>
      <c r="C274" s="85"/>
      <c r="D274" s="85"/>
      <c r="E274" s="85"/>
      <c r="F274" s="85"/>
      <c r="G274" s="86"/>
      <c r="H274" s="85"/>
      <c r="I274" s="87"/>
      <c r="J274" s="87"/>
      <c r="K274" s="88"/>
      <c r="L274" s="88"/>
      <c r="M274" s="88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  <c r="AA274" s="80"/>
    </row>
    <row r="275">
      <c r="A275" s="85"/>
      <c r="B275" s="85"/>
      <c r="C275" s="85"/>
      <c r="D275" s="85"/>
      <c r="E275" s="85"/>
      <c r="F275" s="85"/>
      <c r="G275" s="86"/>
      <c r="H275" s="85"/>
      <c r="I275" s="87"/>
      <c r="J275" s="87"/>
      <c r="K275" s="88"/>
      <c r="L275" s="88"/>
      <c r="M275" s="88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  <c r="AA275" s="80"/>
    </row>
    <row r="276">
      <c r="A276" s="85"/>
      <c r="B276" s="85"/>
      <c r="C276" s="85"/>
      <c r="D276" s="85"/>
      <c r="E276" s="85"/>
      <c r="F276" s="85"/>
      <c r="G276" s="86"/>
      <c r="H276" s="85"/>
      <c r="I276" s="87"/>
      <c r="J276" s="87"/>
      <c r="K276" s="88"/>
      <c r="L276" s="88"/>
      <c r="M276" s="88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  <c r="AA276" s="80"/>
    </row>
    <row r="277">
      <c r="A277" s="85"/>
      <c r="B277" s="85"/>
      <c r="C277" s="85"/>
      <c r="D277" s="85"/>
      <c r="E277" s="85"/>
      <c r="F277" s="85"/>
      <c r="G277" s="86"/>
      <c r="H277" s="85"/>
      <c r="I277" s="87"/>
      <c r="J277" s="87"/>
      <c r="K277" s="88"/>
      <c r="L277" s="88"/>
      <c r="M277" s="88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  <c r="AA277" s="80"/>
    </row>
    <row r="278">
      <c r="A278" s="85"/>
      <c r="B278" s="85"/>
      <c r="C278" s="85"/>
      <c r="D278" s="85"/>
      <c r="E278" s="85"/>
      <c r="F278" s="85"/>
      <c r="G278" s="86"/>
      <c r="H278" s="85"/>
      <c r="I278" s="87"/>
      <c r="J278" s="87"/>
      <c r="K278" s="88"/>
      <c r="L278" s="88"/>
      <c r="M278" s="88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  <c r="AA278" s="80"/>
    </row>
    <row r="279">
      <c r="A279" s="85"/>
      <c r="B279" s="85"/>
      <c r="C279" s="85"/>
      <c r="D279" s="85"/>
      <c r="E279" s="85"/>
      <c r="F279" s="85"/>
      <c r="G279" s="86"/>
      <c r="H279" s="85"/>
      <c r="I279" s="87"/>
      <c r="J279" s="87"/>
      <c r="K279" s="88"/>
      <c r="L279" s="88"/>
      <c r="M279" s="88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  <c r="AA279" s="80"/>
    </row>
    <row r="280">
      <c r="A280" s="85"/>
      <c r="B280" s="85"/>
      <c r="C280" s="85"/>
      <c r="D280" s="85"/>
      <c r="E280" s="85"/>
      <c r="F280" s="85"/>
      <c r="G280" s="86"/>
      <c r="H280" s="85"/>
      <c r="I280" s="87"/>
      <c r="J280" s="87"/>
      <c r="K280" s="88"/>
      <c r="L280" s="88"/>
      <c r="M280" s="88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  <c r="AA280" s="80"/>
    </row>
    <row r="281">
      <c r="A281" s="85"/>
      <c r="B281" s="85"/>
      <c r="C281" s="85"/>
      <c r="D281" s="85"/>
      <c r="E281" s="85"/>
      <c r="F281" s="85"/>
      <c r="G281" s="86"/>
      <c r="H281" s="85"/>
      <c r="I281" s="87"/>
      <c r="J281" s="87"/>
      <c r="K281" s="88"/>
      <c r="L281" s="88"/>
      <c r="M281" s="88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  <c r="AA281" s="80"/>
    </row>
    <row r="282">
      <c r="A282" s="85"/>
      <c r="B282" s="85"/>
      <c r="C282" s="85"/>
      <c r="D282" s="85"/>
      <c r="E282" s="85"/>
      <c r="F282" s="85"/>
      <c r="G282" s="86"/>
      <c r="H282" s="85"/>
      <c r="I282" s="87"/>
      <c r="J282" s="87"/>
      <c r="K282" s="88"/>
      <c r="L282" s="88"/>
      <c r="M282" s="88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80"/>
    </row>
    <row r="283">
      <c r="A283" s="85"/>
      <c r="B283" s="85"/>
      <c r="C283" s="85"/>
      <c r="D283" s="85"/>
      <c r="E283" s="85"/>
      <c r="F283" s="85"/>
      <c r="G283" s="86"/>
      <c r="H283" s="85"/>
      <c r="I283" s="87"/>
      <c r="J283" s="87"/>
      <c r="K283" s="88"/>
      <c r="L283" s="88"/>
      <c r="M283" s="88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</row>
    <row r="284">
      <c r="A284" s="85"/>
      <c r="B284" s="85"/>
      <c r="C284" s="85"/>
      <c r="D284" s="85"/>
      <c r="E284" s="85"/>
      <c r="F284" s="85"/>
      <c r="G284" s="86"/>
      <c r="H284" s="85"/>
      <c r="I284" s="87"/>
      <c r="J284" s="87"/>
      <c r="K284" s="88"/>
      <c r="L284" s="88"/>
      <c r="M284" s="88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0"/>
    </row>
    <row r="285">
      <c r="A285" s="85"/>
      <c r="B285" s="85"/>
      <c r="C285" s="85"/>
      <c r="D285" s="85"/>
      <c r="E285" s="85"/>
      <c r="F285" s="85"/>
      <c r="G285" s="86"/>
      <c r="H285" s="85"/>
      <c r="I285" s="87"/>
      <c r="J285" s="87"/>
      <c r="K285" s="88"/>
      <c r="L285" s="88"/>
      <c r="M285" s="88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0"/>
    </row>
    <row r="286">
      <c r="A286" s="85"/>
      <c r="B286" s="85"/>
      <c r="C286" s="85"/>
      <c r="D286" s="85"/>
      <c r="E286" s="85"/>
      <c r="F286" s="85"/>
      <c r="G286" s="86"/>
      <c r="H286" s="85"/>
      <c r="I286" s="87"/>
      <c r="J286" s="87"/>
      <c r="K286" s="88"/>
      <c r="L286" s="88"/>
      <c r="M286" s="88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</row>
    <row r="287">
      <c r="A287" s="85"/>
      <c r="B287" s="85"/>
      <c r="C287" s="85"/>
      <c r="D287" s="85"/>
      <c r="E287" s="85"/>
      <c r="F287" s="85"/>
      <c r="G287" s="86"/>
      <c r="H287" s="85"/>
      <c r="I287" s="87"/>
      <c r="J287" s="87"/>
      <c r="K287" s="88"/>
      <c r="L287" s="88"/>
      <c r="M287" s="88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</row>
    <row r="288">
      <c r="A288" s="85"/>
      <c r="B288" s="85"/>
      <c r="C288" s="85"/>
      <c r="D288" s="85"/>
      <c r="E288" s="85"/>
      <c r="F288" s="85"/>
      <c r="G288" s="86"/>
      <c r="H288" s="85"/>
      <c r="I288" s="87"/>
      <c r="J288" s="87"/>
      <c r="K288" s="88"/>
      <c r="L288" s="88"/>
      <c r="M288" s="88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0"/>
    </row>
    <row r="289">
      <c r="A289" s="85"/>
      <c r="B289" s="85"/>
      <c r="C289" s="85"/>
      <c r="D289" s="85"/>
      <c r="E289" s="85"/>
      <c r="F289" s="85"/>
      <c r="G289" s="86"/>
      <c r="H289" s="85"/>
      <c r="I289" s="87"/>
      <c r="J289" s="87"/>
      <c r="K289" s="88"/>
      <c r="L289" s="88"/>
      <c r="M289" s="88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</row>
    <row r="290">
      <c r="A290" s="85"/>
      <c r="B290" s="85"/>
      <c r="C290" s="85"/>
      <c r="D290" s="85"/>
      <c r="E290" s="85"/>
      <c r="F290" s="85"/>
      <c r="G290" s="86"/>
      <c r="H290" s="85"/>
      <c r="I290" s="87"/>
      <c r="J290" s="87"/>
      <c r="K290" s="88"/>
      <c r="L290" s="88"/>
      <c r="M290" s="88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</row>
    <row r="291">
      <c r="A291" s="85"/>
      <c r="B291" s="85"/>
      <c r="C291" s="85"/>
      <c r="D291" s="85"/>
      <c r="E291" s="85"/>
      <c r="F291" s="85"/>
      <c r="G291" s="86"/>
      <c r="H291" s="85"/>
      <c r="I291" s="87"/>
      <c r="J291" s="87"/>
      <c r="K291" s="88"/>
      <c r="L291" s="88"/>
      <c r="M291" s="88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</row>
    <row r="292">
      <c r="A292" s="85"/>
      <c r="B292" s="85"/>
      <c r="C292" s="85"/>
      <c r="D292" s="85"/>
      <c r="E292" s="85"/>
      <c r="F292" s="85"/>
      <c r="G292" s="86"/>
      <c r="H292" s="85"/>
      <c r="I292" s="87"/>
      <c r="J292" s="87"/>
      <c r="K292" s="88"/>
      <c r="L292" s="88"/>
      <c r="M292" s="88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</row>
    <row r="293">
      <c r="A293" s="85"/>
      <c r="B293" s="85"/>
      <c r="C293" s="85"/>
      <c r="D293" s="85"/>
      <c r="E293" s="85"/>
      <c r="F293" s="85"/>
      <c r="G293" s="86"/>
      <c r="H293" s="85"/>
      <c r="I293" s="87"/>
      <c r="J293" s="87"/>
      <c r="K293" s="88"/>
      <c r="L293" s="88"/>
      <c r="M293" s="88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</row>
    <row r="294">
      <c r="A294" s="85"/>
      <c r="B294" s="85"/>
      <c r="C294" s="85"/>
      <c r="D294" s="85"/>
      <c r="E294" s="85"/>
      <c r="F294" s="85"/>
      <c r="G294" s="86"/>
      <c r="H294" s="85"/>
      <c r="I294" s="87"/>
      <c r="J294" s="87"/>
      <c r="K294" s="88"/>
      <c r="L294" s="88"/>
      <c r="M294" s="88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</row>
    <row r="295">
      <c r="A295" s="85"/>
      <c r="B295" s="85"/>
      <c r="C295" s="85"/>
      <c r="D295" s="85"/>
      <c r="E295" s="85"/>
      <c r="F295" s="85"/>
      <c r="G295" s="86"/>
      <c r="H295" s="85"/>
      <c r="I295" s="87"/>
      <c r="J295" s="87"/>
      <c r="K295" s="88"/>
      <c r="L295" s="88"/>
      <c r="M295" s="88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</row>
    <row r="296">
      <c r="A296" s="85"/>
      <c r="B296" s="85"/>
      <c r="C296" s="85"/>
      <c r="D296" s="85"/>
      <c r="E296" s="85"/>
      <c r="F296" s="85"/>
      <c r="G296" s="86"/>
      <c r="H296" s="85"/>
      <c r="I296" s="87"/>
      <c r="J296" s="87"/>
      <c r="K296" s="88"/>
      <c r="L296" s="88"/>
      <c r="M296" s="88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</row>
    <row r="297">
      <c r="A297" s="85"/>
      <c r="B297" s="85"/>
      <c r="C297" s="85"/>
      <c r="D297" s="85"/>
      <c r="E297" s="85"/>
      <c r="F297" s="85"/>
      <c r="G297" s="86"/>
      <c r="H297" s="85"/>
      <c r="I297" s="87"/>
      <c r="J297" s="87"/>
      <c r="K297" s="88"/>
      <c r="L297" s="88"/>
      <c r="M297" s="88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</row>
    <row r="298">
      <c r="A298" s="85"/>
      <c r="B298" s="85"/>
      <c r="C298" s="85"/>
      <c r="D298" s="85"/>
      <c r="E298" s="85"/>
      <c r="F298" s="85"/>
      <c r="G298" s="86"/>
      <c r="H298" s="85"/>
      <c r="I298" s="87"/>
      <c r="J298" s="87"/>
      <c r="K298" s="88"/>
      <c r="L298" s="88"/>
      <c r="M298" s="88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</row>
    <row r="299">
      <c r="A299" s="85"/>
      <c r="B299" s="85"/>
      <c r="C299" s="85"/>
      <c r="D299" s="85"/>
      <c r="E299" s="85"/>
      <c r="F299" s="85"/>
      <c r="G299" s="86"/>
      <c r="H299" s="85"/>
      <c r="I299" s="87"/>
      <c r="J299" s="87"/>
      <c r="K299" s="88"/>
      <c r="L299" s="88"/>
      <c r="M299" s="88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</row>
    <row r="300">
      <c r="A300" s="85"/>
      <c r="B300" s="85"/>
      <c r="C300" s="85"/>
      <c r="D300" s="85"/>
      <c r="E300" s="85"/>
      <c r="F300" s="85"/>
      <c r="G300" s="86"/>
      <c r="H300" s="85"/>
      <c r="I300" s="87"/>
      <c r="J300" s="87"/>
      <c r="K300" s="88"/>
      <c r="L300" s="88"/>
      <c r="M300" s="88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</row>
    <row r="301">
      <c r="A301" s="85"/>
      <c r="B301" s="85"/>
      <c r="C301" s="85"/>
      <c r="D301" s="85"/>
      <c r="E301" s="85"/>
      <c r="F301" s="85"/>
      <c r="G301" s="86"/>
      <c r="H301" s="85"/>
      <c r="I301" s="87"/>
      <c r="J301" s="87"/>
      <c r="K301" s="88"/>
      <c r="L301" s="88"/>
      <c r="M301" s="88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</row>
    <row r="302">
      <c r="A302" s="85"/>
      <c r="B302" s="85"/>
      <c r="C302" s="85"/>
      <c r="D302" s="85"/>
      <c r="E302" s="85"/>
      <c r="F302" s="85"/>
      <c r="G302" s="86"/>
      <c r="H302" s="85"/>
      <c r="I302" s="87"/>
      <c r="J302" s="87"/>
      <c r="K302" s="88"/>
      <c r="L302" s="88"/>
      <c r="M302" s="88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</row>
    <row r="303">
      <c r="A303" s="85"/>
      <c r="B303" s="85"/>
      <c r="C303" s="85"/>
      <c r="D303" s="85"/>
      <c r="E303" s="85"/>
      <c r="F303" s="85"/>
      <c r="G303" s="86"/>
      <c r="H303" s="85"/>
      <c r="I303" s="87"/>
      <c r="J303" s="87"/>
      <c r="K303" s="88"/>
      <c r="L303" s="88"/>
      <c r="M303" s="88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</row>
    <row r="304">
      <c r="A304" s="85"/>
      <c r="B304" s="85"/>
      <c r="C304" s="85"/>
      <c r="D304" s="85"/>
      <c r="E304" s="85"/>
      <c r="F304" s="85"/>
      <c r="G304" s="86"/>
      <c r="H304" s="85"/>
      <c r="I304" s="87"/>
      <c r="J304" s="87"/>
      <c r="K304" s="88"/>
      <c r="L304" s="88"/>
      <c r="M304" s="88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</row>
    <row r="305">
      <c r="A305" s="85"/>
      <c r="B305" s="85"/>
      <c r="C305" s="85"/>
      <c r="D305" s="85"/>
      <c r="E305" s="85"/>
      <c r="F305" s="85"/>
      <c r="G305" s="86"/>
      <c r="H305" s="85"/>
      <c r="I305" s="87"/>
      <c r="J305" s="87"/>
      <c r="K305" s="88"/>
      <c r="L305" s="88"/>
      <c r="M305" s="88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</row>
    <row r="306">
      <c r="A306" s="85"/>
      <c r="B306" s="85"/>
      <c r="C306" s="85"/>
      <c r="D306" s="85"/>
      <c r="E306" s="85"/>
      <c r="F306" s="85"/>
      <c r="G306" s="86"/>
      <c r="H306" s="85"/>
      <c r="I306" s="87"/>
      <c r="J306" s="87"/>
      <c r="K306" s="88"/>
      <c r="L306" s="88"/>
      <c r="M306" s="88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</row>
    <row r="307">
      <c r="A307" s="85"/>
      <c r="B307" s="85"/>
      <c r="C307" s="85"/>
      <c r="D307" s="85"/>
      <c r="E307" s="85"/>
      <c r="F307" s="85"/>
      <c r="G307" s="86"/>
      <c r="H307" s="85"/>
      <c r="I307" s="87"/>
      <c r="J307" s="87"/>
      <c r="K307" s="88"/>
      <c r="L307" s="88"/>
      <c r="M307" s="88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</row>
    <row r="308">
      <c r="A308" s="85"/>
      <c r="B308" s="85"/>
      <c r="C308" s="85"/>
      <c r="D308" s="85"/>
      <c r="E308" s="85"/>
      <c r="F308" s="85"/>
      <c r="G308" s="86"/>
      <c r="H308" s="85"/>
      <c r="I308" s="87"/>
      <c r="J308" s="87"/>
      <c r="K308" s="88"/>
      <c r="L308" s="88"/>
      <c r="M308" s="88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</row>
    <row r="309">
      <c r="A309" s="85"/>
      <c r="B309" s="85"/>
      <c r="C309" s="85"/>
      <c r="D309" s="85"/>
      <c r="E309" s="85"/>
      <c r="F309" s="85"/>
      <c r="G309" s="86"/>
      <c r="H309" s="85"/>
      <c r="I309" s="87"/>
      <c r="J309" s="87"/>
      <c r="K309" s="88"/>
      <c r="L309" s="88"/>
      <c r="M309" s="88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</row>
    <row r="310">
      <c r="A310" s="85"/>
      <c r="B310" s="85"/>
      <c r="C310" s="85"/>
      <c r="D310" s="85"/>
      <c r="E310" s="85"/>
      <c r="F310" s="85"/>
      <c r="G310" s="86"/>
      <c r="H310" s="85"/>
      <c r="I310" s="87"/>
      <c r="J310" s="87"/>
      <c r="K310" s="88"/>
      <c r="L310" s="88"/>
      <c r="M310" s="88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</row>
    <row r="311">
      <c r="A311" s="85"/>
      <c r="B311" s="85"/>
      <c r="C311" s="85"/>
      <c r="D311" s="85"/>
      <c r="E311" s="85"/>
      <c r="F311" s="85"/>
      <c r="G311" s="86"/>
      <c r="H311" s="85"/>
      <c r="I311" s="87"/>
      <c r="J311" s="87"/>
      <c r="K311" s="88"/>
      <c r="L311" s="88"/>
      <c r="M311" s="88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  <c r="AA311" s="80"/>
    </row>
    <row r="312">
      <c r="A312" s="85"/>
      <c r="B312" s="85"/>
      <c r="C312" s="85"/>
      <c r="D312" s="85"/>
      <c r="E312" s="85"/>
      <c r="F312" s="85"/>
      <c r="G312" s="86"/>
      <c r="H312" s="85"/>
      <c r="I312" s="87"/>
      <c r="J312" s="87"/>
      <c r="K312" s="88"/>
      <c r="L312" s="88"/>
      <c r="M312" s="88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</row>
    <row r="313">
      <c r="A313" s="85"/>
      <c r="B313" s="85"/>
      <c r="C313" s="85"/>
      <c r="D313" s="85"/>
      <c r="E313" s="85"/>
      <c r="F313" s="85"/>
      <c r="G313" s="86"/>
      <c r="H313" s="85"/>
      <c r="I313" s="87"/>
      <c r="J313" s="87"/>
      <c r="K313" s="88"/>
      <c r="L313" s="88"/>
      <c r="M313" s="88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</row>
    <row r="314">
      <c r="A314" s="85"/>
      <c r="B314" s="85"/>
      <c r="C314" s="85"/>
      <c r="D314" s="85"/>
      <c r="E314" s="85"/>
      <c r="F314" s="85"/>
      <c r="G314" s="86"/>
      <c r="H314" s="85"/>
      <c r="I314" s="87"/>
      <c r="J314" s="87"/>
      <c r="K314" s="88"/>
      <c r="L314" s="88"/>
      <c r="M314" s="88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</row>
    <row r="315">
      <c r="A315" s="85"/>
      <c r="B315" s="85"/>
      <c r="C315" s="85"/>
      <c r="D315" s="85"/>
      <c r="E315" s="85"/>
      <c r="F315" s="85"/>
      <c r="G315" s="86"/>
      <c r="H315" s="85"/>
      <c r="I315" s="87"/>
      <c r="J315" s="87"/>
      <c r="K315" s="88"/>
      <c r="L315" s="88"/>
      <c r="M315" s="88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</row>
    <row r="316">
      <c r="A316" s="85"/>
      <c r="B316" s="85"/>
      <c r="C316" s="85"/>
      <c r="D316" s="85"/>
      <c r="E316" s="85"/>
      <c r="F316" s="85"/>
      <c r="G316" s="86"/>
      <c r="H316" s="85"/>
      <c r="I316" s="87"/>
      <c r="J316" s="87"/>
      <c r="K316" s="88"/>
      <c r="L316" s="88"/>
      <c r="M316" s="88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</row>
    <row r="317">
      <c r="A317" s="85"/>
      <c r="B317" s="85"/>
      <c r="C317" s="85"/>
      <c r="D317" s="85"/>
      <c r="E317" s="85"/>
      <c r="F317" s="85"/>
      <c r="G317" s="86"/>
      <c r="H317" s="85"/>
      <c r="I317" s="87"/>
      <c r="J317" s="87"/>
      <c r="K317" s="88"/>
      <c r="L317" s="88"/>
      <c r="M317" s="88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</row>
    <row r="318">
      <c r="A318" s="85"/>
      <c r="B318" s="85"/>
      <c r="C318" s="85"/>
      <c r="D318" s="85"/>
      <c r="E318" s="85"/>
      <c r="F318" s="85"/>
      <c r="G318" s="86"/>
      <c r="H318" s="85"/>
      <c r="I318" s="87"/>
      <c r="J318" s="87"/>
      <c r="K318" s="88"/>
      <c r="L318" s="88"/>
      <c r="M318" s="88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</row>
    <row r="319">
      <c r="A319" s="85"/>
      <c r="B319" s="85"/>
      <c r="C319" s="85"/>
      <c r="D319" s="85"/>
      <c r="E319" s="85"/>
      <c r="F319" s="85"/>
      <c r="G319" s="86"/>
      <c r="H319" s="85"/>
      <c r="I319" s="87"/>
      <c r="J319" s="87"/>
      <c r="K319" s="88"/>
      <c r="L319" s="88"/>
      <c r="M319" s="88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</row>
    <row r="320">
      <c r="A320" s="85"/>
      <c r="B320" s="85"/>
      <c r="C320" s="85"/>
      <c r="D320" s="85"/>
      <c r="E320" s="85"/>
      <c r="F320" s="85"/>
      <c r="G320" s="86"/>
      <c r="H320" s="85"/>
      <c r="I320" s="87"/>
      <c r="J320" s="87"/>
      <c r="K320" s="88"/>
      <c r="L320" s="88"/>
      <c r="M320" s="88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</row>
    <row r="321">
      <c r="A321" s="85"/>
      <c r="B321" s="85"/>
      <c r="C321" s="85"/>
      <c r="D321" s="85"/>
      <c r="E321" s="85"/>
      <c r="F321" s="85"/>
      <c r="G321" s="86"/>
      <c r="H321" s="85"/>
      <c r="I321" s="87"/>
      <c r="J321" s="87"/>
      <c r="K321" s="88"/>
      <c r="L321" s="88"/>
      <c r="M321" s="88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</row>
    <row r="322">
      <c r="A322" s="85"/>
      <c r="B322" s="85"/>
      <c r="C322" s="85"/>
      <c r="D322" s="85"/>
      <c r="E322" s="85"/>
      <c r="F322" s="85"/>
      <c r="G322" s="86"/>
      <c r="H322" s="85"/>
      <c r="I322" s="87"/>
      <c r="J322" s="87"/>
      <c r="K322" s="88"/>
      <c r="L322" s="88"/>
      <c r="M322" s="88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</row>
    <row r="323">
      <c r="A323" s="85"/>
      <c r="B323" s="85"/>
      <c r="C323" s="85"/>
      <c r="D323" s="85"/>
      <c r="E323" s="85"/>
      <c r="F323" s="85"/>
      <c r="G323" s="86"/>
      <c r="H323" s="85"/>
      <c r="I323" s="87"/>
      <c r="J323" s="87"/>
      <c r="K323" s="88"/>
      <c r="L323" s="88"/>
      <c r="M323" s="88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</row>
    <row r="324">
      <c r="A324" s="85"/>
      <c r="B324" s="85"/>
      <c r="C324" s="85"/>
      <c r="D324" s="85"/>
      <c r="E324" s="85"/>
      <c r="F324" s="85"/>
      <c r="G324" s="86"/>
      <c r="H324" s="85"/>
      <c r="I324" s="87"/>
      <c r="J324" s="87"/>
      <c r="K324" s="88"/>
      <c r="L324" s="88"/>
      <c r="M324" s="88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</row>
    <row r="325">
      <c r="A325" s="85"/>
      <c r="B325" s="85"/>
      <c r="C325" s="85"/>
      <c r="D325" s="85"/>
      <c r="E325" s="85"/>
      <c r="F325" s="85"/>
      <c r="G325" s="86"/>
      <c r="H325" s="85"/>
      <c r="I325" s="87"/>
      <c r="J325" s="87"/>
      <c r="K325" s="88"/>
      <c r="L325" s="88"/>
      <c r="M325" s="88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</row>
    <row r="326">
      <c r="A326" s="85"/>
      <c r="B326" s="85"/>
      <c r="C326" s="85"/>
      <c r="D326" s="85"/>
      <c r="E326" s="85"/>
      <c r="F326" s="85"/>
      <c r="G326" s="86"/>
      <c r="H326" s="85"/>
      <c r="I326" s="87"/>
      <c r="J326" s="87"/>
      <c r="K326" s="88"/>
      <c r="L326" s="88"/>
      <c r="M326" s="88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</row>
    <row r="327">
      <c r="A327" s="85"/>
      <c r="B327" s="85"/>
      <c r="C327" s="85"/>
      <c r="D327" s="85"/>
      <c r="E327" s="85"/>
      <c r="F327" s="85"/>
      <c r="G327" s="86"/>
      <c r="H327" s="85"/>
      <c r="I327" s="87"/>
      <c r="J327" s="87"/>
      <c r="K327" s="88"/>
      <c r="L327" s="88"/>
      <c r="M327" s="88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</row>
    <row r="328">
      <c r="A328" s="85"/>
      <c r="B328" s="85"/>
      <c r="C328" s="85"/>
      <c r="D328" s="85"/>
      <c r="E328" s="85"/>
      <c r="F328" s="85"/>
      <c r="G328" s="86"/>
      <c r="H328" s="85"/>
      <c r="I328" s="87"/>
      <c r="J328" s="87"/>
      <c r="K328" s="88"/>
      <c r="L328" s="88"/>
      <c r="M328" s="88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</row>
    <row r="329">
      <c r="A329" s="85"/>
      <c r="B329" s="85"/>
      <c r="C329" s="85"/>
      <c r="D329" s="85"/>
      <c r="E329" s="85"/>
      <c r="F329" s="85"/>
      <c r="G329" s="86"/>
      <c r="H329" s="85"/>
      <c r="I329" s="87"/>
      <c r="J329" s="87"/>
      <c r="K329" s="88"/>
      <c r="L329" s="88"/>
      <c r="M329" s="88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</row>
    <row r="330">
      <c r="A330" s="85"/>
      <c r="B330" s="85"/>
      <c r="C330" s="85"/>
      <c r="D330" s="85"/>
      <c r="E330" s="85"/>
      <c r="F330" s="85"/>
      <c r="G330" s="86"/>
      <c r="H330" s="85"/>
      <c r="I330" s="87"/>
      <c r="J330" s="87"/>
      <c r="K330" s="88"/>
      <c r="L330" s="88"/>
      <c r="M330" s="88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</row>
    <row r="331">
      <c r="A331" s="85"/>
      <c r="B331" s="85"/>
      <c r="C331" s="85"/>
      <c r="D331" s="85"/>
      <c r="E331" s="85"/>
      <c r="F331" s="85"/>
      <c r="G331" s="86"/>
      <c r="H331" s="85"/>
      <c r="I331" s="87"/>
      <c r="J331" s="87"/>
      <c r="K331" s="88"/>
      <c r="L331" s="88"/>
      <c r="M331" s="88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</row>
    <row r="332">
      <c r="A332" s="85"/>
      <c r="B332" s="85"/>
      <c r="C332" s="85"/>
      <c r="D332" s="85"/>
      <c r="E332" s="85"/>
      <c r="F332" s="85"/>
      <c r="G332" s="86"/>
      <c r="H332" s="85"/>
      <c r="I332" s="87"/>
      <c r="J332" s="87"/>
      <c r="K332" s="88"/>
      <c r="L332" s="88"/>
      <c r="M332" s="88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</row>
    <row r="333">
      <c r="A333" s="85"/>
      <c r="B333" s="85"/>
      <c r="C333" s="85"/>
      <c r="D333" s="85"/>
      <c r="E333" s="85"/>
      <c r="F333" s="85"/>
      <c r="G333" s="86"/>
      <c r="H333" s="85"/>
      <c r="I333" s="87"/>
      <c r="J333" s="87"/>
      <c r="K333" s="88"/>
      <c r="L333" s="88"/>
      <c r="M333" s="88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</row>
    <row r="334">
      <c r="A334" s="85"/>
      <c r="B334" s="85"/>
      <c r="C334" s="85"/>
      <c r="D334" s="85"/>
      <c r="E334" s="85"/>
      <c r="F334" s="85"/>
      <c r="G334" s="86"/>
      <c r="H334" s="85"/>
      <c r="I334" s="87"/>
      <c r="J334" s="87"/>
      <c r="K334" s="88"/>
      <c r="L334" s="88"/>
      <c r="M334" s="88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</row>
    <row r="335">
      <c r="A335" s="85"/>
      <c r="B335" s="85"/>
      <c r="C335" s="85"/>
      <c r="D335" s="85"/>
      <c r="E335" s="85"/>
      <c r="F335" s="85"/>
      <c r="G335" s="86"/>
      <c r="H335" s="85"/>
      <c r="I335" s="87"/>
      <c r="J335" s="87"/>
      <c r="K335" s="88"/>
      <c r="L335" s="88"/>
      <c r="M335" s="88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</row>
    <row r="336">
      <c r="A336" s="85"/>
      <c r="B336" s="85"/>
      <c r="C336" s="85"/>
      <c r="D336" s="85"/>
      <c r="E336" s="85"/>
      <c r="F336" s="85"/>
      <c r="G336" s="86"/>
      <c r="H336" s="85"/>
      <c r="I336" s="87"/>
      <c r="J336" s="87"/>
      <c r="K336" s="88"/>
      <c r="L336" s="88"/>
      <c r="M336" s="88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  <c r="AA336" s="80"/>
    </row>
    <row r="337">
      <c r="A337" s="85"/>
      <c r="B337" s="85"/>
      <c r="C337" s="85"/>
      <c r="D337" s="85"/>
      <c r="E337" s="85"/>
      <c r="F337" s="85"/>
      <c r="G337" s="86"/>
      <c r="H337" s="85"/>
      <c r="I337" s="87"/>
      <c r="J337" s="87"/>
      <c r="K337" s="88"/>
      <c r="L337" s="88"/>
      <c r="M337" s="88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  <c r="AA337" s="80"/>
    </row>
    <row r="338">
      <c r="A338" s="85"/>
      <c r="B338" s="85"/>
      <c r="C338" s="85"/>
      <c r="D338" s="85"/>
      <c r="E338" s="85"/>
      <c r="F338" s="85"/>
      <c r="G338" s="86"/>
      <c r="H338" s="85"/>
      <c r="I338" s="87"/>
      <c r="J338" s="87"/>
      <c r="K338" s="88"/>
      <c r="L338" s="88"/>
      <c r="M338" s="88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  <c r="AA338" s="80"/>
    </row>
    <row r="339">
      <c r="A339" s="85"/>
      <c r="B339" s="85"/>
      <c r="C339" s="85"/>
      <c r="D339" s="85"/>
      <c r="E339" s="85"/>
      <c r="F339" s="85"/>
      <c r="G339" s="86"/>
      <c r="H339" s="85"/>
      <c r="I339" s="87"/>
      <c r="J339" s="87"/>
      <c r="K339" s="88"/>
      <c r="L339" s="88"/>
      <c r="M339" s="88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</row>
    <row r="340">
      <c r="A340" s="85"/>
      <c r="B340" s="85"/>
      <c r="C340" s="85"/>
      <c r="D340" s="85"/>
      <c r="E340" s="85"/>
      <c r="F340" s="85"/>
      <c r="G340" s="86"/>
      <c r="H340" s="85"/>
      <c r="I340" s="87"/>
      <c r="J340" s="87"/>
      <c r="K340" s="88"/>
      <c r="L340" s="88"/>
      <c r="M340" s="88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  <c r="AA340" s="80"/>
    </row>
    <row r="341">
      <c r="A341" s="85"/>
      <c r="B341" s="85"/>
      <c r="C341" s="85"/>
      <c r="D341" s="85"/>
      <c r="E341" s="85"/>
      <c r="F341" s="85"/>
      <c r="G341" s="86"/>
      <c r="H341" s="85"/>
      <c r="I341" s="87"/>
      <c r="J341" s="87"/>
      <c r="K341" s="88"/>
      <c r="L341" s="88"/>
      <c r="M341" s="88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  <c r="AA341" s="80"/>
    </row>
    <row r="342">
      <c r="A342" s="85"/>
      <c r="B342" s="85"/>
      <c r="C342" s="85"/>
      <c r="D342" s="85"/>
      <c r="E342" s="85"/>
      <c r="F342" s="85"/>
      <c r="G342" s="86"/>
      <c r="H342" s="85"/>
      <c r="I342" s="87"/>
      <c r="J342" s="87"/>
      <c r="K342" s="88"/>
      <c r="L342" s="88"/>
      <c r="M342" s="88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  <c r="AA342" s="80"/>
    </row>
    <row r="343">
      <c r="A343" s="85"/>
      <c r="B343" s="85"/>
      <c r="C343" s="85"/>
      <c r="D343" s="85"/>
      <c r="E343" s="85"/>
      <c r="F343" s="85"/>
      <c r="G343" s="86"/>
      <c r="H343" s="85"/>
      <c r="I343" s="87"/>
      <c r="J343" s="87"/>
      <c r="K343" s="88"/>
      <c r="L343" s="88"/>
      <c r="M343" s="88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  <c r="AA343" s="80"/>
    </row>
    <row r="344">
      <c r="A344" s="85"/>
      <c r="B344" s="85"/>
      <c r="C344" s="85"/>
      <c r="D344" s="85"/>
      <c r="E344" s="85"/>
      <c r="F344" s="85"/>
      <c r="G344" s="86"/>
      <c r="H344" s="85"/>
      <c r="I344" s="87"/>
      <c r="J344" s="87"/>
      <c r="K344" s="88"/>
      <c r="L344" s="88"/>
      <c r="M344" s="88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  <c r="AA344" s="80"/>
    </row>
    <row r="345">
      <c r="A345" s="85"/>
      <c r="B345" s="85"/>
      <c r="C345" s="85"/>
      <c r="D345" s="85"/>
      <c r="E345" s="85"/>
      <c r="F345" s="85"/>
      <c r="G345" s="86"/>
      <c r="H345" s="85"/>
      <c r="I345" s="87"/>
      <c r="J345" s="87"/>
      <c r="K345" s="88"/>
      <c r="L345" s="88"/>
      <c r="M345" s="88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  <c r="AA345" s="80"/>
    </row>
    <row r="346">
      <c r="A346" s="85"/>
      <c r="B346" s="85"/>
      <c r="C346" s="85"/>
      <c r="D346" s="85"/>
      <c r="E346" s="85"/>
      <c r="F346" s="85"/>
      <c r="G346" s="86"/>
      <c r="H346" s="85"/>
      <c r="I346" s="87"/>
      <c r="J346" s="87"/>
      <c r="K346" s="88"/>
      <c r="L346" s="88"/>
      <c r="M346" s="88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  <c r="AA346" s="80"/>
    </row>
    <row r="347">
      <c r="A347" s="85"/>
      <c r="B347" s="85"/>
      <c r="C347" s="85"/>
      <c r="D347" s="85"/>
      <c r="E347" s="85"/>
      <c r="F347" s="85"/>
      <c r="G347" s="86"/>
      <c r="H347" s="85"/>
      <c r="I347" s="87"/>
      <c r="J347" s="87"/>
      <c r="K347" s="88"/>
      <c r="L347" s="88"/>
      <c r="M347" s="88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  <c r="AA347" s="80"/>
    </row>
    <row r="348">
      <c r="A348" s="85"/>
      <c r="B348" s="85"/>
      <c r="C348" s="85"/>
      <c r="D348" s="85"/>
      <c r="E348" s="85"/>
      <c r="F348" s="85"/>
      <c r="G348" s="86"/>
      <c r="H348" s="85"/>
      <c r="I348" s="87"/>
      <c r="J348" s="87"/>
      <c r="K348" s="88"/>
      <c r="L348" s="88"/>
      <c r="M348" s="88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  <c r="AA348" s="80"/>
    </row>
    <row r="349">
      <c r="A349" s="85"/>
      <c r="B349" s="85"/>
      <c r="C349" s="85"/>
      <c r="D349" s="85"/>
      <c r="E349" s="85"/>
      <c r="F349" s="85"/>
      <c r="G349" s="86"/>
      <c r="H349" s="85"/>
      <c r="I349" s="87"/>
      <c r="J349" s="87"/>
      <c r="K349" s="88"/>
      <c r="L349" s="88"/>
      <c r="M349" s="88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  <c r="AA349" s="80"/>
    </row>
    <row r="350">
      <c r="A350" s="85"/>
      <c r="B350" s="85"/>
      <c r="C350" s="85"/>
      <c r="D350" s="85"/>
      <c r="E350" s="85"/>
      <c r="F350" s="85"/>
      <c r="G350" s="86"/>
      <c r="H350" s="85"/>
      <c r="I350" s="87"/>
      <c r="J350" s="87"/>
      <c r="K350" s="88"/>
      <c r="L350" s="88"/>
      <c r="M350" s="88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  <c r="AA350" s="80"/>
    </row>
    <row r="351">
      <c r="A351" s="85"/>
      <c r="B351" s="85"/>
      <c r="C351" s="85"/>
      <c r="D351" s="85"/>
      <c r="E351" s="85"/>
      <c r="F351" s="85"/>
      <c r="G351" s="86"/>
      <c r="H351" s="85"/>
      <c r="I351" s="87"/>
      <c r="J351" s="87"/>
      <c r="K351" s="88"/>
      <c r="L351" s="88"/>
      <c r="M351" s="88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  <c r="AA351" s="80"/>
    </row>
    <row r="352">
      <c r="A352" s="85"/>
      <c r="B352" s="85"/>
      <c r="C352" s="85"/>
      <c r="D352" s="85"/>
      <c r="E352" s="85"/>
      <c r="F352" s="85"/>
      <c r="G352" s="86"/>
      <c r="H352" s="85"/>
      <c r="I352" s="87"/>
      <c r="J352" s="87"/>
      <c r="K352" s="88"/>
      <c r="L352" s="88"/>
      <c r="M352" s="88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  <c r="AA352" s="80"/>
    </row>
    <row r="353">
      <c r="A353" s="85"/>
      <c r="B353" s="85"/>
      <c r="C353" s="85"/>
      <c r="D353" s="85"/>
      <c r="E353" s="85"/>
      <c r="F353" s="85"/>
      <c r="G353" s="86"/>
      <c r="H353" s="85"/>
      <c r="I353" s="87"/>
      <c r="J353" s="87"/>
      <c r="K353" s="88"/>
      <c r="L353" s="88"/>
      <c r="M353" s="88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  <c r="AA353" s="80"/>
    </row>
    <row r="354">
      <c r="A354" s="85"/>
      <c r="B354" s="85"/>
      <c r="C354" s="85"/>
      <c r="D354" s="85"/>
      <c r="E354" s="85"/>
      <c r="F354" s="85"/>
      <c r="G354" s="86"/>
      <c r="H354" s="85"/>
      <c r="I354" s="87"/>
      <c r="J354" s="87"/>
      <c r="K354" s="88"/>
      <c r="L354" s="88"/>
      <c r="M354" s="88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  <c r="AA354" s="80"/>
    </row>
    <row r="355">
      <c r="A355" s="85"/>
      <c r="B355" s="85"/>
      <c r="C355" s="85"/>
      <c r="D355" s="85"/>
      <c r="E355" s="85"/>
      <c r="F355" s="85"/>
      <c r="G355" s="86"/>
      <c r="H355" s="85"/>
      <c r="I355" s="87"/>
      <c r="J355" s="87"/>
      <c r="K355" s="88"/>
      <c r="L355" s="88"/>
      <c r="M355" s="88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  <c r="AA355" s="80"/>
    </row>
    <row r="356">
      <c r="A356" s="85"/>
      <c r="B356" s="85"/>
      <c r="C356" s="85"/>
      <c r="D356" s="85"/>
      <c r="E356" s="85"/>
      <c r="F356" s="85"/>
      <c r="G356" s="86"/>
      <c r="H356" s="85"/>
      <c r="I356" s="87"/>
      <c r="J356" s="87"/>
      <c r="K356" s="88"/>
      <c r="L356" s="88"/>
      <c r="M356" s="88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  <c r="AA356" s="80"/>
    </row>
    <row r="357">
      <c r="A357" s="85"/>
      <c r="B357" s="85"/>
      <c r="C357" s="85"/>
      <c r="D357" s="85"/>
      <c r="E357" s="85"/>
      <c r="F357" s="85"/>
      <c r="G357" s="86"/>
      <c r="H357" s="85"/>
      <c r="I357" s="87"/>
      <c r="J357" s="87"/>
      <c r="K357" s="88"/>
      <c r="L357" s="88"/>
      <c r="M357" s="88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  <c r="AA357" s="80"/>
    </row>
    <row r="358">
      <c r="A358" s="85"/>
      <c r="B358" s="85"/>
      <c r="C358" s="85"/>
      <c r="D358" s="85"/>
      <c r="E358" s="85"/>
      <c r="F358" s="85"/>
      <c r="G358" s="86"/>
      <c r="H358" s="85"/>
      <c r="I358" s="87"/>
      <c r="J358" s="87"/>
      <c r="K358" s="88"/>
      <c r="L358" s="88"/>
      <c r="M358" s="88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  <c r="AA358" s="80"/>
    </row>
    <row r="359">
      <c r="A359" s="85"/>
      <c r="B359" s="85"/>
      <c r="C359" s="85"/>
      <c r="D359" s="85"/>
      <c r="E359" s="85"/>
      <c r="F359" s="85"/>
      <c r="G359" s="86"/>
      <c r="H359" s="85"/>
      <c r="I359" s="87"/>
      <c r="J359" s="87"/>
      <c r="K359" s="88"/>
      <c r="L359" s="88"/>
      <c r="M359" s="88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  <c r="AA359" s="80"/>
    </row>
    <row r="360">
      <c r="A360" s="85"/>
      <c r="B360" s="85"/>
      <c r="C360" s="85"/>
      <c r="D360" s="85"/>
      <c r="E360" s="85"/>
      <c r="F360" s="85"/>
      <c r="G360" s="86"/>
      <c r="H360" s="85"/>
      <c r="I360" s="87"/>
      <c r="J360" s="87"/>
      <c r="K360" s="88"/>
      <c r="L360" s="88"/>
      <c r="M360" s="88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  <c r="AA360" s="80"/>
    </row>
    <row r="361">
      <c r="A361" s="85"/>
      <c r="B361" s="85"/>
      <c r="C361" s="85"/>
      <c r="D361" s="85"/>
      <c r="E361" s="85"/>
      <c r="F361" s="85"/>
      <c r="G361" s="86"/>
      <c r="H361" s="85"/>
      <c r="I361" s="87"/>
      <c r="J361" s="87"/>
      <c r="K361" s="88"/>
      <c r="L361" s="88"/>
      <c r="M361" s="88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  <c r="AA361" s="80"/>
    </row>
    <row r="362">
      <c r="A362" s="85"/>
      <c r="B362" s="85"/>
      <c r="C362" s="85"/>
      <c r="D362" s="85"/>
      <c r="E362" s="85"/>
      <c r="F362" s="85"/>
      <c r="G362" s="86"/>
      <c r="H362" s="85"/>
      <c r="I362" s="87"/>
      <c r="J362" s="87"/>
      <c r="K362" s="88"/>
      <c r="L362" s="88"/>
      <c r="M362" s="88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  <c r="AA362" s="80"/>
    </row>
    <row r="363">
      <c r="A363" s="85"/>
      <c r="B363" s="85"/>
      <c r="C363" s="85"/>
      <c r="D363" s="85"/>
      <c r="E363" s="85"/>
      <c r="F363" s="85"/>
      <c r="G363" s="86"/>
      <c r="H363" s="85"/>
      <c r="I363" s="87"/>
      <c r="J363" s="87"/>
      <c r="K363" s="88"/>
      <c r="L363" s="88"/>
      <c r="M363" s="88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</row>
    <row r="364">
      <c r="A364" s="85"/>
      <c r="B364" s="85"/>
      <c r="C364" s="85"/>
      <c r="D364" s="85"/>
      <c r="E364" s="85"/>
      <c r="F364" s="85"/>
      <c r="G364" s="86"/>
      <c r="H364" s="85"/>
      <c r="I364" s="87"/>
      <c r="J364" s="87"/>
      <c r="K364" s="88"/>
      <c r="L364" s="88"/>
      <c r="M364" s="88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80"/>
    </row>
    <row r="365">
      <c r="A365" s="85"/>
      <c r="B365" s="85"/>
      <c r="C365" s="85"/>
      <c r="D365" s="85"/>
      <c r="E365" s="85"/>
      <c r="F365" s="85"/>
      <c r="G365" s="86"/>
      <c r="H365" s="85"/>
      <c r="I365" s="87"/>
      <c r="J365" s="87"/>
      <c r="K365" s="88"/>
      <c r="L365" s="88"/>
      <c r="M365" s="88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80"/>
    </row>
    <row r="366">
      <c r="A366" s="85"/>
      <c r="B366" s="85"/>
      <c r="C366" s="85"/>
      <c r="D366" s="85"/>
      <c r="E366" s="85"/>
      <c r="F366" s="85"/>
      <c r="G366" s="86"/>
      <c r="H366" s="85"/>
      <c r="I366" s="87"/>
      <c r="J366" s="87"/>
      <c r="K366" s="88"/>
      <c r="L366" s="88"/>
      <c r="M366" s="88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  <c r="AA366" s="80"/>
    </row>
    <row r="367">
      <c r="A367" s="85"/>
      <c r="B367" s="85"/>
      <c r="C367" s="85"/>
      <c r="D367" s="85"/>
      <c r="E367" s="85"/>
      <c r="F367" s="85"/>
      <c r="G367" s="86"/>
      <c r="H367" s="85"/>
      <c r="I367" s="87"/>
      <c r="J367" s="87"/>
      <c r="K367" s="88"/>
      <c r="L367" s="88"/>
      <c r="M367" s="88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  <c r="AA367" s="80"/>
    </row>
    <row r="368">
      <c r="A368" s="85"/>
      <c r="B368" s="85"/>
      <c r="C368" s="85"/>
      <c r="D368" s="85"/>
      <c r="E368" s="85"/>
      <c r="F368" s="85"/>
      <c r="G368" s="86"/>
      <c r="H368" s="85"/>
      <c r="I368" s="87"/>
      <c r="J368" s="87"/>
      <c r="K368" s="88"/>
      <c r="L368" s="88"/>
      <c r="M368" s="88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  <c r="AA368" s="80"/>
    </row>
    <row r="369">
      <c r="A369" s="85"/>
      <c r="B369" s="85"/>
      <c r="C369" s="85"/>
      <c r="D369" s="85"/>
      <c r="E369" s="85"/>
      <c r="F369" s="85"/>
      <c r="G369" s="86"/>
      <c r="H369" s="85"/>
      <c r="I369" s="87"/>
      <c r="J369" s="87"/>
      <c r="K369" s="88"/>
      <c r="L369" s="88"/>
      <c r="M369" s="88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  <c r="AA369" s="80"/>
    </row>
    <row r="370">
      <c r="A370" s="85"/>
      <c r="B370" s="85"/>
      <c r="C370" s="85"/>
      <c r="D370" s="85"/>
      <c r="E370" s="85"/>
      <c r="F370" s="85"/>
      <c r="G370" s="86"/>
      <c r="H370" s="85"/>
      <c r="I370" s="87"/>
      <c r="J370" s="87"/>
      <c r="K370" s="88"/>
      <c r="L370" s="88"/>
      <c r="M370" s="88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  <c r="AA370" s="80"/>
    </row>
    <row r="371">
      <c r="A371" s="85"/>
      <c r="B371" s="85"/>
      <c r="C371" s="85"/>
      <c r="D371" s="85"/>
      <c r="E371" s="85"/>
      <c r="F371" s="85"/>
      <c r="G371" s="86"/>
      <c r="H371" s="85"/>
      <c r="I371" s="87"/>
      <c r="J371" s="87"/>
      <c r="K371" s="88"/>
      <c r="L371" s="88"/>
      <c r="M371" s="88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  <c r="AA371" s="80"/>
    </row>
    <row r="372">
      <c r="A372" s="85"/>
      <c r="B372" s="85"/>
      <c r="C372" s="85"/>
      <c r="D372" s="85"/>
      <c r="E372" s="85"/>
      <c r="F372" s="85"/>
      <c r="G372" s="86"/>
      <c r="H372" s="85"/>
      <c r="I372" s="87"/>
      <c r="J372" s="87"/>
      <c r="K372" s="88"/>
      <c r="L372" s="88"/>
      <c r="M372" s="88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  <c r="AA372" s="80"/>
    </row>
    <row r="373">
      <c r="A373" s="85"/>
      <c r="B373" s="85"/>
      <c r="C373" s="85"/>
      <c r="D373" s="85"/>
      <c r="E373" s="85"/>
      <c r="F373" s="85"/>
      <c r="G373" s="86"/>
      <c r="H373" s="85"/>
      <c r="I373" s="87"/>
      <c r="J373" s="87"/>
      <c r="K373" s="88"/>
      <c r="L373" s="88"/>
      <c r="M373" s="88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  <c r="AA373" s="80"/>
    </row>
    <row r="374">
      <c r="A374" s="85"/>
      <c r="B374" s="85"/>
      <c r="C374" s="85"/>
      <c r="D374" s="85"/>
      <c r="E374" s="85"/>
      <c r="F374" s="85"/>
      <c r="G374" s="86"/>
      <c r="H374" s="85"/>
      <c r="I374" s="87"/>
      <c r="J374" s="87"/>
      <c r="K374" s="88"/>
      <c r="L374" s="88"/>
      <c r="M374" s="88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  <c r="AA374" s="80"/>
    </row>
    <row r="375">
      <c r="A375" s="85"/>
      <c r="B375" s="85"/>
      <c r="C375" s="85"/>
      <c r="D375" s="85"/>
      <c r="E375" s="85"/>
      <c r="F375" s="85"/>
      <c r="G375" s="86"/>
      <c r="H375" s="85"/>
      <c r="I375" s="87"/>
      <c r="J375" s="87"/>
      <c r="K375" s="88"/>
      <c r="L375" s="88"/>
      <c r="M375" s="88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</row>
    <row r="376">
      <c r="A376" s="85"/>
      <c r="B376" s="85"/>
      <c r="C376" s="85"/>
      <c r="D376" s="85"/>
      <c r="E376" s="85"/>
      <c r="F376" s="85"/>
      <c r="G376" s="86"/>
      <c r="H376" s="85"/>
      <c r="I376" s="87"/>
      <c r="J376" s="87"/>
      <c r="K376" s="88"/>
      <c r="L376" s="88"/>
      <c r="M376" s="88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  <c r="AA376" s="80"/>
    </row>
    <row r="377">
      <c r="A377" s="85"/>
      <c r="B377" s="85"/>
      <c r="C377" s="85"/>
      <c r="D377" s="85"/>
      <c r="E377" s="85"/>
      <c r="F377" s="85"/>
      <c r="G377" s="86"/>
      <c r="H377" s="85"/>
      <c r="I377" s="87"/>
      <c r="J377" s="87"/>
      <c r="K377" s="88"/>
      <c r="L377" s="88"/>
      <c r="M377" s="88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  <c r="AA377" s="80"/>
    </row>
    <row r="378">
      <c r="A378" s="85"/>
      <c r="B378" s="85"/>
      <c r="C378" s="85"/>
      <c r="D378" s="85"/>
      <c r="E378" s="85"/>
      <c r="F378" s="85"/>
      <c r="G378" s="86"/>
      <c r="H378" s="85"/>
      <c r="I378" s="87"/>
      <c r="J378" s="87"/>
      <c r="K378" s="88"/>
      <c r="L378" s="88"/>
      <c r="M378" s="88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</row>
    <row r="379">
      <c r="A379" s="85"/>
      <c r="B379" s="85"/>
      <c r="C379" s="85"/>
      <c r="D379" s="85"/>
      <c r="E379" s="85"/>
      <c r="F379" s="85"/>
      <c r="G379" s="86"/>
      <c r="H379" s="85"/>
      <c r="I379" s="87"/>
      <c r="J379" s="87"/>
      <c r="K379" s="88"/>
      <c r="L379" s="88"/>
      <c r="M379" s="88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  <c r="AA379" s="80"/>
    </row>
    <row r="380">
      <c r="A380" s="85"/>
      <c r="B380" s="85"/>
      <c r="C380" s="85"/>
      <c r="D380" s="85"/>
      <c r="E380" s="85"/>
      <c r="F380" s="85"/>
      <c r="G380" s="86"/>
      <c r="H380" s="85"/>
      <c r="I380" s="87"/>
      <c r="J380" s="87"/>
      <c r="K380" s="88"/>
      <c r="L380" s="88"/>
      <c r="M380" s="88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  <c r="AA380" s="80"/>
    </row>
    <row r="381">
      <c r="A381" s="85"/>
      <c r="B381" s="85"/>
      <c r="C381" s="85"/>
      <c r="D381" s="85"/>
      <c r="E381" s="85"/>
      <c r="F381" s="85"/>
      <c r="G381" s="86"/>
      <c r="H381" s="85"/>
      <c r="I381" s="87"/>
      <c r="J381" s="87"/>
      <c r="K381" s="88"/>
      <c r="L381" s="88"/>
      <c r="M381" s="88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  <c r="AA381" s="80"/>
    </row>
    <row r="382">
      <c r="A382" s="85"/>
      <c r="B382" s="85"/>
      <c r="C382" s="85"/>
      <c r="D382" s="85"/>
      <c r="E382" s="85"/>
      <c r="F382" s="85"/>
      <c r="G382" s="86"/>
      <c r="H382" s="85"/>
      <c r="I382" s="87"/>
      <c r="J382" s="87"/>
      <c r="K382" s="88"/>
      <c r="L382" s="88"/>
      <c r="M382" s="88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  <c r="AA382" s="80"/>
    </row>
    <row r="383">
      <c r="A383" s="85"/>
      <c r="B383" s="85"/>
      <c r="C383" s="85"/>
      <c r="D383" s="85"/>
      <c r="E383" s="85"/>
      <c r="F383" s="85"/>
      <c r="G383" s="86"/>
      <c r="H383" s="85"/>
      <c r="I383" s="87"/>
      <c r="J383" s="87"/>
      <c r="K383" s="88"/>
      <c r="L383" s="88"/>
      <c r="M383" s="88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  <c r="AA383" s="80"/>
    </row>
    <row r="384">
      <c r="A384" s="85"/>
      <c r="B384" s="85"/>
      <c r="C384" s="85"/>
      <c r="D384" s="85"/>
      <c r="E384" s="85"/>
      <c r="F384" s="85"/>
      <c r="G384" s="86"/>
      <c r="H384" s="85"/>
      <c r="I384" s="87"/>
      <c r="J384" s="87"/>
      <c r="K384" s="88"/>
      <c r="L384" s="88"/>
      <c r="M384" s="88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  <c r="AA384" s="80"/>
    </row>
    <row r="385">
      <c r="A385" s="85"/>
      <c r="B385" s="85"/>
      <c r="C385" s="85"/>
      <c r="D385" s="85"/>
      <c r="E385" s="85"/>
      <c r="F385" s="85"/>
      <c r="G385" s="86"/>
      <c r="H385" s="85"/>
      <c r="I385" s="87"/>
      <c r="J385" s="87"/>
      <c r="K385" s="88"/>
      <c r="L385" s="88"/>
      <c r="M385" s="88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  <c r="AA385" s="80"/>
    </row>
    <row r="386">
      <c r="A386" s="85"/>
      <c r="B386" s="85"/>
      <c r="C386" s="85"/>
      <c r="D386" s="85"/>
      <c r="E386" s="85"/>
      <c r="F386" s="85"/>
      <c r="G386" s="86"/>
      <c r="H386" s="85"/>
      <c r="I386" s="87"/>
      <c r="J386" s="87"/>
      <c r="K386" s="88"/>
      <c r="L386" s="88"/>
      <c r="M386" s="88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  <c r="AA386" s="80"/>
    </row>
    <row r="387">
      <c r="A387" s="85"/>
      <c r="B387" s="85"/>
      <c r="C387" s="85"/>
      <c r="D387" s="85"/>
      <c r="E387" s="85"/>
      <c r="F387" s="85"/>
      <c r="G387" s="86"/>
      <c r="H387" s="85"/>
      <c r="I387" s="87"/>
      <c r="J387" s="87"/>
      <c r="K387" s="88"/>
      <c r="L387" s="88"/>
      <c r="M387" s="88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  <c r="AA387" s="80"/>
    </row>
    <row r="388">
      <c r="A388" s="85"/>
      <c r="B388" s="85"/>
      <c r="C388" s="85"/>
      <c r="D388" s="85"/>
      <c r="E388" s="85"/>
      <c r="F388" s="85"/>
      <c r="G388" s="86"/>
      <c r="H388" s="85"/>
      <c r="I388" s="87"/>
      <c r="J388" s="87"/>
      <c r="K388" s="88"/>
      <c r="L388" s="88"/>
      <c r="M388" s="88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</row>
    <row r="389">
      <c r="A389" s="85"/>
      <c r="B389" s="85"/>
      <c r="C389" s="85"/>
      <c r="D389" s="85"/>
      <c r="E389" s="85"/>
      <c r="F389" s="85"/>
      <c r="G389" s="86"/>
      <c r="H389" s="85"/>
      <c r="I389" s="87"/>
      <c r="J389" s="87"/>
      <c r="K389" s="88"/>
      <c r="L389" s="88"/>
      <c r="M389" s="88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  <c r="AA389" s="80"/>
    </row>
    <row r="390">
      <c r="A390" s="85"/>
      <c r="B390" s="85"/>
      <c r="C390" s="85"/>
      <c r="D390" s="85"/>
      <c r="E390" s="85"/>
      <c r="F390" s="85"/>
      <c r="G390" s="86"/>
      <c r="H390" s="85"/>
      <c r="I390" s="87"/>
      <c r="J390" s="87"/>
      <c r="K390" s="88"/>
      <c r="L390" s="88"/>
      <c r="M390" s="88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  <c r="AA390" s="80"/>
    </row>
    <row r="391">
      <c r="A391" s="85"/>
      <c r="B391" s="85"/>
      <c r="C391" s="85"/>
      <c r="D391" s="85"/>
      <c r="E391" s="85"/>
      <c r="F391" s="85"/>
      <c r="G391" s="86"/>
      <c r="H391" s="85"/>
      <c r="I391" s="87"/>
      <c r="J391" s="87"/>
      <c r="K391" s="88"/>
      <c r="L391" s="88"/>
      <c r="M391" s="88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  <c r="AA391" s="80"/>
    </row>
    <row r="392">
      <c r="A392" s="85"/>
      <c r="B392" s="85"/>
      <c r="C392" s="85"/>
      <c r="D392" s="85"/>
      <c r="E392" s="85"/>
      <c r="F392" s="85"/>
      <c r="G392" s="86"/>
      <c r="H392" s="85"/>
      <c r="I392" s="87"/>
      <c r="J392" s="87"/>
      <c r="K392" s="88"/>
      <c r="L392" s="88"/>
      <c r="M392" s="88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  <c r="AA392" s="80"/>
    </row>
    <row r="393">
      <c r="A393" s="85"/>
      <c r="B393" s="85"/>
      <c r="C393" s="85"/>
      <c r="D393" s="85"/>
      <c r="E393" s="85"/>
      <c r="F393" s="85"/>
      <c r="G393" s="86"/>
      <c r="H393" s="85"/>
      <c r="I393" s="87"/>
      <c r="J393" s="87"/>
      <c r="K393" s="88"/>
      <c r="L393" s="88"/>
      <c r="M393" s="88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  <c r="AA393" s="80"/>
    </row>
    <row r="394">
      <c r="A394" s="85"/>
      <c r="B394" s="85"/>
      <c r="C394" s="85"/>
      <c r="D394" s="85"/>
      <c r="E394" s="85"/>
      <c r="F394" s="85"/>
      <c r="G394" s="86"/>
      <c r="H394" s="85"/>
      <c r="I394" s="87"/>
      <c r="J394" s="87"/>
      <c r="K394" s="88"/>
      <c r="L394" s="88"/>
      <c r="M394" s="88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  <c r="AA394" s="80"/>
    </row>
    <row r="395">
      <c r="A395" s="85"/>
      <c r="B395" s="85"/>
      <c r="C395" s="85"/>
      <c r="D395" s="85"/>
      <c r="E395" s="85"/>
      <c r="F395" s="85"/>
      <c r="G395" s="86"/>
      <c r="H395" s="85"/>
      <c r="I395" s="87"/>
      <c r="J395" s="87"/>
      <c r="K395" s="88"/>
      <c r="L395" s="88"/>
      <c r="M395" s="88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  <c r="AA395" s="80"/>
    </row>
    <row r="396">
      <c r="A396" s="85"/>
      <c r="B396" s="85"/>
      <c r="C396" s="85"/>
      <c r="D396" s="85"/>
      <c r="E396" s="85"/>
      <c r="F396" s="85"/>
      <c r="G396" s="86"/>
      <c r="H396" s="85"/>
      <c r="I396" s="87"/>
      <c r="J396" s="87"/>
      <c r="K396" s="88"/>
      <c r="L396" s="88"/>
      <c r="M396" s="88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  <c r="AA396" s="80"/>
    </row>
    <row r="397">
      <c r="A397" s="85"/>
      <c r="B397" s="85"/>
      <c r="C397" s="85"/>
      <c r="D397" s="85"/>
      <c r="E397" s="85"/>
      <c r="F397" s="85"/>
      <c r="G397" s="86"/>
      <c r="H397" s="85"/>
      <c r="I397" s="87"/>
      <c r="J397" s="87"/>
      <c r="K397" s="88"/>
      <c r="L397" s="88"/>
      <c r="M397" s="88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  <c r="AA397" s="80"/>
    </row>
    <row r="398">
      <c r="A398" s="85"/>
      <c r="B398" s="85"/>
      <c r="C398" s="85"/>
      <c r="D398" s="85"/>
      <c r="E398" s="85"/>
      <c r="F398" s="85"/>
      <c r="G398" s="86"/>
      <c r="H398" s="85"/>
      <c r="I398" s="87"/>
      <c r="J398" s="87"/>
      <c r="K398" s="88"/>
      <c r="L398" s="88"/>
      <c r="M398" s="88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  <c r="AA398" s="80"/>
    </row>
    <row r="399">
      <c r="A399" s="85"/>
      <c r="B399" s="85"/>
      <c r="C399" s="85"/>
      <c r="D399" s="85"/>
      <c r="E399" s="85"/>
      <c r="F399" s="85"/>
      <c r="G399" s="86"/>
      <c r="H399" s="85"/>
      <c r="I399" s="87"/>
      <c r="J399" s="87"/>
      <c r="K399" s="88"/>
      <c r="L399" s="88"/>
      <c r="M399" s="88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  <c r="AA399" s="80"/>
    </row>
    <row r="400">
      <c r="A400" s="85"/>
      <c r="B400" s="85"/>
      <c r="C400" s="85"/>
      <c r="D400" s="85"/>
      <c r="E400" s="85"/>
      <c r="F400" s="85"/>
      <c r="G400" s="86"/>
      <c r="H400" s="85"/>
      <c r="I400" s="87"/>
      <c r="J400" s="87"/>
      <c r="K400" s="88"/>
      <c r="L400" s="88"/>
      <c r="M400" s="88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  <c r="AA400" s="80"/>
    </row>
    <row r="401">
      <c r="A401" s="85"/>
      <c r="B401" s="85"/>
      <c r="C401" s="85"/>
      <c r="D401" s="85"/>
      <c r="E401" s="85"/>
      <c r="F401" s="85"/>
      <c r="G401" s="86"/>
      <c r="H401" s="85"/>
      <c r="I401" s="87"/>
      <c r="J401" s="87"/>
      <c r="K401" s="88"/>
      <c r="L401" s="88"/>
      <c r="M401" s="88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  <c r="AA401" s="80"/>
    </row>
    <row r="402">
      <c r="A402" s="85"/>
      <c r="B402" s="85"/>
      <c r="C402" s="85"/>
      <c r="D402" s="85"/>
      <c r="E402" s="85"/>
      <c r="F402" s="85"/>
      <c r="G402" s="86"/>
      <c r="H402" s="85"/>
      <c r="I402" s="87"/>
      <c r="J402" s="87"/>
      <c r="K402" s="88"/>
      <c r="L402" s="88"/>
      <c r="M402" s="88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  <c r="AA402" s="80"/>
    </row>
    <row r="403">
      <c r="A403" s="85"/>
      <c r="B403" s="85"/>
      <c r="C403" s="85"/>
      <c r="D403" s="85"/>
      <c r="E403" s="85"/>
      <c r="F403" s="85"/>
      <c r="G403" s="86"/>
      <c r="H403" s="85"/>
      <c r="I403" s="87"/>
      <c r="J403" s="87"/>
      <c r="K403" s="88"/>
      <c r="L403" s="88"/>
      <c r="M403" s="88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</row>
    <row r="404">
      <c r="A404" s="85"/>
      <c r="B404" s="85"/>
      <c r="C404" s="85"/>
      <c r="D404" s="85"/>
      <c r="E404" s="85"/>
      <c r="F404" s="85"/>
      <c r="G404" s="86"/>
      <c r="H404" s="85"/>
      <c r="I404" s="87"/>
      <c r="J404" s="87"/>
      <c r="K404" s="88"/>
      <c r="L404" s="88"/>
      <c r="M404" s="88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  <c r="AA404" s="80"/>
    </row>
    <row r="405">
      <c r="A405" s="85"/>
      <c r="B405" s="85"/>
      <c r="C405" s="85"/>
      <c r="D405" s="85"/>
      <c r="E405" s="85"/>
      <c r="F405" s="85"/>
      <c r="G405" s="86"/>
      <c r="H405" s="85"/>
      <c r="I405" s="87"/>
      <c r="J405" s="87"/>
      <c r="K405" s="88"/>
      <c r="L405" s="88"/>
      <c r="M405" s="88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  <c r="AA405" s="80"/>
    </row>
    <row r="406">
      <c r="A406" s="85"/>
      <c r="B406" s="85"/>
      <c r="C406" s="85"/>
      <c r="D406" s="85"/>
      <c r="E406" s="85"/>
      <c r="F406" s="85"/>
      <c r="G406" s="86"/>
      <c r="H406" s="85"/>
      <c r="I406" s="87"/>
      <c r="J406" s="87"/>
      <c r="K406" s="88"/>
      <c r="L406" s="88"/>
      <c r="M406" s="88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</row>
    <row r="407">
      <c r="A407" s="85"/>
      <c r="B407" s="85"/>
      <c r="C407" s="85"/>
      <c r="D407" s="85"/>
      <c r="E407" s="85"/>
      <c r="F407" s="85"/>
      <c r="G407" s="86"/>
      <c r="H407" s="85"/>
      <c r="I407" s="87"/>
      <c r="J407" s="87"/>
      <c r="K407" s="88"/>
      <c r="L407" s="88"/>
      <c r="M407" s="88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  <c r="AA407" s="80"/>
    </row>
    <row r="408">
      <c r="A408" s="85"/>
      <c r="B408" s="85"/>
      <c r="C408" s="85"/>
      <c r="D408" s="85"/>
      <c r="E408" s="85"/>
      <c r="F408" s="85"/>
      <c r="G408" s="86"/>
      <c r="H408" s="85"/>
      <c r="I408" s="87"/>
      <c r="J408" s="87"/>
      <c r="K408" s="88"/>
      <c r="L408" s="88"/>
      <c r="M408" s="88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  <c r="AA408" s="80"/>
    </row>
    <row r="409">
      <c r="A409" s="85"/>
      <c r="B409" s="85"/>
      <c r="C409" s="85"/>
      <c r="D409" s="85"/>
      <c r="E409" s="85"/>
      <c r="F409" s="85"/>
      <c r="G409" s="86"/>
      <c r="H409" s="85"/>
      <c r="I409" s="87"/>
      <c r="J409" s="87"/>
      <c r="K409" s="88"/>
      <c r="L409" s="88"/>
      <c r="M409" s="88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  <c r="AA409" s="80"/>
    </row>
    <row r="410">
      <c r="A410" s="85"/>
      <c r="B410" s="85"/>
      <c r="C410" s="85"/>
      <c r="D410" s="85"/>
      <c r="E410" s="85"/>
      <c r="F410" s="85"/>
      <c r="G410" s="86"/>
      <c r="H410" s="85"/>
      <c r="I410" s="87"/>
      <c r="J410" s="87"/>
      <c r="K410" s="88"/>
      <c r="L410" s="88"/>
      <c r="M410" s="88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  <c r="AA410" s="80"/>
    </row>
    <row r="411">
      <c r="A411" s="85"/>
      <c r="B411" s="85"/>
      <c r="C411" s="85"/>
      <c r="D411" s="85"/>
      <c r="E411" s="85"/>
      <c r="F411" s="85"/>
      <c r="G411" s="86"/>
      <c r="H411" s="85"/>
      <c r="I411" s="87"/>
      <c r="J411" s="87"/>
      <c r="K411" s="88"/>
      <c r="L411" s="88"/>
      <c r="M411" s="88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  <c r="AA411" s="80"/>
    </row>
    <row r="412">
      <c r="A412" s="85"/>
      <c r="B412" s="85"/>
      <c r="C412" s="85"/>
      <c r="D412" s="85"/>
      <c r="E412" s="85"/>
      <c r="F412" s="85"/>
      <c r="G412" s="86"/>
      <c r="H412" s="85"/>
      <c r="I412" s="87"/>
      <c r="J412" s="87"/>
      <c r="K412" s="88"/>
      <c r="L412" s="88"/>
      <c r="M412" s="88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  <c r="AA412" s="80"/>
    </row>
    <row r="413">
      <c r="A413" s="85"/>
      <c r="B413" s="85"/>
      <c r="C413" s="85"/>
      <c r="D413" s="85"/>
      <c r="E413" s="85"/>
      <c r="F413" s="85"/>
      <c r="G413" s="86"/>
      <c r="H413" s="85"/>
      <c r="I413" s="87"/>
      <c r="J413" s="87"/>
      <c r="K413" s="88"/>
      <c r="L413" s="88"/>
      <c r="M413" s="88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  <c r="AA413" s="80"/>
    </row>
    <row r="414">
      <c r="A414" s="85"/>
      <c r="B414" s="85"/>
      <c r="C414" s="85"/>
      <c r="D414" s="85"/>
      <c r="E414" s="85"/>
      <c r="F414" s="85"/>
      <c r="G414" s="86"/>
      <c r="H414" s="85"/>
      <c r="I414" s="87"/>
      <c r="J414" s="87"/>
      <c r="K414" s="88"/>
      <c r="L414" s="88"/>
      <c r="M414" s="88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  <c r="AA414" s="80"/>
    </row>
    <row r="415">
      <c r="A415" s="85"/>
      <c r="B415" s="85"/>
      <c r="C415" s="85"/>
      <c r="D415" s="85"/>
      <c r="E415" s="85"/>
      <c r="F415" s="85"/>
      <c r="G415" s="86"/>
      <c r="H415" s="85"/>
      <c r="I415" s="87"/>
      <c r="J415" s="87"/>
      <c r="K415" s="88"/>
      <c r="L415" s="88"/>
      <c r="M415" s="88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  <c r="AA415" s="80"/>
    </row>
    <row r="416">
      <c r="A416" s="85"/>
      <c r="B416" s="85"/>
      <c r="C416" s="85"/>
      <c r="D416" s="85"/>
      <c r="E416" s="85"/>
      <c r="F416" s="85"/>
      <c r="G416" s="86"/>
      <c r="H416" s="85"/>
      <c r="I416" s="87"/>
      <c r="J416" s="87"/>
      <c r="K416" s="88"/>
      <c r="L416" s="88"/>
      <c r="M416" s="88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  <c r="AA416" s="80"/>
    </row>
    <row r="417">
      <c r="A417" s="85"/>
      <c r="B417" s="85"/>
      <c r="C417" s="85"/>
      <c r="D417" s="85"/>
      <c r="E417" s="85"/>
      <c r="F417" s="85"/>
      <c r="G417" s="86"/>
      <c r="H417" s="85"/>
      <c r="I417" s="87"/>
      <c r="J417" s="87"/>
      <c r="K417" s="88"/>
      <c r="L417" s="88"/>
      <c r="M417" s="88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  <c r="AA417" s="80"/>
    </row>
    <row r="418">
      <c r="A418" s="85"/>
      <c r="B418" s="85"/>
      <c r="C418" s="85"/>
      <c r="D418" s="85"/>
      <c r="E418" s="85"/>
      <c r="F418" s="85"/>
      <c r="G418" s="86"/>
      <c r="H418" s="85"/>
      <c r="I418" s="87"/>
      <c r="J418" s="87"/>
      <c r="K418" s="88"/>
      <c r="L418" s="88"/>
      <c r="M418" s="88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  <c r="AA418" s="80"/>
    </row>
    <row r="419">
      <c r="A419" s="85"/>
      <c r="B419" s="85"/>
      <c r="C419" s="85"/>
      <c r="D419" s="85"/>
      <c r="E419" s="85"/>
      <c r="F419" s="85"/>
      <c r="G419" s="86"/>
      <c r="H419" s="85"/>
      <c r="I419" s="87"/>
      <c r="J419" s="87"/>
      <c r="K419" s="88"/>
      <c r="L419" s="88"/>
      <c r="M419" s="88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  <c r="AA419" s="80"/>
    </row>
    <row r="420">
      <c r="A420" s="85"/>
      <c r="B420" s="85"/>
      <c r="C420" s="85"/>
      <c r="D420" s="85"/>
      <c r="E420" s="85"/>
      <c r="F420" s="85"/>
      <c r="G420" s="86"/>
      <c r="H420" s="85"/>
      <c r="I420" s="87"/>
      <c r="J420" s="87"/>
      <c r="K420" s="88"/>
      <c r="L420" s="88"/>
      <c r="M420" s="88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  <c r="AA420" s="80"/>
    </row>
    <row r="421">
      <c r="A421" s="85"/>
      <c r="B421" s="85"/>
      <c r="C421" s="85"/>
      <c r="D421" s="85"/>
      <c r="E421" s="85"/>
      <c r="F421" s="85"/>
      <c r="G421" s="86"/>
      <c r="H421" s="85"/>
      <c r="I421" s="87"/>
      <c r="J421" s="87"/>
      <c r="K421" s="88"/>
      <c r="L421" s="88"/>
      <c r="M421" s="88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  <c r="AA421" s="80"/>
    </row>
    <row r="422">
      <c r="A422" s="85"/>
      <c r="B422" s="85"/>
      <c r="C422" s="85"/>
      <c r="D422" s="85"/>
      <c r="E422" s="85"/>
      <c r="F422" s="85"/>
      <c r="G422" s="86"/>
      <c r="H422" s="85"/>
      <c r="I422" s="87"/>
      <c r="J422" s="87"/>
      <c r="K422" s="88"/>
      <c r="L422" s="88"/>
      <c r="M422" s="88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  <c r="AA422" s="80"/>
    </row>
    <row r="423">
      <c r="A423" s="85"/>
      <c r="B423" s="85"/>
      <c r="C423" s="85"/>
      <c r="D423" s="85"/>
      <c r="E423" s="85"/>
      <c r="F423" s="85"/>
      <c r="G423" s="86"/>
      <c r="H423" s="85"/>
      <c r="I423" s="87"/>
      <c r="J423" s="87"/>
      <c r="K423" s="88"/>
      <c r="L423" s="88"/>
      <c r="M423" s="88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  <c r="AA423" s="80"/>
    </row>
    <row r="424">
      <c r="A424" s="85"/>
      <c r="B424" s="85"/>
      <c r="C424" s="85"/>
      <c r="D424" s="85"/>
      <c r="E424" s="85"/>
      <c r="F424" s="85"/>
      <c r="G424" s="86"/>
      <c r="H424" s="85"/>
      <c r="I424" s="87"/>
      <c r="J424" s="87"/>
      <c r="K424" s="88"/>
      <c r="L424" s="88"/>
      <c r="M424" s="88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  <c r="AA424" s="80"/>
    </row>
    <row r="425">
      <c r="A425" s="85"/>
      <c r="B425" s="85"/>
      <c r="C425" s="85"/>
      <c r="D425" s="85"/>
      <c r="E425" s="85"/>
      <c r="F425" s="85"/>
      <c r="G425" s="86"/>
      <c r="H425" s="85"/>
      <c r="I425" s="87"/>
      <c r="J425" s="87"/>
      <c r="K425" s="88"/>
      <c r="L425" s="88"/>
      <c r="M425" s="88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</row>
    <row r="426">
      <c r="A426" s="85"/>
      <c r="B426" s="85"/>
      <c r="C426" s="85"/>
      <c r="D426" s="85"/>
      <c r="E426" s="85"/>
      <c r="F426" s="85"/>
      <c r="G426" s="86"/>
      <c r="H426" s="85"/>
      <c r="I426" s="87"/>
      <c r="J426" s="87"/>
      <c r="K426" s="88"/>
      <c r="L426" s="88"/>
      <c r="M426" s="88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</row>
    <row r="427">
      <c r="A427" s="85"/>
      <c r="B427" s="85"/>
      <c r="C427" s="85"/>
      <c r="D427" s="85"/>
      <c r="E427" s="85"/>
      <c r="F427" s="85"/>
      <c r="G427" s="86"/>
      <c r="H427" s="85"/>
      <c r="I427" s="87"/>
      <c r="J427" s="87"/>
      <c r="K427" s="88"/>
      <c r="L427" s="88"/>
      <c r="M427" s="88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</row>
    <row r="428">
      <c r="A428" s="85"/>
      <c r="B428" s="85"/>
      <c r="C428" s="85"/>
      <c r="D428" s="85"/>
      <c r="E428" s="85"/>
      <c r="F428" s="85"/>
      <c r="G428" s="86"/>
      <c r="H428" s="85"/>
      <c r="I428" s="87"/>
      <c r="J428" s="87"/>
      <c r="K428" s="88"/>
      <c r="L428" s="88"/>
      <c r="M428" s="88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  <c r="AA428" s="80"/>
    </row>
    <row r="429">
      <c r="A429" s="85"/>
      <c r="B429" s="85"/>
      <c r="C429" s="85"/>
      <c r="D429" s="85"/>
      <c r="E429" s="85"/>
      <c r="F429" s="85"/>
      <c r="G429" s="86"/>
      <c r="H429" s="85"/>
      <c r="I429" s="87"/>
      <c r="J429" s="87"/>
      <c r="K429" s="88"/>
      <c r="L429" s="88"/>
      <c r="M429" s="88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  <c r="AA429" s="80"/>
    </row>
    <row r="430">
      <c r="A430" s="85"/>
      <c r="B430" s="85"/>
      <c r="C430" s="85"/>
      <c r="D430" s="85"/>
      <c r="E430" s="85"/>
      <c r="F430" s="85"/>
      <c r="G430" s="86"/>
      <c r="H430" s="85"/>
      <c r="I430" s="87"/>
      <c r="J430" s="87"/>
      <c r="K430" s="88"/>
      <c r="L430" s="88"/>
      <c r="M430" s="88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  <c r="AA430" s="80"/>
    </row>
    <row r="431">
      <c r="A431" s="85"/>
      <c r="B431" s="85"/>
      <c r="C431" s="85"/>
      <c r="D431" s="85"/>
      <c r="E431" s="85"/>
      <c r="F431" s="85"/>
      <c r="G431" s="86"/>
      <c r="H431" s="85"/>
      <c r="I431" s="87"/>
      <c r="J431" s="87"/>
      <c r="K431" s="88"/>
      <c r="L431" s="88"/>
      <c r="M431" s="88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  <c r="AA431" s="80"/>
    </row>
    <row r="432">
      <c r="A432" s="85"/>
      <c r="B432" s="85"/>
      <c r="C432" s="85"/>
      <c r="D432" s="85"/>
      <c r="E432" s="85"/>
      <c r="F432" s="85"/>
      <c r="G432" s="86"/>
      <c r="H432" s="85"/>
      <c r="I432" s="87"/>
      <c r="J432" s="87"/>
      <c r="K432" s="88"/>
      <c r="L432" s="88"/>
      <c r="M432" s="88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  <c r="AA432" s="80"/>
    </row>
    <row r="433">
      <c r="A433" s="85"/>
      <c r="B433" s="85"/>
      <c r="C433" s="85"/>
      <c r="D433" s="85"/>
      <c r="E433" s="85"/>
      <c r="F433" s="85"/>
      <c r="G433" s="86"/>
      <c r="H433" s="85"/>
      <c r="I433" s="87"/>
      <c r="J433" s="87"/>
      <c r="K433" s="88"/>
      <c r="L433" s="88"/>
      <c r="M433" s="88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  <c r="AA433" s="80"/>
    </row>
    <row r="434">
      <c r="A434" s="85"/>
      <c r="B434" s="85"/>
      <c r="C434" s="85"/>
      <c r="D434" s="85"/>
      <c r="E434" s="85"/>
      <c r="F434" s="85"/>
      <c r="G434" s="86"/>
      <c r="H434" s="85"/>
      <c r="I434" s="87"/>
      <c r="J434" s="87"/>
      <c r="K434" s="88"/>
      <c r="L434" s="88"/>
      <c r="M434" s="88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</row>
    <row r="435">
      <c r="A435" s="85"/>
      <c r="B435" s="85"/>
      <c r="C435" s="85"/>
      <c r="D435" s="85"/>
      <c r="E435" s="85"/>
      <c r="F435" s="85"/>
      <c r="G435" s="86"/>
      <c r="H435" s="85"/>
      <c r="I435" s="87"/>
      <c r="J435" s="87"/>
      <c r="K435" s="88"/>
      <c r="L435" s="88"/>
      <c r="M435" s="88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  <c r="AA435" s="80"/>
    </row>
    <row r="436">
      <c r="A436" s="85"/>
      <c r="B436" s="85"/>
      <c r="C436" s="85"/>
      <c r="D436" s="85"/>
      <c r="E436" s="85"/>
      <c r="F436" s="85"/>
      <c r="G436" s="86"/>
      <c r="H436" s="85"/>
      <c r="I436" s="87"/>
      <c r="J436" s="87"/>
      <c r="K436" s="88"/>
      <c r="L436" s="88"/>
      <c r="M436" s="88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  <c r="AA436" s="80"/>
    </row>
    <row r="437">
      <c r="A437" s="85"/>
      <c r="B437" s="85"/>
      <c r="C437" s="85"/>
      <c r="D437" s="85"/>
      <c r="E437" s="85"/>
      <c r="F437" s="85"/>
      <c r="G437" s="86"/>
      <c r="H437" s="85"/>
      <c r="I437" s="87"/>
      <c r="J437" s="87"/>
      <c r="K437" s="88"/>
      <c r="L437" s="88"/>
      <c r="M437" s="88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  <c r="AA437" s="80"/>
    </row>
    <row r="438">
      <c r="A438" s="85"/>
      <c r="B438" s="85"/>
      <c r="C438" s="85"/>
      <c r="D438" s="85"/>
      <c r="E438" s="85"/>
      <c r="F438" s="85"/>
      <c r="G438" s="86"/>
      <c r="H438" s="85"/>
      <c r="I438" s="87"/>
      <c r="J438" s="87"/>
      <c r="K438" s="88"/>
      <c r="L438" s="88"/>
      <c r="M438" s="88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  <c r="AA438" s="80"/>
    </row>
    <row r="439">
      <c r="A439" s="85"/>
      <c r="B439" s="85"/>
      <c r="C439" s="85"/>
      <c r="D439" s="85"/>
      <c r="E439" s="85"/>
      <c r="F439" s="85"/>
      <c r="G439" s="86"/>
      <c r="H439" s="85"/>
      <c r="I439" s="87"/>
      <c r="J439" s="87"/>
      <c r="K439" s="88"/>
      <c r="L439" s="88"/>
      <c r="M439" s="88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  <c r="AA439" s="80"/>
    </row>
    <row r="440">
      <c r="A440" s="85"/>
      <c r="B440" s="85"/>
      <c r="C440" s="85"/>
      <c r="D440" s="85"/>
      <c r="E440" s="85"/>
      <c r="F440" s="85"/>
      <c r="G440" s="86"/>
      <c r="H440" s="85"/>
      <c r="I440" s="87"/>
      <c r="J440" s="87"/>
      <c r="K440" s="88"/>
      <c r="L440" s="88"/>
      <c r="M440" s="88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  <c r="AA440" s="80"/>
    </row>
    <row r="441">
      <c r="A441" s="85"/>
      <c r="B441" s="85"/>
      <c r="C441" s="85"/>
      <c r="D441" s="85"/>
      <c r="E441" s="85"/>
      <c r="F441" s="85"/>
      <c r="G441" s="86"/>
      <c r="H441" s="85"/>
      <c r="I441" s="87"/>
      <c r="J441" s="87"/>
      <c r="K441" s="88"/>
      <c r="L441" s="88"/>
      <c r="M441" s="88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  <c r="AA441" s="80"/>
    </row>
    <row r="442">
      <c r="A442" s="85"/>
      <c r="B442" s="85"/>
      <c r="C442" s="85"/>
      <c r="D442" s="85"/>
      <c r="E442" s="85"/>
      <c r="F442" s="85"/>
      <c r="G442" s="86"/>
      <c r="H442" s="85"/>
      <c r="I442" s="87"/>
      <c r="J442" s="87"/>
      <c r="K442" s="88"/>
      <c r="L442" s="88"/>
      <c r="M442" s="88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  <c r="AA442" s="80"/>
    </row>
    <row r="443">
      <c r="A443" s="85"/>
      <c r="B443" s="85"/>
      <c r="C443" s="85"/>
      <c r="D443" s="85"/>
      <c r="E443" s="85"/>
      <c r="F443" s="85"/>
      <c r="G443" s="86"/>
      <c r="H443" s="85"/>
      <c r="I443" s="87"/>
      <c r="J443" s="87"/>
      <c r="K443" s="88"/>
      <c r="L443" s="88"/>
      <c r="M443" s="88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</row>
    <row r="444">
      <c r="A444" s="85"/>
      <c r="B444" s="85"/>
      <c r="C444" s="85"/>
      <c r="D444" s="85"/>
      <c r="E444" s="85"/>
      <c r="F444" s="85"/>
      <c r="G444" s="86"/>
      <c r="H444" s="85"/>
      <c r="I444" s="87"/>
      <c r="J444" s="87"/>
      <c r="K444" s="88"/>
      <c r="L444" s="88"/>
      <c r="M444" s="88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  <c r="AA444" s="80"/>
    </row>
    <row r="445">
      <c r="A445" s="85"/>
      <c r="B445" s="85"/>
      <c r="C445" s="85"/>
      <c r="D445" s="85"/>
      <c r="E445" s="85"/>
      <c r="F445" s="85"/>
      <c r="G445" s="86"/>
      <c r="H445" s="85"/>
      <c r="I445" s="87"/>
      <c r="J445" s="87"/>
      <c r="K445" s="88"/>
      <c r="L445" s="88"/>
      <c r="M445" s="88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  <c r="AA445" s="80"/>
    </row>
    <row r="446">
      <c r="A446" s="85"/>
      <c r="B446" s="85"/>
      <c r="C446" s="85"/>
      <c r="D446" s="85"/>
      <c r="E446" s="85"/>
      <c r="F446" s="85"/>
      <c r="G446" s="86"/>
      <c r="H446" s="85"/>
      <c r="I446" s="87"/>
      <c r="J446" s="87"/>
      <c r="K446" s="88"/>
      <c r="L446" s="88"/>
      <c r="M446" s="88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  <c r="AA446" s="80"/>
    </row>
    <row r="447">
      <c r="A447" s="85"/>
      <c r="B447" s="85"/>
      <c r="C447" s="85"/>
      <c r="D447" s="85"/>
      <c r="E447" s="85"/>
      <c r="F447" s="85"/>
      <c r="G447" s="86"/>
      <c r="H447" s="85"/>
      <c r="I447" s="87"/>
      <c r="J447" s="87"/>
      <c r="K447" s="88"/>
      <c r="L447" s="88"/>
      <c r="M447" s="88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  <c r="AA447" s="80"/>
    </row>
    <row r="448">
      <c r="A448" s="85"/>
      <c r="B448" s="85"/>
      <c r="C448" s="85"/>
      <c r="D448" s="85"/>
      <c r="E448" s="85"/>
      <c r="F448" s="85"/>
      <c r="G448" s="86"/>
      <c r="H448" s="85"/>
      <c r="I448" s="87"/>
      <c r="J448" s="87"/>
      <c r="K448" s="88"/>
      <c r="L448" s="88"/>
      <c r="M448" s="88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  <c r="AA448" s="80"/>
    </row>
    <row r="449">
      <c r="A449" s="85"/>
      <c r="B449" s="85"/>
      <c r="C449" s="85"/>
      <c r="D449" s="85"/>
      <c r="E449" s="85"/>
      <c r="F449" s="85"/>
      <c r="G449" s="86"/>
      <c r="H449" s="85"/>
      <c r="I449" s="87"/>
      <c r="J449" s="87"/>
      <c r="K449" s="88"/>
      <c r="L449" s="88"/>
      <c r="M449" s="88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  <c r="AA449" s="80"/>
    </row>
    <row r="450">
      <c r="A450" s="85"/>
      <c r="B450" s="85"/>
      <c r="C450" s="85"/>
      <c r="D450" s="85"/>
      <c r="E450" s="85"/>
      <c r="F450" s="85"/>
      <c r="G450" s="86"/>
      <c r="H450" s="85"/>
      <c r="I450" s="87"/>
      <c r="J450" s="87"/>
      <c r="K450" s="88"/>
      <c r="L450" s="88"/>
      <c r="M450" s="88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  <c r="AA450" s="80"/>
    </row>
    <row r="451">
      <c r="A451" s="85"/>
      <c r="B451" s="85"/>
      <c r="C451" s="85"/>
      <c r="D451" s="85"/>
      <c r="E451" s="85"/>
      <c r="F451" s="85"/>
      <c r="G451" s="86"/>
      <c r="H451" s="85"/>
      <c r="I451" s="87"/>
      <c r="J451" s="87"/>
      <c r="K451" s="88"/>
      <c r="L451" s="88"/>
      <c r="M451" s="88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  <c r="AA451" s="80"/>
    </row>
    <row r="452">
      <c r="A452" s="85"/>
      <c r="B452" s="85"/>
      <c r="C452" s="85"/>
      <c r="D452" s="85"/>
      <c r="E452" s="85"/>
      <c r="F452" s="85"/>
      <c r="G452" s="86"/>
      <c r="H452" s="85"/>
      <c r="I452" s="87"/>
      <c r="J452" s="87"/>
      <c r="K452" s="88"/>
      <c r="L452" s="88"/>
      <c r="M452" s="88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  <c r="AA452" s="80"/>
    </row>
    <row r="453">
      <c r="A453" s="85"/>
      <c r="B453" s="85"/>
      <c r="C453" s="85"/>
      <c r="D453" s="85"/>
      <c r="E453" s="85"/>
      <c r="F453" s="85"/>
      <c r="G453" s="86"/>
      <c r="H453" s="85"/>
      <c r="I453" s="87"/>
      <c r="J453" s="87"/>
      <c r="K453" s="88"/>
      <c r="L453" s="88"/>
      <c r="M453" s="88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  <c r="AA453" s="80"/>
    </row>
    <row r="454">
      <c r="A454" s="85"/>
      <c r="B454" s="85"/>
      <c r="C454" s="85"/>
      <c r="D454" s="85"/>
      <c r="E454" s="85"/>
      <c r="F454" s="85"/>
      <c r="G454" s="86"/>
      <c r="H454" s="85"/>
      <c r="I454" s="87"/>
      <c r="J454" s="87"/>
      <c r="K454" s="88"/>
      <c r="L454" s="88"/>
      <c r="M454" s="88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  <c r="AA454" s="80"/>
    </row>
    <row r="455">
      <c r="A455" s="85"/>
      <c r="B455" s="85"/>
      <c r="C455" s="85"/>
      <c r="D455" s="85"/>
      <c r="E455" s="85"/>
      <c r="F455" s="85"/>
      <c r="G455" s="86"/>
      <c r="H455" s="85"/>
      <c r="I455" s="87"/>
      <c r="J455" s="87"/>
      <c r="K455" s="88"/>
      <c r="L455" s="88"/>
      <c r="M455" s="88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  <c r="AA455" s="80"/>
    </row>
    <row r="456">
      <c r="A456" s="85"/>
      <c r="B456" s="85"/>
      <c r="C456" s="85"/>
      <c r="D456" s="85"/>
      <c r="E456" s="85"/>
      <c r="F456" s="85"/>
      <c r="G456" s="86"/>
      <c r="H456" s="85"/>
      <c r="I456" s="87"/>
      <c r="J456" s="87"/>
      <c r="K456" s="88"/>
      <c r="L456" s="88"/>
      <c r="M456" s="88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  <c r="AA456" s="80"/>
    </row>
    <row r="457">
      <c r="A457" s="85"/>
      <c r="B457" s="85"/>
      <c r="C457" s="85"/>
      <c r="D457" s="85"/>
      <c r="E457" s="85"/>
      <c r="F457" s="85"/>
      <c r="G457" s="86"/>
      <c r="H457" s="85"/>
      <c r="I457" s="87"/>
      <c r="J457" s="87"/>
      <c r="K457" s="88"/>
      <c r="L457" s="88"/>
      <c r="M457" s="88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  <c r="AA457" s="80"/>
    </row>
    <row r="458">
      <c r="A458" s="85"/>
      <c r="B458" s="85"/>
      <c r="C458" s="85"/>
      <c r="D458" s="85"/>
      <c r="E458" s="85"/>
      <c r="F458" s="85"/>
      <c r="G458" s="86"/>
      <c r="H458" s="85"/>
      <c r="I458" s="87"/>
      <c r="J458" s="87"/>
      <c r="K458" s="88"/>
      <c r="L458" s="88"/>
      <c r="M458" s="88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  <c r="AA458" s="80"/>
    </row>
    <row r="459">
      <c r="A459" s="85"/>
      <c r="B459" s="85"/>
      <c r="C459" s="85"/>
      <c r="D459" s="85"/>
      <c r="E459" s="85"/>
      <c r="F459" s="85"/>
      <c r="G459" s="86"/>
      <c r="H459" s="85"/>
      <c r="I459" s="87"/>
      <c r="J459" s="87"/>
      <c r="K459" s="88"/>
      <c r="L459" s="88"/>
      <c r="M459" s="88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  <c r="AA459" s="80"/>
    </row>
    <row r="460">
      <c r="A460" s="85"/>
      <c r="B460" s="85"/>
      <c r="C460" s="85"/>
      <c r="D460" s="85"/>
      <c r="E460" s="85"/>
      <c r="F460" s="85"/>
      <c r="G460" s="86"/>
      <c r="H460" s="85"/>
      <c r="I460" s="87"/>
      <c r="J460" s="87"/>
      <c r="K460" s="88"/>
      <c r="L460" s="88"/>
      <c r="M460" s="88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  <c r="AA460" s="80"/>
    </row>
    <row r="461">
      <c r="A461" s="85"/>
      <c r="B461" s="85"/>
      <c r="C461" s="85"/>
      <c r="D461" s="85"/>
      <c r="E461" s="85"/>
      <c r="F461" s="85"/>
      <c r="G461" s="86"/>
      <c r="H461" s="85"/>
      <c r="I461" s="87"/>
      <c r="J461" s="87"/>
      <c r="K461" s="88"/>
      <c r="L461" s="88"/>
      <c r="M461" s="88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  <c r="AA461" s="80"/>
    </row>
    <row r="462">
      <c r="A462" s="85"/>
      <c r="B462" s="85"/>
      <c r="C462" s="85"/>
      <c r="D462" s="85"/>
      <c r="E462" s="85"/>
      <c r="F462" s="85"/>
      <c r="G462" s="86"/>
      <c r="H462" s="85"/>
      <c r="I462" s="87"/>
      <c r="J462" s="87"/>
      <c r="K462" s="88"/>
      <c r="L462" s="88"/>
      <c r="M462" s="88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  <c r="AA462" s="80"/>
    </row>
    <row r="463">
      <c r="A463" s="85"/>
      <c r="B463" s="85"/>
      <c r="C463" s="85"/>
      <c r="D463" s="85"/>
      <c r="E463" s="85"/>
      <c r="F463" s="85"/>
      <c r="G463" s="86"/>
      <c r="H463" s="85"/>
      <c r="I463" s="87"/>
      <c r="J463" s="87"/>
      <c r="K463" s="88"/>
      <c r="L463" s="88"/>
      <c r="M463" s="88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  <c r="AA463" s="80"/>
    </row>
    <row r="464">
      <c r="A464" s="85"/>
      <c r="B464" s="85"/>
      <c r="C464" s="85"/>
      <c r="D464" s="85"/>
      <c r="E464" s="85"/>
      <c r="F464" s="85"/>
      <c r="G464" s="86"/>
      <c r="H464" s="85"/>
      <c r="I464" s="87"/>
      <c r="J464" s="87"/>
      <c r="K464" s="88"/>
      <c r="L464" s="88"/>
      <c r="M464" s="88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  <c r="AA464" s="80"/>
    </row>
    <row r="465">
      <c r="A465" s="85"/>
      <c r="B465" s="85"/>
      <c r="C465" s="85"/>
      <c r="D465" s="85"/>
      <c r="E465" s="85"/>
      <c r="F465" s="85"/>
      <c r="G465" s="86"/>
      <c r="H465" s="85"/>
      <c r="I465" s="87"/>
      <c r="J465" s="87"/>
      <c r="K465" s="88"/>
      <c r="L465" s="88"/>
      <c r="M465" s="88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  <c r="AA465" s="80"/>
    </row>
    <row r="466">
      <c r="A466" s="85"/>
      <c r="B466" s="85"/>
      <c r="C466" s="85"/>
      <c r="D466" s="85"/>
      <c r="E466" s="85"/>
      <c r="F466" s="85"/>
      <c r="G466" s="86"/>
      <c r="H466" s="85"/>
      <c r="I466" s="87"/>
      <c r="J466" s="87"/>
      <c r="K466" s="88"/>
      <c r="L466" s="88"/>
      <c r="M466" s="88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  <c r="AA466" s="80"/>
    </row>
    <row r="467">
      <c r="A467" s="85"/>
      <c r="B467" s="85"/>
      <c r="C467" s="85"/>
      <c r="D467" s="85"/>
      <c r="E467" s="85"/>
      <c r="F467" s="85"/>
      <c r="G467" s="86"/>
      <c r="H467" s="85"/>
      <c r="I467" s="87"/>
      <c r="J467" s="87"/>
      <c r="K467" s="88"/>
      <c r="L467" s="88"/>
      <c r="M467" s="88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  <c r="AA467" s="80"/>
    </row>
    <row r="468">
      <c r="A468" s="85"/>
      <c r="B468" s="85"/>
      <c r="C468" s="85"/>
      <c r="D468" s="85"/>
      <c r="E468" s="85"/>
      <c r="F468" s="85"/>
      <c r="G468" s="86"/>
      <c r="H468" s="85"/>
      <c r="I468" s="87"/>
      <c r="J468" s="87"/>
      <c r="K468" s="88"/>
      <c r="L468" s="88"/>
      <c r="M468" s="88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  <c r="AA468" s="80"/>
    </row>
    <row r="469">
      <c r="A469" s="85"/>
      <c r="B469" s="85"/>
      <c r="C469" s="85"/>
      <c r="D469" s="85"/>
      <c r="E469" s="85"/>
      <c r="F469" s="85"/>
      <c r="G469" s="86"/>
      <c r="H469" s="85"/>
      <c r="I469" s="87"/>
      <c r="J469" s="87"/>
      <c r="K469" s="88"/>
      <c r="L469" s="88"/>
      <c r="M469" s="88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  <c r="AA469" s="80"/>
    </row>
    <row r="470">
      <c r="A470" s="85"/>
      <c r="B470" s="85"/>
      <c r="C470" s="85"/>
      <c r="D470" s="85"/>
      <c r="E470" s="85"/>
      <c r="F470" s="85"/>
      <c r="G470" s="86"/>
      <c r="H470" s="85"/>
      <c r="I470" s="87"/>
      <c r="J470" s="87"/>
      <c r="K470" s="88"/>
      <c r="L470" s="88"/>
      <c r="M470" s="88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  <c r="AA470" s="80"/>
    </row>
    <row r="471">
      <c r="A471" s="85"/>
      <c r="B471" s="85"/>
      <c r="C471" s="85"/>
      <c r="D471" s="85"/>
      <c r="E471" s="85"/>
      <c r="F471" s="85"/>
      <c r="G471" s="86"/>
      <c r="H471" s="85"/>
      <c r="I471" s="87"/>
      <c r="J471" s="87"/>
      <c r="K471" s="88"/>
      <c r="L471" s="88"/>
      <c r="M471" s="88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  <c r="AA471" s="80"/>
    </row>
    <row r="472">
      <c r="A472" s="85"/>
      <c r="B472" s="85"/>
      <c r="C472" s="85"/>
      <c r="D472" s="85"/>
      <c r="E472" s="85"/>
      <c r="F472" s="85"/>
      <c r="G472" s="86"/>
      <c r="H472" s="85"/>
      <c r="I472" s="87"/>
      <c r="J472" s="87"/>
      <c r="K472" s="88"/>
      <c r="L472" s="88"/>
      <c r="M472" s="88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  <c r="AA472" s="80"/>
    </row>
    <row r="473">
      <c r="A473" s="85"/>
      <c r="B473" s="85"/>
      <c r="C473" s="85"/>
      <c r="D473" s="85"/>
      <c r="E473" s="85"/>
      <c r="F473" s="85"/>
      <c r="G473" s="86"/>
      <c r="H473" s="85"/>
      <c r="I473" s="87"/>
      <c r="J473" s="87"/>
      <c r="K473" s="88"/>
      <c r="L473" s="88"/>
      <c r="M473" s="88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  <c r="AA473" s="80"/>
    </row>
    <row r="474">
      <c r="A474" s="85"/>
      <c r="B474" s="85"/>
      <c r="C474" s="85"/>
      <c r="D474" s="85"/>
      <c r="E474" s="85"/>
      <c r="F474" s="85"/>
      <c r="G474" s="86"/>
      <c r="H474" s="85"/>
      <c r="I474" s="87"/>
      <c r="J474" s="87"/>
      <c r="K474" s="88"/>
      <c r="L474" s="88"/>
      <c r="M474" s="88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  <c r="AA474" s="80"/>
    </row>
    <row r="475">
      <c r="A475" s="85"/>
      <c r="B475" s="85"/>
      <c r="C475" s="85"/>
      <c r="D475" s="85"/>
      <c r="E475" s="85"/>
      <c r="F475" s="85"/>
      <c r="G475" s="86"/>
      <c r="H475" s="85"/>
      <c r="I475" s="87"/>
      <c r="J475" s="87"/>
      <c r="K475" s="88"/>
      <c r="L475" s="88"/>
      <c r="M475" s="88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  <c r="AA475" s="80"/>
    </row>
    <row r="476">
      <c r="A476" s="85"/>
      <c r="B476" s="85"/>
      <c r="C476" s="85"/>
      <c r="D476" s="85"/>
      <c r="E476" s="85"/>
      <c r="F476" s="85"/>
      <c r="G476" s="86"/>
      <c r="H476" s="85"/>
      <c r="I476" s="87"/>
      <c r="J476" s="87"/>
      <c r="K476" s="88"/>
      <c r="L476" s="88"/>
      <c r="M476" s="88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  <c r="AA476" s="80"/>
    </row>
    <row r="477">
      <c r="A477" s="85"/>
      <c r="B477" s="85"/>
      <c r="C477" s="85"/>
      <c r="D477" s="85"/>
      <c r="E477" s="85"/>
      <c r="F477" s="85"/>
      <c r="G477" s="86"/>
      <c r="H477" s="85"/>
      <c r="I477" s="87"/>
      <c r="J477" s="87"/>
      <c r="K477" s="88"/>
      <c r="L477" s="88"/>
      <c r="M477" s="88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  <c r="AA477" s="80"/>
    </row>
    <row r="478">
      <c r="A478" s="85"/>
      <c r="B478" s="85"/>
      <c r="C478" s="85"/>
      <c r="D478" s="85"/>
      <c r="E478" s="85"/>
      <c r="F478" s="85"/>
      <c r="G478" s="86"/>
      <c r="H478" s="85"/>
      <c r="I478" s="87"/>
      <c r="J478" s="87"/>
      <c r="K478" s="88"/>
      <c r="L478" s="88"/>
      <c r="M478" s="88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  <c r="AA478" s="80"/>
    </row>
    <row r="479">
      <c r="A479" s="85"/>
      <c r="B479" s="85"/>
      <c r="C479" s="85"/>
      <c r="D479" s="85"/>
      <c r="E479" s="85"/>
      <c r="F479" s="85"/>
      <c r="G479" s="86"/>
      <c r="H479" s="85"/>
      <c r="I479" s="87"/>
      <c r="J479" s="87"/>
      <c r="K479" s="88"/>
      <c r="L479" s="88"/>
      <c r="M479" s="88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  <c r="AA479" s="80"/>
    </row>
    <row r="480">
      <c r="A480" s="85"/>
      <c r="B480" s="85"/>
      <c r="C480" s="85"/>
      <c r="D480" s="85"/>
      <c r="E480" s="85"/>
      <c r="F480" s="85"/>
      <c r="G480" s="86"/>
      <c r="H480" s="85"/>
      <c r="I480" s="87"/>
      <c r="J480" s="87"/>
      <c r="K480" s="88"/>
      <c r="L480" s="88"/>
      <c r="M480" s="88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  <c r="AA480" s="80"/>
    </row>
    <row r="481">
      <c r="A481" s="85"/>
      <c r="B481" s="85"/>
      <c r="C481" s="85"/>
      <c r="D481" s="85"/>
      <c r="E481" s="85"/>
      <c r="F481" s="85"/>
      <c r="G481" s="86"/>
      <c r="H481" s="85"/>
      <c r="I481" s="87"/>
      <c r="J481" s="87"/>
      <c r="K481" s="88"/>
      <c r="L481" s="88"/>
      <c r="M481" s="88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  <c r="AA481" s="80"/>
    </row>
    <row r="482">
      <c r="A482" s="85"/>
      <c r="B482" s="85"/>
      <c r="C482" s="85"/>
      <c r="D482" s="85"/>
      <c r="E482" s="85"/>
      <c r="F482" s="85"/>
      <c r="G482" s="86"/>
      <c r="H482" s="85"/>
      <c r="I482" s="87"/>
      <c r="J482" s="87"/>
      <c r="K482" s="88"/>
      <c r="L482" s="88"/>
      <c r="M482" s="88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  <c r="AA482" s="80"/>
    </row>
    <row r="483">
      <c r="A483" s="85"/>
      <c r="B483" s="85"/>
      <c r="C483" s="85"/>
      <c r="D483" s="85"/>
      <c r="E483" s="85"/>
      <c r="F483" s="85"/>
      <c r="G483" s="86"/>
      <c r="H483" s="85"/>
      <c r="I483" s="87"/>
      <c r="J483" s="87"/>
      <c r="K483" s="88"/>
      <c r="L483" s="88"/>
      <c r="M483" s="88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</row>
    <row r="484">
      <c r="A484" s="85"/>
      <c r="B484" s="85"/>
      <c r="C484" s="85"/>
      <c r="D484" s="85"/>
      <c r="E484" s="85"/>
      <c r="F484" s="85"/>
      <c r="G484" s="86"/>
      <c r="H484" s="85"/>
      <c r="I484" s="87"/>
      <c r="J484" s="87"/>
      <c r="K484" s="88"/>
      <c r="L484" s="88"/>
      <c r="M484" s="88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  <c r="AA484" s="80"/>
    </row>
    <row r="485">
      <c r="A485" s="85"/>
      <c r="B485" s="85"/>
      <c r="C485" s="85"/>
      <c r="D485" s="85"/>
      <c r="E485" s="85"/>
      <c r="F485" s="85"/>
      <c r="G485" s="86"/>
      <c r="H485" s="85"/>
      <c r="I485" s="87"/>
      <c r="J485" s="87"/>
      <c r="K485" s="88"/>
      <c r="L485" s="88"/>
      <c r="M485" s="88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  <c r="AA485" s="80"/>
    </row>
    <row r="486">
      <c r="A486" s="85"/>
      <c r="B486" s="85"/>
      <c r="C486" s="85"/>
      <c r="D486" s="85"/>
      <c r="E486" s="85"/>
      <c r="F486" s="85"/>
      <c r="G486" s="86"/>
      <c r="H486" s="85"/>
      <c r="I486" s="87"/>
      <c r="J486" s="87"/>
      <c r="K486" s="88"/>
      <c r="L486" s="88"/>
      <c r="M486" s="88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  <c r="AA486" s="80"/>
    </row>
    <row r="487">
      <c r="A487" s="85"/>
      <c r="B487" s="85"/>
      <c r="C487" s="85"/>
      <c r="D487" s="85"/>
      <c r="E487" s="85"/>
      <c r="F487" s="85"/>
      <c r="G487" s="86"/>
      <c r="H487" s="85"/>
      <c r="I487" s="87"/>
      <c r="J487" s="87"/>
      <c r="K487" s="88"/>
      <c r="L487" s="88"/>
      <c r="M487" s="88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  <c r="AA487" s="80"/>
    </row>
    <row r="488">
      <c r="A488" s="85"/>
      <c r="B488" s="85"/>
      <c r="C488" s="85"/>
      <c r="D488" s="85"/>
      <c r="E488" s="85"/>
      <c r="F488" s="85"/>
      <c r="G488" s="86"/>
      <c r="H488" s="85"/>
      <c r="I488" s="87"/>
      <c r="J488" s="87"/>
      <c r="K488" s="88"/>
      <c r="L488" s="88"/>
      <c r="M488" s="88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</row>
    <row r="489">
      <c r="A489" s="85"/>
      <c r="B489" s="85"/>
      <c r="C489" s="85"/>
      <c r="D489" s="85"/>
      <c r="E489" s="85"/>
      <c r="F489" s="85"/>
      <c r="G489" s="86"/>
      <c r="H489" s="85"/>
      <c r="I489" s="87"/>
      <c r="J489" s="87"/>
      <c r="K489" s="88"/>
      <c r="L489" s="88"/>
      <c r="M489" s="88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  <c r="AA489" s="80"/>
    </row>
    <row r="490">
      <c r="A490" s="85"/>
      <c r="B490" s="85"/>
      <c r="C490" s="85"/>
      <c r="D490" s="85"/>
      <c r="E490" s="85"/>
      <c r="F490" s="85"/>
      <c r="G490" s="86"/>
      <c r="H490" s="85"/>
      <c r="I490" s="87"/>
      <c r="J490" s="87"/>
      <c r="K490" s="88"/>
      <c r="L490" s="88"/>
      <c r="M490" s="88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  <c r="AA490" s="80"/>
    </row>
    <row r="491">
      <c r="A491" s="85"/>
      <c r="B491" s="85"/>
      <c r="C491" s="85"/>
      <c r="D491" s="85"/>
      <c r="E491" s="85"/>
      <c r="F491" s="85"/>
      <c r="G491" s="86"/>
      <c r="H491" s="85"/>
      <c r="I491" s="87"/>
      <c r="J491" s="87"/>
      <c r="K491" s="88"/>
      <c r="L491" s="88"/>
      <c r="M491" s="88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  <c r="AA491" s="80"/>
    </row>
    <row r="492">
      <c r="A492" s="85"/>
      <c r="B492" s="85"/>
      <c r="C492" s="85"/>
      <c r="D492" s="85"/>
      <c r="E492" s="85"/>
      <c r="F492" s="85"/>
      <c r="G492" s="86"/>
      <c r="H492" s="85"/>
      <c r="I492" s="87"/>
      <c r="J492" s="87"/>
      <c r="K492" s="88"/>
      <c r="L492" s="88"/>
      <c r="M492" s="88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  <c r="AA492" s="80"/>
    </row>
    <row r="493">
      <c r="A493" s="85"/>
      <c r="B493" s="85"/>
      <c r="C493" s="85"/>
      <c r="D493" s="85"/>
      <c r="E493" s="85"/>
      <c r="F493" s="85"/>
      <c r="G493" s="86"/>
      <c r="H493" s="85"/>
      <c r="I493" s="87"/>
      <c r="J493" s="87"/>
      <c r="K493" s="88"/>
      <c r="L493" s="88"/>
      <c r="M493" s="88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  <c r="AA493" s="80"/>
    </row>
    <row r="494">
      <c r="A494" s="85"/>
      <c r="B494" s="85"/>
      <c r="C494" s="85"/>
      <c r="D494" s="85"/>
      <c r="E494" s="85"/>
      <c r="F494" s="85"/>
      <c r="G494" s="86"/>
      <c r="H494" s="85"/>
      <c r="I494" s="87"/>
      <c r="J494" s="87"/>
      <c r="K494" s="88"/>
      <c r="L494" s="88"/>
      <c r="M494" s="88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  <c r="AA494" s="80"/>
    </row>
    <row r="495">
      <c r="A495" s="85"/>
      <c r="B495" s="85"/>
      <c r="C495" s="85"/>
      <c r="D495" s="85"/>
      <c r="E495" s="85"/>
      <c r="F495" s="85"/>
      <c r="G495" s="86"/>
      <c r="H495" s="85"/>
      <c r="I495" s="87"/>
      <c r="J495" s="87"/>
      <c r="K495" s="88"/>
      <c r="L495" s="88"/>
      <c r="M495" s="88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  <c r="AA495" s="80"/>
    </row>
    <row r="496">
      <c r="A496" s="85"/>
      <c r="B496" s="85"/>
      <c r="C496" s="85"/>
      <c r="D496" s="85"/>
      <c r="E496" s="85"/>
      <c r="F496" s="85"/>
      <c r="G496" s="86"/>
      <c r="H496" s="85"/>
      <c r="I496" s="87"/>
      <c r="J496" s="87"/>
      <c r="K496" s="88"/>
      <c r="L496" s="88"/>
      <c r="M496" s="88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  <c r="AA496" s="80"/>
    </row>
    <row r="497">
      <c r="A497" s="85"/>
      <c r="B497" s="85"/>
      <c r="C497" s="85"/>
      <c r="D497" s="85"/>
      <c r="E497" s="85"/>
      <c r="F497" s="85"/>
      <c r="G497" s="86"/>
      <c r="H497" s="85"/>
      <c r="I497" s="87"/>
      <c r="J497" s="87"/>
      <c r="K497" s="88"/>
      <c r="L497" s="88"/>
      <c r="M497" s="88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  <c r="AA497" s="80"/>
    </row>
    <row r="498">
      <c r="A498" s="85"/>
      <c r="B498" s="85"/>
      <c r="C498" s="85"/>
      <c r="D498" s="85"/>
      <c r="E498" s="85"/>
      <c r="F498" s="85"/>
      <c r="G498" s="86"/>
      <c r="H498" s="85"/>
      <c r="I498" s="87"/>
      <c r="J498" s="87"/>
      <c r="K498" s="88"/>
      <c r="L498" s="88"/>
      <c r="M498" s="88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  <c r="AA498" s="80"/>
    </row>
    <row r="499">
      <c r="A499" s="85"/>
      <c r="B499" s="85"/>
      <c r="C499" s="85"/>
      <c r="D499" s="85"/>
      <c r="E499" s="85"/>
      <c r="F499" s="85"/>
      <c r="G499" s="86"/>
      <c r="H499" s="85"/>
      <c r="I499" s="87"/>
      <c r="J499" s="87"/>
      <c r="K499" s="88"/>
      <c r="L499" s="88"/>
      <c r="M499" s="88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  <c r="AA499" s="80"/>
    </row>
    <row r="500">
      <c r="A500" s="85"/>
      <c r="B500" s="85"/>
      <c r="C500" s="85"/>
      <c r="D500" s="85"/>
      <c r="E500" s="85"/>
      <c r="F500" s="85"/>
      <c r="G500" s="86"/>
      <c r="H500" s="85"/>
      <c r="I500" s="87"/>
      <c r="J500" s="87"/>
      <c r="K500" s="88"/>
      <c r="L500" s="88"/>
      <c r="M500" s="88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  <c r="AA500" s="80"/>
    </row>
    <row r="501">
      <c r="A501" s="85"/>
      <c r="B501" s="85"/>
      <c r="C501" s="85"/>
      <c r="D501" s="85"/>
      <c r="E501" s="85"/>
      <c r="F501" s="85"/>
      <c r="G501" s="86"/>
      <c r="H501" s="85"/>
      <c r="I501" s="87"/>
      <c r="J501" s="87"/>
      <c r="K501" s="88"/>
      <c r="L501" s="88"/>
      <c r="M501" s="88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  <c r="AA501" s="80"/>
    </row>
    <row r="502">
      <c r="A502" s="85"/>
      <c r="B502" s="85"/>
      <c r="C502" s="85"/>
      <c r="D502" s="85"/>
      <c r="E502" s="85"/>
      <c r="F502" s="85"/>
      <c r="G502" s="86"/>
      <c r="H502" s="85"/>
      <c r="I502" s="87"/>
      <c r="J502" s="87"/>
      <c r="K502" s="88"/>
      <c r="L502" s="88"/>
      <c r="M502" s="88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  <c r="AA502" s="80"/>
    </row>
    <row r="503">
      <c r="A503" s="85"/>
      <c r="B503" s="85"/>
      <c r="C503" s="85"/>
      <c r="D503" s="85"/>
      <c r="E503" s="85"/>
      <c r="F503" s="85"/>
      <c r="G503" s="86"/>
      <c r="H503" s="85"/>
      <c r="I503" s="87"/>
      <c r="J503" s="87"/>
      <c r="K503" s="88"/>
      <c r="L503" s="88"/>
      <c r="M503" s="88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  <c r="AA503" s="80"/>
    </row>
    <row r="504">
      <c r="A504" s="85"/>
      <c r="B504" s="85"/>
      <c r="C504" s="85"/>
      <c r="D504" s="85"/>
      <c r="E504" s="85"/>
      <c r="F504" s="85"/>
      <c r="G504" s="86"/>
      <c r="H504" s="85"/>
      <c r="I504" s="87"/>
      <c r="J504" s="87"/>
      <c r="K504" s="88"/>
      <c r="L504" s="88"/>
      <c r="M504" s="88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  <c r="AA504" s="80"/>
    </row>
    <row r="505">
      <c r="A505" s="85"/>
      <c r="B505" s="85"/>
      <c r="C505" s="85"/>
      <c r="D505" s="85"/>
      <c r="E505" s="85"/>
      <c r="F505" s="85"/>
      <c r="G505" s="86"/>
      <c r="H505" s="85"/>
      <c r="I505" s="87"/>
      <c r="J505" s="87"/>
      <c r="K505" s="88"/>
      <c r="L505" s="88"/>
      <c r="M505" s="88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  <c r="AA505" s="80"/>
    </row>
    <row r="506">
      <c r="A506" s="85"/>
      <c r="B506" s="85"/>
      <c r="C506" s="85"/>
      <c r="D506" s="85"/>
      <c r="E506" s="85"/>
      <c r="F506" s="85"/>
      <c r="G506" s="86"/>
      <c r="H506" s="85"/>
      <c r="I506" s="87"/>
      <c r="J506" s="87"/>
      <c r="K506" s="88"/>
      <c r="L506" s="88"/>
      <c r="M506" s="88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  <c r="AA506" s="80"/>
    </row>
    <row r="507">
      <c r="A507" s="85"/>
      <c r="B507" s="85"/>
      <c r="C507" s="85"/>
      <c r="D507" s="85"/>
      <c r="E507" s="85"/>
      <c r="F507" s="85"/>
      <c r="G507" s="86"/>
      <c r="H507" s="85"/>
      <c r="I507" s="87"/>
      <c r="J507" s="87"/>
      <c r="K507" s="88"/>
      <c r="L507" s="88"/>
      <c r="M507" s="88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  <c r="AA507" s="80"/>
    </row>
    <row r="508">
      <c r="A508" s="85"/>
      <c r="B508" s="85"/>
      <c r="C508" s="85"/>
      <c r="D508" s="85"/>
      <c r="E508" s="85"/>
      <c r="F508" s="85"/>
      <c r="G508" s="86"/>
      <c r="H508" s="85"/>
      <c r="I508" s="87"/>
      <c r="J508" s="87"/>
      <c r="K508" s="88"/>
      <c r="L508" s="88"/>
      <c r="M508" s="88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  <c r="AA508" s="80"/>
    </row>
    <row r="509">
      <c r="A509" s="85"/>
      <c r="B509" s="85"/>
      <c r="C509" s="85"/>
      <c r="D509" s="85"/>
      <c r="E509" s="85"/>
      <c r="F509" s="85"/>
      <c r="G509" s="86"/>
      <c r="H509" s="85"/>
      <c r="I509" s="87"/>
      <c r="J509" s="87"/>
      <c r="K509" s="88"/>
      <c r="L509" s="88"/>
      <c r="M509" s="88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  <c r="AA509" s="80"/>
    </row>
    <row r="510">
      <c r="A510" s="85"/>
      <c r="B510" s="85"/>
      <c r="C510" s="85"/>
      <c r="D510" s="85"/>
      <c r="E510" s="85"/>
      <c r="F510" s="85"/>
      <c r="G510" s="86"/>
      <c r="H510" s="85"/>
      <c r="I510" s="87"/>
      <c r="J510" s="87"/>
      <c r="K510" s="88"/>
      <c r="L510" s="88"/>
      <c r="M510" s="88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  <c r="AA510" s="80"/>
    </row>
    <row r="511">
      <c r="A511" s="85"/>
      <c r="B511" s="85"/>
      <c r="C511" s="85"/>
      <c r="D511" s="85"/>
      <c r="E511" s="85"/>
      <c r="F511" s="85"/>
      <c r="G511" s="86"/>
      <c r="H511" s="85"/>
      <c r="I511" s="87"/>
      <c r="J511" s="87"/>
      <c r="K511" s="88"/>
      <c r="L511" s="88"/>
      <c r="M511" s="88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  <c r="AA511" s="80"/>
    </row>
    <row r="512">
      <c r="A512" s="85"/>
      <c r="B512" s="85"/>
      <c r="C512" s="85"/>
      <c r="D512" s="85"/>
      <c r="E512" s="85"/>
      <c r="F512" s="85"/>
      <c r="G512" s="86"/>
      <c r="H512" s="85"/>
      <c r="I512" s="87"/>
      <c r="J512" s="87"/>
      <c r="K512" s="88"/>
      <c r="L512" s="88"/>
      <c r="M512" s="88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  <c r="AA512" s="80"/>
    </row>
    <row r="513">
      <c r="A513" s="85"/>
      <c r="B513" s="85"/>
      <c r="C513" s="85"/>
      <c r="D513" s="85"/>
      <c r="E513" s="85"/>
      <c r="F513" s="85"/>
      <c r="G513" s="86"/>
      <c r="H513" s="85"/>
      <c r="I513" s="87"/>
      <c r="J513" s="87"/>
      <c r="K513" s="88"/>
      <c r="L513" s="88"/>
      <c r="M513" s="88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  <c r="AA513" s="80"/>
    </row>
    <row r="514">
      <c r="A514" s="85"/>
      <c r="B514" s="85"/>
      <c r="C514" s="85"/>
      <c r="D514" s="85"/>
      <c r="E514" s="85"/>
      <c r="F514" s="85"/>
      <c r="G514" s="86"/>
      <c r="H514" s="85"/>
      <c r="I514" s="87"/>
      <c r="J514" s="87"/>
      <c r="K514" s="88"/>
      <c r="L514" s="88"/>
      <c r="M514" s="88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  <c r="AA514" s="80"/>
    </row>
    <row r="515">
      <c r="A515" s="85"/>
      <c r="B515" s="85"/>
      <c r="C515" s="85"/>
      <c r="D515" s="85"/>
      <c r="E515" s="85"/>
      <c r="F515" s="85"/>
      <c r="G515" s="86"/>
      <c r="H515" s="85"/>
      <c r="I515" s="87"/>
      <c r="J515" s="87"/>
      <c r="K515" s="88"/>
      <c r="L515" s="88"/>
      <c r="M515" s="88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  <c r="AA515" s="80"/>
    </row>
    <row r="516">
      <c r="A516" s="85"/>
      <c r="B516" s="85"/>
      <c r="C516" s="85"/>
      <c r="D516" s="85"/>
      <c r="E516" s="85"/>
      <c r="F516" s="85"/>
      <c r="G516" s="86"/>
      <c r="H516" s="85"/>
      <c r="I516" s="87"/>
      <c r="J516" s="87"/>
      <c r="K516" s="88"/>
      <c r="L516" s="88"/>
      <c r="M516" s="88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  <c r="AA516" s="80"/>
    </row>
    <row r="517">
      <c r="A517" s="85"/>
      <c r="B517" s="85"/>
      <c r="C517" s="85"/>
      <c r="D517" s="85"/>
      <c r="E517" s="85"/>
      <c r="F517" s="85"/>
      <c r="G517" s="86"/>
      <c r="H517" s="85"/>
      <c r="I517" s="87"/>
      <c r="J517" s="87"/>
      <c r="K517" s="88"/>
      <c r="L517" s="88"/>
      <c r="M517" s="88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  <c r="AA517" s="80"/>
    </row>
    <row r="518">
      <c r="A518" s="85"/>
      <c r="B518" s="85"/>
      <c r="C518" s="85"/>
      <c r="D518" s="85"/>
      <c r="E518" s="85"/>
      <c r="F518" s="85"/>
      <c r="G518" s="86"/>
      <c r="H518" s="85"/>
      <c r="I518" s="87"/>
      <c r="J518" s="87"/>
      <c r="K518" s="88"/>
      <c r="L518" s="88"/>
      <c r="M518" s="88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</row>
    <row r="519">
      <c r="A519" s="85"/>
      <c r="B519" s="85"/>
      <c r="C519" s="85"/>
      <c r="D519" s="85"/>
      <c r="E519" s="85"/>
      <c r="F519" s="85"/>
      <c r="G519" s="86"/>
      <c r="H519" s="85"/>
      <c r="I519" s="87"/>
      <c r="J519" s="87"/>
      <c r="K519" s="88"/>
      <c r="L519" s="88"/>
      <c r="M519" s="88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  <c r="AA519" s="80"/>
    </row>
    <row r="520">
      <c r="A520" s="85"/>
      <c r="B520" s="85"/>
      <c r="C520" s="85"/>
      <c r="D520" s="85"/>
      <c r="E520" s="85"/>
      <c r="F520" s="85"/>
      <c r="G520" s="86"/>
      <c r="H520" s="85"/>
      <c r="I520" s="87"/>
      <c r="J520" s="87"/>
      <c r="K520" s="88"/>
      <c r="L520" s="88"/>
      <c r="M520" s="88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  <c r="AA520" s="80"/>
    </row>
    <row r="521">
      <c r="A521" s="85"/>
      <c r="B521" s="85"/>
      <c r="C521" s="85"/>
      <c r="D521" s="85"/>
      <c r="E521" s="85"/>
      <c r="F521" s="85"/>
      <c r="G521" s="86"/>
      <c r="H521" s="85"/>
      <c r="I521" s="87"/>
      <c r="J521" s="87"/>
      <c r="K521" s="88"/>
      <c r="L521" s="88"/>
      <c r="M521" s="88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</row>
    <row r="522">
      <c r="A522" s="85"/>
      <c r="B522" s="85"/>
      <c r="C522" s="85"/>
      <c r="D522" s="85"/>
      <c r="E522" s="85"/>
      <c r="F522" s="85"/>
      <c r="G522" s="86"/>
      <c r="H522" s="85"/>
      <c r="I522" s="87"/>
      <c r="J522" s="87"/>
      <c r="K522" s="88"/>
      <c r="L522" s="88"/>
      <c r="M522" s="88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</row>
    <row r="523">
      <c r="A523" s="85"/>
      <c r="B523" s="85"/>
      <c r="C523" s="85"/>
      <c r="D523" s="85"/>
      <c r="E523" s="85"/>
      <c r="F523" s="85"/>
      <c r="G523" s="86"/>
      <c r="H523" s="85"/>
      <c r="I523" s="87"/>
      <c r="J523" s="87"/>
      <c r="K523" s="88"/>
      <c r="L523" s="88"/>
      <c r="M523" s="88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</row>
    <row r="524">
      <c r="A524" s="85"/>
      <c r="B524" s="85"/>
      <c r="C524" s="85"/>
      <c r="D524" s="85"/>
      <c r="E524" s="85"/>
      <c r="F524" s="85"/>
      <c r="G524" s="86"/>
      <c r="H524" s="85"/>
      <c r="I524" s="87"/>
      <c r="J524" s="87"/>
      <c r="K524" s="88"/>
      <c r="L524" s="88"/>
      <c r="M524" s="88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  <c r="AA524" s="80"/>
    </row>
    <row r="525">
      <c r="A525" s="85"/>
      <c r="B525" s="85"/>
      <c r="C525" s="85"/>
      <c r="D525" s="85"/>
      <c r="E525" s="85"/>
      <c r="F525" s="85"/>
      <c r="G525" s="86"/>
      <c r="H525" s="85"/>
      <c r="I525" s="87"/>
      <c r="J525" s="87"/>
      <c r="K525" s="88"/>
      <c r="L525" s="88"/>
      <c r="M525" s="88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  <c r="AA525" s="80"/>
    </row>
    <row r="526">
      <c r="A526" s="85"/>
      <c r="B526" s="85"/>
      <c r="C526" s="85"/>
      <c r="D526" s="85"/>
      <c r="E526" s="85"/>
      <c r="F526" s="85"/>
      <c r="G526" s="86"/>
      <c r="H526" s="85"/>
      <c r="I526" s="87"/>
      <c r="J526" s="87"/>
      <c r="K526" s="88"/>
      <c r="L526" s="88"/>
      <c r="M526" s="88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</row>
    <row r="527">
      <c r="A527" s="85"/>
      <c r="B527" s="85"/>
      <c r="C527" s="85"/>
      <c r="D527" s="85"/>
      <c r="E527" s="85"/>
      <c r="F527" s="85"/>
      <c r="G527" s="86"/>
      <c r="H527" s="85"/>
      <c r="I527" s="87"/>
      <c r="J527" s="87"/>
      <c r="K527" s="88"/>
      <c r="L527" s="88"/>
      <c r="M527" s="88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  <c r="AA527" s="80"/>
    </row>
    <row r="528">
      <c r="A528" s="85"/>
      <c r="B528" s="85"/>
      <c r="C528" s="85"/>
      <c r="D528" s="85"/>
      <c r="E528" s="85"/>
      <c r="F528" s="85"/>
      <c r="G528" s="86"/>
      <c r="H528" s="85"/>
      <c r="I528" s="87"/>
      <c r="J528" s="87"/>
      <c r="K528" s="88"/>
      <c r="L528" s="88"/>
      <c r="M528" s="88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  <c r="AA528" s="80"/>
    </row>
    <row r="529">
      <c r="A529" s="85"/>
      <c r="B529" s="85"/>
      <c r="C529" s="85"/>
      <c r="D529" s="85"/>
      <c r="E529" s="85"/>
      <c r="F529" s="85"/>
      <c r="G529" s="86"/>
      <c r="H529" s="85"/>
      <c r="I529" s="87"/>
      <c r="J529" s="87"/>
      <c r="K529" s="88"/>
      <c r="L529" s="88"/>
      <c r="M529" s="88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  <c r="AA529" s="80"/>
    </row>
    <row r="530">
      <c r="A530" s="85"/>
      <c r="B530" s="85"/>
      <c r="C530" s="85"/>
      <c r="D530" s="85"/>
      <c r="E530" s="85"/>
      <c r="F530" s="85"/>
      <c r="G530" s="86"/>
      <c r="H530" s="85"/>
      <c r="I530" s="87"/>
      <c r="J530" s="87"/>
      <c r="K530" s="88"/>
      <c r="L530" s="88"/>
      <c r="M530" s="88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</row>
    <row r="531">
      <c r="A531" s="85"/>
      <c r="B531" s="85"/>
      <c r="C531" s="85"/>
      <c r="D531" s="85"/>
      <c r="E531" s="85"/>
      <c r="F531" s="85"/>
      <c r="G531" s="86"/>
      <c r="H531" s="85"/>
      <c r="I531" s="87"/>
      <c r="J531" s="87"/>
      <c r="K531" s="88"/>
      <c r="L531" s="88"/>
      <c r="M531" s="88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  <c r="AA531" s="80"/>
    </row>
    <row r="532">
      <c r="A532" s="85"/>
      <c r="B532" s="85"/>
      <c r="C532" s="85"/>
      <c r="D532" s="85"/>
      <c r="E532" s="85"/>
      <c r="F532" s="85"/>
      <c r="G532" s="86"/>
      <c r="H532" s="85"/>
      <c r="I532" s="87"/>
      <c r="J532" s="87"/>
      <c r="K532" s="88"/>
      <c r="L532" s="88"/>
      <c r="M532" s="88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  <c r="AA532" s="80"/>
    </row>
    <row r="533">
      <c r="A533" s="85"/>
      <c r="B533" s="85"/>
      <c r="C533" s="85"/>
      <c r="D533" s="85"/>
      <c r="E533" s="85"/>
      <c r="F533" s="85"/>
      <c r="G533" s="86"/>
      <c r="H533" s="85"/>
      <c r="I533" s="87"/>
      <c r="J533" s="87"/>
      <c r="K533" s="88"/>
      <c r="L533" s="88"/>
      <c r="M533" s="88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  <c r="AA533" s="80"/>
    </row>
    <row r="534">
      <c r="A534" s="85"/>
      <c r="B534" s="85"/>
      <c r="C534" s="85"/>
      <c r="D534" s="85"/>
      <c r="E534" s="85"/>
      <c r="F534" s="85"/>
      <c r="G534" s="86"/>
      <c r="H534" s="85"/>
      <c r="I534" s="87"/>
      <c r="J534" s="87"/>
      <c r="K534" s="88"/>
      <c r="L534" s="88"/>
      <c r="M534" s="88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</row>
    <row r="535">
      <c r="A535" s="85"/>
      <c r="B535" s="85"/>
      <c r="C535" s="85"/>
      <c r="D535" s="85"/>
      <c r="E535" s="85"/>
      <c r="F535" s="85"/>
      <c r="G535" s="86"/>
      <c r="H535" s="85"/>
      <c r="I535" s="87"/>
      <c r="J535" s="87"/>
      <c r="K535" s="88"/>
      <c r="L535" s="88"/>
      <c r="M535" s="88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</row>
    <row r="536">
      <c r="A536" s="85"/>
      <c r="B536" s="85"/>
      <c r="C536" s="85"/>
      <c r="D536" s="85"/>
      <c r="E536" s="85"/>
      <c r="F536" s="85"/>
      <c r="G536" s="86"/>
      <c r="H536" s="85"/>
      <c r="I536" s="87"/>
      <c r="J536" s="87"/>
      <c r="K536" s="88"/>
      <c r="L536" s="88"/>
      <c r="M536" s="88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  <c r="AA536" s="80"/>
    </row>
    <row r="537">
      <c r="A537" s="85"/>
      <c r="B537" s="85"/>
      <c r="C537" s="85"/>
      <c r="D537" s="85"/>
      <c r="E537" s="85"/>
      <c r="F537" s="85"/>
      <c r="G537" s="86"/>
      <c r="H537" s="85"/>
      <c r="I537" s="87"/>
      <c r="J537" s="87"/>
      <c r="K537" s="88"/>
      <c r="L537" s="88"/>
      <c r="M537" s="88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  <c r="AA537" s="80"/>
    </row>
    <row r="538">
      <c r="A538" s="85"/>
      <c r="B538" s="85"/>
      <c r="C538" s="85"/>
      <c r="D538" s="85"/>
      <c r="E538" s="85"/>
      <c r="F538" s="85"/>
      <c r="G538" s="86"/>
      <c r="H538" s="85"/>
      <c r="I538" s="87"/>
      <c r="J538" s="87"/>
      <c r="K538" s="88"/>
      <c r="L538" s="88"/>
      <c r="M538" s="88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  <c r="AA538" s="80"/>
    </row>
    <row r="539">
      <c r="A539" s="85"/>
      <c r="B539" s="85"/>
      <c r="C539" s="85"/>
      <c r="D539" s="85"/>
      <c r="E539" s="85"/>
      <c r="F539" s="85"/>
      <c r="G539" s="86"/>
      <c r="H539" s="85"/>
      <c r="I539" s="87"/>
      <c r="J539" s="87"/>
      <c r="K539" s="88"/>
      <c r="L539" s="88"/>
      <c r="M539" s="88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  <c r="AA539" s="80"/>
    </row>
    <row r="540">
      <c r="A540" s="85"/>
      <c r="B540" s="85"/>
      <c r="C540" s="85"/>
      <c r="D540" s="85"/>
      <c r="E540" s="85"/>
      <c r="F540" s="85"/>
      <c r="G540" s="86"/>
      <c r="H540" s="85"/>
      <c r="I540" s="87"/>
      <c r="J540" s="87"/>
      <c r="K540" s="88"/>
      <c r="L540" s="88"/>
      <c r="M540" s="88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  <c r="AA540" s="80"/>
    </row>
    <row r="541">
      <c r="A541" s="85"/>
      <c r="B541" s="85"/>
      <c r="C541" s="85"/>
      <c r="D541" s="85"/>
      <c r="E541" s="85"/>
      <c r="F541" s="85"/>
      <c r="G541" s="86"/>
      <c r="H541" s="85"/>
      <c r="I541" s="87"/>
      <c r="J541" s="87"/>
      <c r="K541" s="88"/>
      <c r="L541" s="88"/>
      <c r="M541" s="88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  <c r="AA541" s="80"/>
    </row>
    <row r="542">
      <c r="A542" s="85"/>
      <c r="B542" s="85"/>
      <c r="C542" s="85"/>
      <c r="D542" s="85"/>
      <c r="E542" s="85"/>
      <c r="F542" s="85"/>
      <c r="G542" s="86"/>
      <c r="H542" s="85"/>
      <c r="I542" s="87"/>
      <c r="J542" s="87"/>
      <c r="K542" s="88"/>
      <c r="L542" s="88"/>
      <c r="M542" s="88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  <c r="AA542" s="80"/>
    </row>
    <row r="543">
      <c r="A543" s="85"/>
      <c r="B543" s="85"/>
      <c r="C543" s="85"/>
      <c r="D543" s="85"/>
      <c r="E543" s="85"/>
      <c r="F543" s="85"/>
      <c r="G543" s="86"/>
      <c r="H543" s="85"/>
      <c r="I543" s="87"/>
      <c r="J543" s="87"/>
      <c r="K543" s="88"/>
      <c r="L543" s="88"/>
      <c r="M543" s="88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  <c r="AA543" s="80"/>
    </row>
    <row r="544">
      <c r="A544" s="85"/>
      <c r="B544" s="85"/>
      <c r="C544" s="85"/>
      <c r="D544" s="85"/>
      <c r="E544" s="85"/>
      <c r="F544" s="85"/>
      <c r="G544" s="86"/>
      <c r="H544" s="85"/>
      <c r="I544" s="87"/>
      <c r="J544" s="87"/>
      <c r="K544" s="88"/>
      <c r="L544" s="88"/>
      <c r="M544" s="88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  <c r="AA544" s="80"/>
    </row>
    <row r="545">
      <c r="A545" s="85"/>
      <c r="B545" s="85"/>
      <c r="C545" s="85"/>
      <c r="D545" s="85"/>
      <c r="E545" s="85"/>
      <c r="F545" s="85"/>
      <c r="G545" s="86"/>
      <c r="H545" s="85"/>
      <c r="I545" s="87"/>
      <c r="J545" s="87"/>
      <c r="K545" s="88"/>
      <c r="L545" s="88"/>
      <c r="M545" s="88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  <c r="AA545" s="80"/>
    </row>
    <row r="546">
      <c r="A546" s="85"/>
      <c r="B546" s="85"/>
      <c r="C546" s="85"/>
      <c r="D546" s="85"/>
      <c r="E546" s="85"/>
      <c r="F546" s="85"/>
      <c r="G546" s="86"/>
      <c r="H546" s="85"/>
      <c r="I546" s="87"/>
      <c r="J546" s="87"/>
      <c r="K546" s="88"/>
      <c r="L546" s="88"/>
      <c r="M546" s="88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  <c r="AA546" s="80"/>
    </row>
    <row r="547">
      <c r="A547" s="85"/>
      <c r="B547" s="85"/>
      <c r="C547" s="85"/>
      <c r="D547" s="85"/>
      <c r="E547" s="85"/>
      <c r="F547" s="85"/>
      <c r="G547" s="86"/>
      <c r="H547" s="85"/>
      <c r="I547" s="87"/>
      <c r="J547" s="87"/>
      <c r="K547" s="88"/>
      <c r="L547" s="88"/>
      <c r="M547" s="88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  <c r="AA547" s="80"/>
    </row>
    <row r="548">
      <c r="A548" s="85"/>
      <c r="B548" s="85"/>
      <c r="C548" s="85"/>
      <c r="D548" s="85"/>
      <c r="E548" s="85"/>
      <c r="F548" s="85"/>
      <c r="G548" s="86"/>
      <c r="H548" s="85"/>
      <c r="I548" s="87"/>
      <c r="J548" s="87"/>
      <c r="K548" s="88"/>
      <c r="L548" s="88"/>
      <c r="M548" s="88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  <c r="AA548" s="80"/>
    </row>
    <row r="549">
      <c r="A549" s="85"/>
      <c r="B549" s="85"/>
      <c r="C549" s="85"/>
      <c r="D549" s="85"/>
      <c r="E549" s="85"/>
      <c r="F549" s="85"/>
      <c r="G549" s="86"/>
      <c r="H549" s="85"/>
      <c r="I549" s="87"/>
      <c r="J549" s="87"/>
      <c r="K549" s="88"/>
      <c r="L549" s="88"/>
      <c r="M549" s="88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</row>
    <row r="550">
      <c r="A550" s="85"/>
      <c r="B550" s="85"/>
      <c r="C550" s="85"/>
      <c r="D550" s="85"/>
      <c r="E550" s="85"/>
      <c r="F550" s="85"/>
      <c r="G550" s="86"/>
      <c r="H550" s="85"/>
      <c r="I550" s="87"/>
      <c r="J550" s="87"/>
      <c r="K550" s="88"/>
      <c r="L550" s="88"/>
      <c r="M550" s="88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  <c r="AA550" s="80"/>
    </row>
    <row r="551">
      <c r="A551" s="85"/>
      <c r="B551" s="85"/>
      <c r="C551" s="85"/>
      <c r="D551" s="85"/>
      <c r="E551" s="85"/>
      <c r="F551" s="85"/>
      <c r="G551" s="86"/>
      <c r="H551" s="85"/>
      <c r="I551" s="87"/>
      <c r="J551" s="87"/>
      <c r="K551" s="88"/>
      <c r="L551" s="88"/>
      <c r="M551" s="88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  <c r="AA551" s="80"/>
    </row>
    <row r="552">
      <c r="A552" s="85"/>
      <c r="B552" s="85"/>
      <c r="C552" s="85"/>
      <c r="D552" s="85"/>
      <c r="E552" s="85"/>
      <c r="F552" s="85"/>
      <c r="G552" s="86"/>
      <c r="H552" s="85"/>
      <c r="I552" s="87"/>
      <c r="J552" s="87"/>
      <c r="K552" s="88"/>
      <c r="L552" s="88"/>
      <c r="M552" s="88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  <c r="AA552" s="80"/>
    </row>
    <row r="553">
      <c r="A553" s="85"/>
      <c r="B553" s="85"/>
      <c r="C553" s="85"/>
      <c r="D553" s="85"/>
      <c r="E553" s="85"/>
      <c r="F553" s="85"/>
      <c r="G553" s="86"/>
      <c r="H553" s="85"/>
      <c r="I553" s="87"/>
      <c r="J553" s="87"/>
      <c r="K553" s="88"/>
      <c r="L553" s="88"/>
      <c r="M553" s="88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  <c r="AA553" s="80"/>
    </row>
    <row r="554">
      <c r="A554" s="85"/>
      <c r="B554" s="85"/>
      <c r="C554" s="85"/>
      <c r="D554" s="85"/>
      <c r="E554" s="85"/>
      <c r="F554" s="85"/>
      <c r="G554" s="86"/>
      <c r="H554" s="85"/>
      <c r="I554" s="87"/>
      <c r="J554" s="87"/>
      <c r="K554" s="88"/>
      <c r="L554" s="88"/>
      <c r="M554" s="88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  <c r="AA554" s="80"/>
    </row>
    <row r="555">
      <c r="A555" s="85"/>
      <c r="B555" s="85"/>
      <c r="C555" s="85"/>
      <c r="D555" s="85"/>
      <c r="E555" s="85"/>
      <c r="F555" s="85"/>
      <c r="G555" s="86"/>
      <c r="H555" s="85"/>
      <c r="I555" s="87"/>
      <c r="J555" s="87"/>
      <c r="K555" s="88"/>
      <c r="L555" s="88"/>
      <c r="M555" s="88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  <c r="AA555" s="80"/>
    </row>
    <row r="556">
      <c r="A556" s="85"/>
      <c r="B556" s="85"/>
      <c r="C556" s="85"/>
      <c r="D556" s="85"/>
      <c r="E556" s="85"/>
      <c r="F556" s="85"/>
      <c r="G556" s="86"/>
      <c r="H556" s="85"/>
      <c r="I556" s="87"/>
      <c r="J556" s="87"/>
      <c r="K556" s="88"/>
      <c r="L556" s="88"/>
      <c r="M556" s="88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  <c r="AA556" s="80"/>
    </row>
    <row r="557">
      <c r="A557" s="85"/>
      <c r="B557" s="85"/>
      <c r="C557" s="85"/>
      <c r="D557" s="85"/>
      <c r="E557" s="85"/>
      <c r="F557" s="85"/>
      <c r="G557" s="86"/>
      <c r="H557" s="85"/>
      <c r="I557" s="87"/>
      <c r="J557" s="87"/>
      <c r="K557" s="88"/>
      <c r="L557" s="88"/>
      <c r="M557" s="88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</row>
    <row r="558">
      <c r="A558" s="85"/>
      <c r="B558" s="85"/>
      <c r="C558" s="85"/>
      <c r="D558" s="85"/>
      <c r="E558" s="85"/>
      <c r="F558" s="85"/>
      <c r="G558" s="86"/>
      <c r="H558" s="85"/>
      <c r="I558" s="87"/>
      <c r="J558" s="87"/>
      <c r="K558" s="88"/>
      <c r="L558" s="88"/>
      <c r="M558" s="88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</row>
    <row r="559">
      <c r="A559" s="85"/>
      <c r="B559" s="85"/>
      <c r="C559" s="85"/>
      <c r="D559" s="85"/>
      <c r="E559" s="85"/>
      <c r="F559" s="85"/>
      <c r="G559" s="86"/>
      <c r="H559" s="85"/>
      <c r="I559" s="87"/>
      <c r="J559" s="87"/>
      <c r="K559" s="88"/>
      <c r="L559" s="88"/>
      <c r="M559" s="88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  <c r="AA559" s="80"/>
    </row>
    <row r="560">
      <c r="A560" s="85"/>
      <c r="B560" s="85"/>
      <c r="C560" s="85"/>
      <c r="D560" s="85"/>
      <c r="E560" s="85"/>
      <c r="F560" s="85"/>
      <c r="G560" s="86"/>
      <c r="H560" s="85"/>
      <c r="I560" s="87"/>
      <c r="J560" s="87"/>
      <c r="K560" s="88"/>
      <c r="L560" s="88"/>
      <c r="M560" s="88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  <c r="AA560" s="80"/>
    </row>
    <row r="561">
      <c r="A561" s="85"/>
      <c r="B561" s="85"/>
      <c r="C561" s="85"/>
      <c r="D561" s="85"/>
      <c r="E561" s="85"/>
      <c r="F561" s="85"/>
      <c r="G561" s="86"/>
      <c r="H561" s="85"/>
      <c r="I561" s="87"/>
      <c r="J561" s="87"/>
      <c r="K561" s="88"/>
      <c r="L561" s="88"/>
      <c r="M561" s="88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</row>
    <row r="562">
      <c r="A562" s="85"/>
      <c r="B562" s="85"/>
      <c r="C562" s="85"/>
      <c r="D562" s="85"/>
      <c r="E562" s="85"/>
      <c r="F562" s="85"/>
      <c r="G562" s="86"/>
      <c r="H562" s="85"/>
      <c r="I562" s="87"/>
      <c r="J562" s="87"/>
      <c r="K562" s="88"/>
      <c r="L562" s="88"/>
      <c r="M562" s="88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</row>
    <row r="563">
      <c r="A563" s="85"/>
      <c r="B563" s="85"/>
      <c r="C563" s="85"/>
      <c r="D563" s="85"/>
      <c r="E563" s="85"/>
      <c r="F563" s="85"/>
      <c r="G563" s="86"/>
      <c r="H563" s="85"/>
      <c r="I563" s="87"/>
      <c r="J563" s="87"/>
      <c r="K563" s="88"/>
      <c r="L563" s="88"/>
      <c r="M563" s="88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</row>
    <row r="564">
      <c r="A564" s="85"/>
      <c r="B564" s="85"/>
      <c r="C564" s="85"/>
      <c r="D564" s="85"/>
      <c r="E564" s="85"/>
      <c r="F564" s="85"/>
      <c r="G564" s="86"/>
      <c r="H564" s="85"/>
      <c r="I564" s="87"/>
      <c r="J564" s="87"/>
      <c r="K564" s="88"/>
      <c r="L564" s="88"/>
      <c r="M564" s="88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</row>
    <row r="565">
      <c r="A565" s="85"/>
      <c r="B565" s="85"/>
      <c r="C565" s="85"/>
      <c r="D565" s="85"/>
      <c r="E565" s="85"/>
      <c r="F565" s="85"/>
      <c r="G565" s="86"/>
      <c r="H565" s="85"/>
      <c r="I565" s="87"/>
      <c r="J565" s="87"/>
      <c r="K565" s="88"/>
      <c r="L565" s="88"/>
      <c r="M565" s="88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</row>
    <row r="566">
      <c r="A566" s="85"/>
      <c r="B566" s="85"/>
      <c r="C566" s="85"/>
      <c r="D566" s="85"/>
      <c r="E566" s="85"/>
      <c r="F566" s="85"/>
      <c r="G566" s="86"/>
      <c r="H566" s="85"/>
      <c r="I566" s="87"/>
      <c r="J566" s="87"/>
      <c r="K566" s="88"/>
      <c r="L566" s="88"/>
      <c r="M566" s="88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</row>
    <row r="567">
      <c r="A567" s="85"/>
      <c r="B567" s="85"/>
      <c r="C567" s="85"/>
      <c r="D567" s="85"/>
      <c r="E567" s="85"/>
      <c r="F567" s="85"/>
      <c r="G567" s="86"/>
      <c r="H567" s="85"/>
      <c r="I567" s="87"/>
      <c r="J567" s="87"/>
      <c r="K567" s="88"/>
      <c r="L567" s="88"/>
      <c r="M567" s="88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  <c r="AA567" s="80"/>
    </row>
    <row r="568">
      <c r="A568" s="85"/>
      <c r="B568" s="85"/>
      <c r="C568" s="85"/>
      <c r="D568" s="85"/>
      <c r="E568" s="85"/>
      <c r="F568" s="85"/>
      <c r="G568" s="86"/>
      <c r="H568" s="85"/>
      <c r="I568" s="87"/>
      <c r="J568" s="87"/>
      <c r="K568" s="88"/>
      <c r="L568" s="88"/>
      <c r="M568" s="88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  <c r="AA568" s="80"/>
    </row>
    <row r="569">
      <c r="A569" s="85"/>
      <c r="B569" s="85"/>
      <c r="C569" s="85"/>
      <c r="D569" s="85"/>
      <c r="E569" s="85"/>
      <c r="F569" s="85"/>
      <c r="G569" s="86"/>
      <c r="H569" s="85"/>
      <c r="I569" s="87"/>
      <c r="J569" s="87"/>
      <c r="K569" s="88"/>
      <c r="L569" s="88"/>
      <c r="M569" s="88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  <c r="AA569" s="80"/>
    </row>
    <row r="570">
      <c r="A570" s="85"/>
      <c r="B570" s="85"/>
      <c r="C570" s="85"/>
      <c r="D570" s="85"/>
      <c r="E570" s="85"/>
      <c r="F570" s="85"/>
      <c r="G570" s="86"/>
      <c r="H570" s="85"/>
      <c r="I570" s="87"/>
      <c r="J570" s="87"/>
      <c r="K570" s="88"/>
      <c r="L570" s="88"/>
      <c r="M570" s="88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  <c r="AA570" s="80"/>
    </row>
    <row r="571">
      <c r="A571" s="85"/>
      <c r="B571" s="85"/>
      <c r="C571" s="85"/>
      <c r="D571" s="85"/>
      <c r="E571" s="85"/>
      <c r="F571" s="85"/>
      <c r="G571" s="86"/>
      <c r="H571" s="85"/>
      <c r="I571" s="87"/>
      <c r="J571" s="87"/>
      <c r="K571" s="88"/>
      <c r="L571" s="88"/>
      <c r="M571" s="88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  <c r="AA571" s="80"/>
    </row>
    <row r="572">
      <c r="A572" s="85"/>
      <c r="B572" s="85"/>
      <c r="C572" s="85"/>
      <c r="D572" s="85"/>
      <c r="E572" s="85"/>
      <c r="F572" s="85"/>
      <c r="G572" s="86"/>
      <c r="H572" s="85"/>
      <c r="I572" s="87"/>
      <c r="J572" s="87"/>
      <c r="K572" s="88"/>
      <c r="L572" s="88"/>
      <c r="M572" s="88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  <c r="AA572" s="80"/>
    </row>
    <row r="573">
      <c r="A573" s="85"/>
      <c r="B573" s="85"/>
      <c r="C573" s="85"/>
      <c r="D573" s="85"/>
      <c r="E573" s="85"/>
      <c r="F573" s="85"/>
      <c r="G573" s="86"/>
      <c r="H573" s="85"/>
      <c r="I573" s="87"/>
      <c r="J573" s="87"/>
      <c r="K573" s="88"/>
      <c r="L573" s="88"/>
      <c r="M573" s="88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  <c r="AA573" s="80"/>
    </row>
    <row r="574">
      <c r="A574" s="85"/>
      <c r="B574" s="85"/>
      <c r="C574" s="85"/>
      <c r="D574" s="85"/>
      <c r="E574" s="85"/>
      <c r="F574" s="85"/>
      <c r="G574" s="86"/>
      <c r="H574" s="85"/>
      <c r="I574" s="87"/>
      <c r="J574" s="87"/>
      <c r="K574" s="88"/>
      <c r="L574" s="88"/>
      <c r="M574" s="88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  <c r="AA574" s="80"/>
    </row>
    <row r="575">
      <c r="A575" s="85"/>
      <c r="B575" s="85"/>
      <c r="C575" s="85"/>
      <c r="D575" s="85"/>
      <c r="E575" s="85"/>
      <c r="F575" s="85"/>
      <c r="G575" s="86"/>
      <c r="H575" s="85"/>
      <c r="I575" s="87"/>
      <c r="J575" s="87"/>
      <c r="K575" s="88"/>
      <c r="L575" s="88"/>
      <c r="M575" s="88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  <c r="AA575" s="80"/>
    </row>
    <row r="576">
      <c r="A576" s="85"/>
      <c r="B576" s="85"/>
      <c r="C576" s="85"/>
      <c r="D576" s="85"/>
      <c r="E576" s="85"/>
      <c r="F576" s="85"/>
      <c r="G576" s="86"/>
      <c r="H576" s="85"/>
      <c r="I576" s="87"/>
      <c r="J576" s="87"/>
      <c r="K576" s="88"/>
      <c r="L576" s="88"/>
      <c r="M576" s="88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  <c r="AA576" s="80"/>
    </row>
    <row r="577">
      <c r="A577" s="85"/>
      <c r="B577" s="85"/>
      <c r="C577" s="85"/>
      <c r="D577" s="85"/>
      <c r="E577" s="85"/>
      <c r="F577" s="85"/>
      <c r="G577" s="86"/>
      <c r="H577" s="85"/>
      <c r="I577" s="87"/>
      <c r="J577" s="87"/>
      <c r="K577" s="88"/>
      <c r="L577" s="88"/>
      <c r="M577" s="88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  <c r="AA577" s="80"/>
    </row>
    <row r="578">
      <c r="A578" s="85"/>
      <c r="B578" s="85"/>
      <c r="C578" s="85"/>
      <c r="D578" s="85"/>
      <c r="E578" s="85"/>
      <c r="F578" s="85"/>
      <c r="G578" s="86"/>
      <c r="H578" s="85"/>
      <c r="I578" s="87"/>
      <c r="J578" s="87"/>
      <c r="K578" s="88"/>
      <c r="L578" s="88"/>
      <c r="M578" s="88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  <c r="AA578" s="80"/>
    </row>
    <row r="579">
      <c r="A579" s="85"/>
      <c r="B579" s="85"/>
      <c r="C579" s="85"/>
      <c r="D579" s="85"/>
      <c r="E579" s="85"/>
      <c r="F579" s="85"/>
      <c r="G579" s="86"/>
      <c r="H579" s="85"/>
      <c r="I579" s="87"/>
      <c r="J579" s="87"/>
      <c r="K579" s="88"/>
      <c r="L579" s="88"/>
      <c r="M579" s="88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  <c r="AA579" s="80"/>
    </row>
    <row r="580">
      <c r="A580" s="85"/>
      <c r="B580" s="85"/>
      <c r="C580" s="85"/>
      <c r="D580" s="85"/>
      <c r="E580" s="85"/>
      <c r="F580" s="85"/>
      <c r="G580" s="86"/>
      <c r="H580" s="85"/>
      <c r="I580" s="87"/>
      <c r="J580" s="87"/>
      <c r="K580" s="88"/>
      <c r="L580" s="88"/>
      <c r="M580" s="88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  <c r="AA580" s="80"/>
    </row>
    <row r="581">
      <c r="A581" s="85"/>
      <c r="B581" s="85"/>
      <c r="C581" s="85"/>
      <c r="D581" s="85"/>
      <c r="E581" s="85"/>
      <c r="F581" s="85"/>
      <c r="G581" s="86"/>
      <c r="H581" s="85"/>
      <c r="I581" s="87"/>
      <c r="J581" s="87"/>
      <c r="K581" s="88"/>
      <c r="L581" s="88"/>
      <c r="M581" s="88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  <c r="AA581" s="80"/>
    </row>
    <row r="582">
      <c r="A582" s="85"/>
      <c r="B582" s="85"/>
      <c r="C582" s="85"/>
      <c r="D582" s="85"/>
      <c r="E582" s="85"/>
      <c r="F582" s="85"/>
      <c r="G582" s="86"/>
      <c r="H582" s="85"/>
      <c r="I582" s="87"/>
      <c r="J582" s="87"/>
      <c r="K582" s="88"/>
      <c r="L582" s="88"/>
      <c r="M582" s="88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  <c r="AA582" s="80"/>
    </row>
    <row r="583">
      <c r="A583" s="85"/>
      <c r="B583" s="85"/>
      <c r="C583" s="85"/>
      <c r="D583" s="85"/>
      <c r="E583" s="85"/>
      <c r="F583" s="85"/>
      <c r="G583" s="86"/>
      <c r="H583" s="85"/>
      <c r="I583" s="87"/>
      <c r="J583" s="87"/>
      <c r="K583" s="88"/>
      <c r="L583" s="88"/>
      <c r="M583" s="88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  <c r="AA583" s="80"/>
    </row>
    <row r="584">
      <c r="A584" s="85"/>
      <c r="B584" s="85"/>
      <c r="C584" s="85"/>
      <c r="D584" s="85"/>
      <c r="E584" s="85"/>
      <c r="F584" s="85"/>
      <c r="G584" s="86"/>
      <c r="H584" s="85"/>
      <c r="I584" s="87"/>
      <c r="J584" s="87"/>
      <c r="K584" s="88"/>
      <c r="L584" s="88"/>
      <c r="M584" s="88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  <c r="AA584" s="80"/>
    </row>
    <row r="585">
      <c r="A585" s="85"/>
      <c r="B585" s="85"/>
      <c r="C585" s="85"/>
      <c r="D585" s="85"/>
      <c r="E585" s="85"/>
      <c r="F585" s="85"/>
      <c r="G585" s="86"/>
      <c r="H585" s="85"/>
      <c r="I585" s="87"/>
      <c r="J585" s="87"/>
      <c r="K585" s="88"/>
      <c r="L585" s="88"/>
      <c r="M585" s="88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  <c r="AA585" s="80"/>
    </row>
    <row r="586">
      <c r="A586" s="85"/>
      <c r="B586" s="85"/>
      <c r="C586" s="85"/>
      <c r="D586" s="85"/>
      <c r="E586" s="85"/>
      <c r="F586" s="85"/>
      <c r="G586" s="86"/>
      <c r="H586" s="85"/>
      <c r="I586" s="87"/>
      <c r="J586" s="87"/>
      <c r="K586" s="88"/>
      <c r="L586" s="88"/>
      <c r="M586" s="88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80"/>
    </row>
    <row r="587">
      <c r="A587" s="85"/>
      <c r="B587" s="85"/>
      <c r="C587" s="85"/>
      <c r="D587" s="85"/>
      <c r="E587" s="85"/>
      <c r="F587" s="85"/>
      <c r="G587" s="86"/>
      <c r="H587" s="85"/>
      <c r="I587" s="87"/>
      <c r="J587" s="87"/>
      <c r="K587" s="88"/>
      <c r="L587" s="88"/>
      <c r="M587" s="88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80"/>
    </row>
    <row r="588">
      <c r="A588" s="85"/>
      <c r="B588" s="85"/>
      <c r="C588" s="85"/>
      <c r="D588" s="85"/>
      <c r="E588" s="85"/>
      <c r="F588" s="85"/>
      <c r="G588" s="86"/>
      <c r="H588" s="85"/>
      <c r="I588" s="87"/>
      <c r="J588" s="87"/>
      <c r="K588" s="88"/>
      <c r="L588" s="88"/>
      <c r="M588" s="88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  <c r="AA588" s="80"/>
    </row>
    <row r="589">
      <c r="A589" s="85"/>
      <c r="B589" s="85"/>
      <c r="C589" s="85"/>
      <c r="D589" s="85"/>
      <c r="E589" s="85"/>
      <c r="F589" s="85"/>
      <c r="G589" s="86"/>
      <c r="H589" s="85"/>
      <c r="I589" s="87"/>
      <c r="J589" s="87"/>
      <c r="K589" s="88"/>
      <c r="L589" s="88"/>
      <c r="M589" s="88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  <c r="AA589" s="80"/>
    </row>
    <row r="590">
      <c r="A590" s="85"/>
      <c r="B590" s="85"/>
      <c r="C590" s="85"/>
      <c r="D590" s="85"/>
      <c r="E590" s="85"/>
      <c r="F590" s="85"/>
      <c r="G590" s="86"/>
      <c r="H590" s="85"/>
      <c r="I590" s="87"/>
      <c r="J590" s="87"/>
      <c r="K590" s="88"/>
      <c r="L590" s="88"/>
      <c r="M590" s="88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  <c r="AA590" s="80"/>
    </row>
    <row r="591">
      <c r="A591" s="85"/>
      <c r="B591" s="85"/>
      <c r="C591" s="85"/>
      <c r="D591" s="85"/>
      <c r="E591" s="85"/>
      <c r="F591" s="85"/>
      <c r="G591" s="86"/>
      <c r="H591" s="85"/>
      <c r="I591" s="87"/>
      <c r="J591" s="87"/>
      <c r="K591" s="88"/>
      <c r="L591" s="88"/>
      <c r="M591" s="88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  <c r="AA591" s="80"/>
    </row>
    <row r="592">
      <c r="A592" s="85"/>
      <c r="B592" s="85"/>
      <c r="C592" s="85"/>
      <c r="D592" s="85"/>
      <c r="E592" s="85"/>
      <c r="F592" s="85"/>
      <c r="G592" s="86"/>
      <c r="H592" s="85"/>
      <c r="I592" s="87"/>
      <c r="J592" s="87"/>
      <c r="K592" s="88"/>
      <c r="L592" s="88"/>
      <c r="M592" s="88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  <c r="AA592" s="80"/>
    </row>
    <row r="593">
      <c r="A593" s="85"/>
      <c r="B593" s="85"/>
      <c r="C593" s="85"/>
      <c r="D593" s="85"/>
      <c r="E593" s="85"/>
      <c r="F593" s="85"/>
      <c r="G593" s="86"/>
      <c r="H593" s="85"/>
      <c r="I593" s="87"/>
      <c r="J593" s="87"/>
      <c r="K593" s="88"/>
      <c r="L593" s="88"/>
      <c r="M593" s="88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  <c r="AA593" s="80"/>
    </row>
    <row r="594">
      <c r="A594" s="85"/>
      <c r="B594" s="85"/>
      <c r="C594" s="85"/>
      <c r="D594" s="85"/>
      <c r="E594" s="85"/>
      <c r="F594" s="85"/>
      <c r="G594" s="86"/>
      <c r="H594" s="85"/>
      <c r="I594" s="87"/>
      <c r="J594" s="87"/>
      <c r="K594" s="88"/>
      <c r="L594" s="88"/>
      <c r="M594" s="88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</row>
    <row r="595">
      <c r="A595" s="85"/>
      <c r="B595" s="85"/>
      <c r="C595" s="85"/>
      <c r="D595" s="85"/>
      <c r="E595" s="85"/>
      <c r="F595" s="85"/>
      <c r="G595" s="86"/>
      <c r="H595" s="85"/>
      <c r="I595" s="87"/>
      <c r="J595" s="87"/>
      <c r="K595" s="88"/>
      <c r="L595" s="88"/>
      <c r="M595" s="88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  <c r="AA595" s="80"/>
    </row>
    <row r="596">
      <c r="A596" s="85"/>
      <c r="B596" s="85"/>
      <c r="C596" s="85"/>
      <c r="D596" s="85"/>
      <c r="E596" s="85"/>
      <c r="F596" s="85"/>
      <c r="G596" s="86"/>
      <c r="H596" s="85"/>
      <c r="I596" s="87"/>
      <c r="J596" s="87"/>
      <c r="K596" s="88"/>
      <c r="L596" s="88"/>
      <c r="M596" s="88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  <c r="AA596" s="80"/>
    </row>
    <row r="597">
      <c r="A597" s="85"/>
      <c r="B597" s="85"/>
      <c r="C597" s="85"/>
      <c r="D597" s="85"/>
      <c r="E597" s="85"/>
      <c r="F597" s="85"/>
      <c r="G597" s="86"/>
      <c r="H597" s="85"/>
      <c r="I597" s="87"/>
      <c r="J597" s="87"/>
      <c r="K597" s="88"/>
      <c r="L597" s="88"/>
      <c r="M597" s="88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  <c r="AA597" s="80"/>
    </row>
    <row r="598">
      <c r="A598" s="85"/>
      <c r="B598" s="85"/>
      <c r="C598" s="85"/>
      <c r="D598" s="85"/>
      <c r="E598" s="85"/>
      <c r="F598" s="85"/>
      <c r="G598" s="86"/>
      <c r="H598" s="85"/>
      <c r="I598" s="87"/>
      <c r="J598" s="87"/>
      <c r="K598" s="88"/>
      <c r="L598" s="88"/>
      <c r="M598" s="88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</row>
    <row r="599">
      <c r="A599" s="85"/>
      <c r="B599" s="85"/>
      <c r="C599" s="85"/>
      <c r="D599" s="85"/>
      <c r="E599" s="85"/>
      <c r="F599" s="85"/>
      <c r="G599" s="86"/>
      <c r="H599" s="85"/>
      <c r="I599" s="87"/>
      <c r="J599" s="87"/>
      <c r="K599" s="88"/>
      <c r="L599" s="88"/>
      <c r="M599" s="88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  <c r="AA599" s="80"/>
    </row>
    <row r="600">
      <c r="A600" s="85"/>
      <c r="B600" s="85"/>
      <c r="C600" s="85"/>
      <c r="D600" s="85"/>
      <c r="E600" s="85"/>
      <c r="F600" s="85"/>
      <c r="G600" s="86"/>
      <c r="H600" s="85"/>
      <c r="I600" s="87"/>
      <c r="J600" s="87"/>
      <c r="K600" s="88"/>
      <c r="L600" s="88"/>
      <c r="M600" s="88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  <c r="AA600" s="80"/>
    </row>
    <row r="601">
      <c r="A601" s="85"/>
      <c r="B601" s="85"/>
      <c r="C601" s="85"/>
      <c r="D601" s="85"/>
      <c r="E601" s="85"/>
      <c r="F601" s="85"/>
      <c r="G601" s="86"/>
      <c r="H601" s="85"/>
      <c r="I601" s="87"/>
      <c r="J601" s="87"/>
      <c r="K601" s="88"/>
      <c r="L601" s="88"/>
      <c r="M601" s="88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  <c r="AA601" s="80"/>
    </row>
    <row r="602">
      <c r="A602" s="85"/>
      <c r="B602" s="85"/>
      <c r="C602" s="85"/>
      <c r="D602" s="85"/>
      <c r="E602" s="85"/>
      <c r="F602" s="85"/>
      <c r="G602" s="86"/>
      <c r="H602" s="85"/>
      <c r="I602" s="87"/>
      <c r="J602" s="87"/>
      <c r="K602" s="88"/>
      <c r="L602" s="88"/>
      <c r="M602" s="88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  <c r="AA602" s="80"/>
    </row>
    <row r="603">
      <c r="A603" s="85"/>
      <c r="B603" s="85"/>
      <c r="C603" s="85"/>
      <c r="D603" s="85"/>
      <c r="E603" s="85"/>
      <c r="F603" s="85"/>
      <c r="G603" s="86"/>
      <c r="H603" s="85"/>
      <c r="I603" s="87"/>
      <c r="J603" s="87"/>
      <c r="K603" s="88"/>
      <c r="L603" s="88"/>
      <c r="M603" s="88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</row>
    <row r="604">
      <c r="A604" s="85"/>
      <c r="B604" s="85"/>
      <c r="C604" s="85"/>
      <c r="D604" s="85"/>
      <c r="E604" s="85"/>
      <c r="F604" s="85"/>
      <c r="G604" s="86"/>
      <c r="H604" s="85"/>
      <c r="I604" s="87"/>
      <c r="J604" s="87"/>
      <c r="K604" s="88"/>
      <c r="L604" s="88"/>
      <c r="M604" s="88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  <c r="AA604" s="80"/>
    </row>
    <row r="605">
      <c r="A605" s="85"/>
      <c r="B605" s="85"/>
      <c r="C605" s="85"/>
      <c r="D605" s="85"/>
      <c r="E605" s="85"/>
      <c r="F605" s="85"/>
      <c r="G605" s="86"/>
      <c r="H605" s="85"/>
      <c r="I605" s="87"/>
      <c r="J605" s="87"/>
      <c r="K605" s="88"/>
      <c r="L605" s="88"/>
      <c r="M605" s="88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  <c r="AA605" s="80"/>
    </row>
    <row r="606">
      <c r="A606" s="85"/>
      <c r="B606" s="85"/>
      <c r="C606" s="85"/>
      <c r="D606" s="85"/>
      <c r="E606" s="85"/>
      <c r="F606" s="85"/>
      <c r="G606" s="86"/>
      <c r="H606" s="85"/>
      <c r="I606" s="87"/>
      <c r="J606" s="87"/>
      <c r="K606" s="88"/>
      <c r="L606" s="88"/>
      <c r="M606" s="88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  <c r="AA606" s="80"/>
    </row>
    <row r="607">
      <c r="A607" s="85"/>
      <c r="B607" s="85"/>
      <c r="C607" s="85"/>
      <c r="D607" s="85"/>
      <c r="E607" s="85"/>
      <c r="F607" s="85"/>
      <c r="G607" s="86"/>
      <c r="H607" s="85"/>
      <c r="I607" s="87"/>
      <c r="J607" s="87"/>
      <c r="K607" s="88"/>
      <c r="L607" s="88"/>
      <c r="M607" s="88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  <c r="AA607" s="80"/>
    </row>
    <row r="608">
      <c r="A608" s="85"/>
      <c r="B608" s="85"/>
      <c r="C608" s="85"/>
      <c r="D608" s="85"/>
      <c r="E608" s="85"/>
      <c r="F608" s="85"/>
      <c r="G608" s="86"/>
      <c r="H608" s="85"/>
      <c r="I608" s="87"/>
      <c r="J608" s="87"/>
      <c r="K608" s="88"/>
      <c r="L608" s="88"/>
      <c r="M608" s="88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  <c r="AA608" s="80"/>
    </row>
    <row r="609">
      <c r="A609" s="85"/>
      <c r="B609" s="85"/>
      <c r="C609" s="85"/>
      <c r="D609" s="85"/>
      <c r="E609" s="85"/>
      <c r="F609" s="85"/>
      <c r="G609" s="86"/>
      <c r="H609" s="85"/>
      <c r="I609" s="87"/>
      <c r="J609" s="87"/>
      <c r="K609" s="88"/>
      <c r="L609" s="88"/>
      <c r="M609" s="88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  <c r="AA609" s="80"/>
    </row>
    <row r="610">
      <c r="A610" s="85"/>
      <c r="B610" s="85"/>
      <c r="C610" s="85"/>
      <c r="D610" s="85"/>
      <c r="E610" s="85"/>
      <c r="F610" s="85"/>
      <c r="G610" s="86"/>
      <c r="H610" s="85"/>
      <c r="I610" s="87"/>
      <c r="J610" s="87"/>
      <c r="K610" s="88"/>
      <c r="L610" s="88"/>
      <c r="M610" s="88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  <c r="AA610" s="80"/>
    </row>
    <row r="611">
      <c r="A611" s="85"/>
      <c r="B611" s="85"/>
      <c r="C611" s="85"/>
      <c r="D611" s="85"/>
      <c r="E611" s="85"/>
      <c r="F611" s="85"/>
      <c r="G611" s="86"/>
      <c r="H611" s="85"/>
      <c r="I611" s="87"/>
      <c r="J611" s="87"/>
      <c r="K611" s="88"/>
      <c r="L611" s="88"/>
      <c r="M611" s="88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  <c r="AA611" s="80"/>
    </row>
    <row r="612">
      <c r="A612" s="85"/>
      <c r="B612" s="85"/>
      <c r="C612" s="85"/>
      <c r="D612" s="85"/>
      <c r="E612" s="85"/>
      <c r="F612" s="85"/>
      <c r="G612" s="86"/>
      <c r="H612" s="85"/>
      <c r="I612" s="87"/>
      <c r="J612" s="87"/>
      <c r="K612" s="88"/>
      <c r="L612" s="88"/>
      <c r="M612" s="88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  <c r="AA612" s="80"/>
    </row>
    <row r="613">
      <c r="A613" s="85"/>
      <c r="B613" s="85"/>
      <c r="C613" s="85"/>
      <c r="D613" s="85"/>
      <c r="E613" s="85"/>
      <c r="F613" s="85"/>
      <c r="G613" s="86"/>
      <c r="H613" s="85"/>
      <c r="I613" s="87"/>
      <c r="J613" s="87"/>
      <c r="K613" s="88"/>
      <c r="L613" s="88"/>
      <c r="M613" s="88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  <c r="AA613" s="80"/>
    </row>
    <row r="614">
      <c r="A614" s="85"/>
      <c r="B614" s="85"/>
      <c r="C614" s="85"/>
      <c r="D614" s="85"/>
      <c r="E614" s="85"/>
      <c r="F614" s="85"/>
      <c r="G614" s="86"/>
      <c r="H614" s="85"/>
      <c r="I614" s="87"/>
      <c r="J614" s="87"/>
      <c r="K614" s="88"/>
      <c r="L614" s="88"/>
      <c r="M614" s="88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  <c r="AA614" s="80"/>
    </row>
    <row r="615">
      <c r="A615" s="85"/>
      <c r="B615" s="85"/>
      <c r="C615" s="85"/>
      <c r="D615" s="85"/>
      <c r="E615" s="85"/>
      <c r="F615" s="85"/>
      <c r="G615" s="86"/>
      <c r="H615" s="85"/>
      <c r="I615" s="87"/>
      <c r="J615" s="87"/>
      <c r="K615" s="88"/>
      <c r="L615" s="88"/>
      <c r="M615" s="88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  <c r="AA615" s="80"/>
    </row>
    <row r="616">
      <c r="A616" s="85"/>
      <c r="B616" s="85"/>
      <c r="C616" s="85"/>
      <c r="D616" s="85"/>
      <c r="E616" s="85"/>
      <c r="F616" s="85"/>
      <c r="G616" s="86"/>
      <c r="H616" s="85"/>
      <c r="I616" s="87"/>
      <c r="J616" s="87"/>
      <c r="K616" s="88"/>
      <c r="L616" s="88"/>
      <c r="M616" s="88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  <c r="AA616" s="80"/>
    </row>
    <row r="617">
      <c r="A617" s="85"/>
      <c r="B617" s="85"/>
      <c r="C617" s="85"/>
      <c r="D617" s="85"/>
      <c r="E617" s="85"/>
      <c r="F617" s="85"/>
      <c r="G617" s="86"/>
      <c r="H617" s="85"/>
      <c r="I617" s="87"/>
      <c r="J617" s="87"/>
      <c r="K617" s="88"/>
      <c r="L617" s="88"/>
      <c r="M617" s="88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  <c r="AA617" s="80"/>
    </row>
    <row r="618">
      <c r="A618" s="85"/>
      <c r="B618" s="85"/>
      <c r="C618" s="85"/>
      <c r="D618" s="85"/>
      <c r="E618" s="85"/>
      <c r="F618" s="85"/>
      <c r="G618" s="86"/>
      <c r="H618" s="85"/>
      <c r="I618" s="87"/>
      <c r="J618" s="87"/>
      <c r="K618" s="88"/>
      <c r="L618" s="88"/>
      <c r="M618" s="88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  <c r="AA618" s="80"/>
    </row>
    <row r="619">
      <c r="A619" s="85"/>
      <c r="B619" s="85"/>
      <c r="C619" s="85"/>
      <c r="D619" s="85"/>
      <c r="E619" s="85"/>
      <c r="F619" s="85"/>
      <c r="G619" s="86"/>
      <c r="H619" s="85"/>
      <c r="I619" s="87"/>
      <c r="J619" s="87"/>
      <c r="K619" s="88"/>
      <c r="L619" s="88"/>
      <c r="M619" s="88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  <c r="AA619" s="80"/>
    </row>
    <row r="620">
      <c r="A620" s="85"/>
      <c r="B620" s="85"/>
      <c r="C620" s="85"/>
      <c r="D620" s="85"/>
      <c r="E620" s="85"/>
      <c r="F620" s="85"/>
      <c r="G620" s="86"/>
      <c r="H620" s="85"/>
      <c r="I620" s="87"/>
      <c r="J620" s="87"/>
      <c r="K620" s="88"/>
      <c r="L620" s="88"/>
      <c r="M620" s="88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</row>
    <row r="621">
      <c r="A621" s="85"/>
      <c r="B621" s="85"/>
      <c r="C621" s="85"/>
      <c r="D621" s="85"/>
      <c r="E621" s="85"/>
      <c r="F621" s="85"/>
      <c r="G621" s="86"/>
      <c r="H621" s="85"/>
      <c r="I621" s="87"/>
      <c r="J621" s="87"/>
      <c r="K621" s="88"/>
      <c r="L621" s="88"/>
      <c r="M621" s="88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  <c r="AA621" s="80"/>
    </row>
    <row r="622">
      <c r="A622" s="85"/>
      <c r="B622" s="85"/>
      <c r="C622" s="85"/>
      <c r="D622" s="85"/>
      <c r="E622" s="85"/>
      <c r="F622" s="85"/>
      <c r="G622" s="86"/>
      <c r="H622" s="85"/>
      <c r="I622" s="87"/>
      <c r="J622" s="87"/>
      <c r="K622" s="88"/>
      <c r="L622" s="88"/>
      <c r="M622" s="88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</row>
    <row r="623">
      <c r="A623" s="85"/>
      <c r="B623" s="85"/>
      <c r="C623" s="85"/>
      <c r="D623" s="85"/>
      <c r="E623" s="85"/>
      <c r="F623" s="85"/>
      <c r="G623" s="86"/>
      <c r="H623" s="85"/>
      <c r="I623" s="87"/>
      <c r="J623" s="87"/>
      <c r="K623" s="88"/>
      <c r="L623" s="88"/>
      <c r="M623" s="88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  <c r="AA623" s="80"/>
    </row>
    <row r="624">
      <c r="A624" s="85"/>
      <c r="B624" s="85"/>
      <c r="C624" s="85"/>
      <c r="D624" s="85"/>
      <c r="E624" s="85"/>
      <c r="F624" s="85"/>
      <c r="G624" s="86"/>
      <c r="H624" s="85"/>
      <c r="I624" s="87"/>
      <c r="J624" s="87"/>
      <c r="K624" s="88"/>
      <c r="L624" s="88"/>
      <c r="M624" s="88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  <c r="AA624" s="80"/>
    </row>
    <row r="625">
      <c r="A625" s="85"/>
      <c r="B625" s="85"/>
      <c r="C625" s="85"/>
      <c r="D625" s="85"/>
      <c r="E625" s="85"/>
      <c r="F625" s="85"/>
      <c r="G625" s="86"/>
      <c r="H625" s="85"/>
      <c r="I625" s="87"/>
      <c r="J625" s="87"/>
      <c r="K625" s="88"/>
      <c r="L625" s="88"/>
      <c r="M625" s="88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  <c r="AA625" s="80"/>
    </row>
    <row r="626">
      <c r="A626" s="85"/>
      <c r="B626" s="85"/>
      <c r="C626" s="85"/>
      <c r="D626" s="85"/>
      <c r="E626" s="85"/>
      <c r="F626" s="85"/>
      <c r="G626" s="86"/>
      <c r="H626" s="85"/>
      <c r="I626" s="87"/>
      <c r="J626" s="87"/>
      <c r="K626" s="88"/>
      <c r="L626" s="88"/>
      <c r="M626" s="88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  <c r="AA626" s="80"/>
    </row>
    <row r="627">
      <c r="A627" s="85"/>
      <c r="B627" s="85"/>
      <c r="C627" s="85"/>
      <c r="D627" s="85"/>
      <c r="E627" s="85"/>
      <c r="F627" s="85"/>
      <c r="G627" s="86"/>
      <c r="H627" s="85"/>
      <c r="I627" s="87"/>
      <c r="J627" s="87"/>
      <c r="K627" s="88"/>
      <c r="L627" s="88"/>
      <c r="M627" s="88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  <c r="AA627" s="80"/>
    </row>
    <row r="628">
      <c r="A628" s="85"/>
      <c r="B628" s="85"/>
      <c r="C628" s="85"/>
      <c r="D628" s="85"/>
      <c r="E628" s="85"/>
      <c r="F628" s="85"/>
      <c r="G628" s="86"/>
      <c r="H628" s="85"/>
      <c r="I628" s="87"/>
      <c r="J628" s="87"/>
      <c r="K628" s="88"/>
      <c r="L628" s="88"/>
      <c r="M628" s="88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  <c r="AA628" s="80"/>
    </row>
    <row r="629">
      <c r="A629" s="85"/>
      <c r="B629" s="85"/>
      <c r="C629" s="85"/>
      <c r="D629" s="85"/>
      <c r="E629" s="85"/>
      <c r="F629" s="85"/>
      <c r="G629" s="86"/>
      <c r="H629" s="85"/>
      <c r="I629" s="87"/>
      <c r="J629" s="87"/>
      <c r="K629" s="88"/>
      <c r="L629" s="88"/>
      <c r="M629" s="88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  <c r="AA629" s="80"/>
    </row>
    <row r="630">
      <c r="A630" s="85"/>
      <c r="B630" s="85"/>
      <c r="C630" s="85"/>
      <c r="D630" s="85"/>
      <c r="E630" s="85"/>
      <c r="F630" s="85"/>
      <c r="G630" s="86"/>
      <c r="H630" s="85"/>
      <c r="I630" s="87"/>
      <c r="J630" s="87"/>
      <c r="K630" s="88"/>
      <c r="L630" s="88"/>
      <c r="M630" s="88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  <c r="AA630" s="80"/>
    </row>
    <row r="631">
      <c r="A631" s="85"/>
      <c r="B631" s="85"/>
      <c r="C631" s="85"/>
      <c r="D631" s="85"/>
      <c r="E631" s="85"/>
      <c r="F631" s="85"/>
      <c r="G631" s="86"/>
      <c r="H631" s="85"/>
      <c r="I631" s="87"/>
      <c r="J631" s="87"/>
      <c r="K631" s="88"/>
      <c r="L631" s="88"/>
      <c r="M631" s="88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  <c r="AA631" s="80"/>
    </row>
    <row r="632">
      <c r="A632" s="85"/>
      <c r="B632" s="85"/>
      <c r="C632" s="85"/>
      <c r="D632" s="85"/>
      <c r="E632" s="85"/>
      <c r="F632" s="85"/>
      <c r="G632" s="86"/>
      <c r="H632" s="85"/>
      <c r="I632" s="87"/>
      <c r="J632" s="87"/>
      <c r="K632" s="88"/>
      <c r="L632" s="88"/>
      <c r="M632" s="88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  <c r="AA632" s="80"/>
    </row>
    <row r="633">
      <c r="A633" s="85"/>
      <c r="B633" s="85"/>
      <c r="C633" s="85"/>
      <c r="D633" s="85"/>
      <c r="E633" s="85"/>
      <c r="F633" s="85"/>
      <c r="G633" s="86"/>
      <c r="H633" s="85"/>
      <c r="I633" s="87"/>
      <c r="J633" s="87"/>
      <c r="K633" s="88"/>
      <c r="L633" s="88"/>
      <c r="M633" s="88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  <c r="AA633" s="80"/>
    </row>
    <row r="634">
      <c r="A634" s="85"/>
      <c r="B634" s="85"/>
      <c r="C634" s="85"/>
      <c r="D634" s="85"/>
      <c r="E634" s="85"/>
      <c r="F634" s="85"/>
      <c r="G634" s="86"/>
      <c r="H634" s="85"/>
      <c r="I634" s="87"/>
      <c r="J634" s="87"/>
      <c r="K634" s="88"/>
      <c r="L634" s="88"/>
      <c r="M634" s="88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  <c r="AA634" s="80"/>
    </row>
    <row r="635">
      <c r="A635" s="85"/>
      <c r="B635" s="85"/>
      <c r="C635" s="85"/>
      <c r="D635" s="85"/>
      <c r="E635" s="85"/>
      <c r="F635" s="85"/>
      <c r="G635" s="86"/>
      <c r="H635" s="85"/>
      <c r="I635" s="87"/>
      <c r="J635" s="87"/>
      <c r="K635" s="88"/>
      <c r="L635" s="88"/>
      <c r="M635" s="88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  <c r="AA635" s="80"/>
    </row>
    <row r="636">
      <c r="A636" s="85"/>
      <c r="B636" s="85"/>
      <c r="C636" s="85"/>
      <c r="D636" s="85"/>
      <c r="E636" s="85"/>
      <c r="F636" s="85"/>
      <c r="G636" s="86"/>
      <c r="H636" s="85"/>
      <c r="I636" s="87"/>
      <c r="J636" s="87"/>
      <c r="K636" s="88"/>
      <c r="L636" s="88"/>
      <c r="M636" s="88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  <c r="AA636" s="80"/>
    </row>
    <row r="637">
      <c r="A637" s="85"/>
      <c r="B637" s="85"/>
      <c r="C637" s="85"/>
      <c r="D637" s="85"/>
      <c r="E637" s="85"/>
      <c r="F637" s="85"/>
      <c r="G637" s="86"/>
      <c r="H637" s="85"/>
      <c r="I637" s="87"/>
      <c r="J637" s="87"/>
      <c r="K637" s="88"/>
      <c r="L637" s="88"/>
      <c r="M637" s="88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  <c r="AA637" s="80"/>
    </row>
    <row r="638">
      <c r="A638" s="85"/>
      <c r="B638" s="85"/>
      <c r="C638" s="85"/>
      <c r="D638" s="85"/>
      <c r="E638" s="85"/>
      <c r="F638" s="85"/>
      <c r="G638" s="86"/>
      <c r="H638" s="85"/>
      <c r="I638" s="87"/>
      <c r="J638" s="87"/>
      <c r="K638" s="88"/>
      <c r="L638" s="88"/>
      <c r="M638" s="88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  <c r="AA638" s="80"/>
    </row>
    <row r="639">
      <c r="A639" s="85"/>
      <c r="B639" s="85"/>
      <c r="C639" s="85"/>
      <c r="D639" s="85"/>
      <c r="E639" s="85"/>
      <c r="F639" s="85"/>
      <c r="G639" s="86"/>
      <c r="H639" s="85"/>
      <c r="I639" s="87"/>
      <c r="J639" s="87"/>
      <c r="K639" s="88"/>
      <c r="L639" s="88"/>
      <c r="M639" s="88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  <c r="AA639" s="80"/>
    </row>
    <row r="640">
      <c r="A640" s="85"/>
      <c r="B640" s="85"/>
      <c r="C640" s="85"/>
      <c r="D640" s="85"/>
      <c r="E640" s="85"/>
      <c r="F640" s="85"/>
      <c r="G640" s="86"/>
      <c r="H640" s="85"/>
      <c r="I640" s="87"/>
      <c r="J640" s="87"/>
      <c r="K640" s="88"/>
      <c r="L640" s="88"/>
      <c r="M640" s="88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  <c r="AA640" s="80"/>
    </row>
    <row r="641">
      <c r="A641" s="85"/>
      <c r="B641" s="85"/>
      <c r="C641" s="85"/>
      <c r="D641" s="85"/>
      <c r="E641" s="85"/>
      <c r="F641" s="85"/>
      <c r="G641" s="86"/>
      <c r="H641" s="85"/>
      <c r="I641" s="87"/>
      <c r="J641" s="87"/>
      <c r="K641" s="88"/>
      <c r="L641" s="88"/>
      <c r="M641" s="88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  <c r="AA641" s="80"/>
    </row>
    <row r="642">
      <c r="A642" s="85"/>
      <c r="B642" s="85"/>
      <c r="C642" s="85"/>
      <c r="D642" s="85"/>
      <c r="E642" s="85"/>
      <c r="F642" s="85"/>
      <c r="G642" s="86"/>
      <c r="H642" s="85"/>
      <c r="I642" s="87"/>
      <c r="J642" s="87"/>
      <c r="K642" s="88"/>
      <c r="L642" s="88"/>
      <c r="M642" s="88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  <c r="AA642" s="80"/>
    </row>
    <row r="643">
      <c r="A643" s="85"/>
      <c r="B643" s="85"/>
      <c r="C643" s="85"/>
      <c r="D643" s="85"/>
      <c r="E643" s="85"/>
      <c r="F643" s="85"/>
      <c r="G643" s="86"/>
      <c r="H643" s="85"/>
      <c r="I643" s="87"/>
      <c r="J643" s="87"/>
      <c r="K643" s="88"/>
      <c r="L643" s="88"/>
      <c r="M643" s="88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</row>
    <row r="644">
      <c r="A644" s="85"/>
      <c r="B644" s="85"/>
      <c r="C644" s="85"/>
      <c r="D644" s="85"/>
      <c r="E644" s="85"/>
      <c r="F644" s="85"/>
      <c r="G644" s="86"/>
      <c r="H644" s="85"/>
      <c r="I644" s="87"/>
      <c r="J644" s="87"/>
      <c r="K644" s="88"/>
      <c r="L644" s="88"/>
      <c r="M644" s="88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  <c r="AA644" s="80"/>
    </row>
    <row r="645">
      <c r="A645" s="85"/>
      <c r="B645" s="85"/>
      <c r="C645" s="85"/>
      <c r="D645" s="85"/>
      <c r="E645" s="85"/>
      <c r="F645" s="85"/>
      <c r="G645" s="86"/>
      <c r="H645" s="85"/>
      <c r="I645" s="87"/>
      <c r="J645" s="87"/>
      <c r="K645" s="88"/>
      <c r="L645" s="88"/>
      <c r="M645" s="88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  <c r="AA645" s="80"/>
    </row>
    <row r="646">
      <c r="A646" s="85"/>
      <c r="B646" s="85"/>
      <c r="C646" s="85"/>
      <c r="D646" s="85"/>
      <c r="E646" s="85"/>
      <c r="F646" s="85"/>
      <c r="G646" s="86"/>
      <c r="H646" s="85"/>
      <c r="I646" s="87"/>
      <c r="J646" s="87"/>
      <c r="K646" s="88"/>
      <c r="L646" s="88"/>
      <c r="M646" s="88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  <c r="AA646" s="80"/>
    </row>
    <row r="647">
      <c r="A647" s="85"/>
      <c r="B647" s="85"/>
      <c r="C647" s="85"/>
      <c r="D647" s="85"/>
      <c r="E647" s="85"/>
      <c r="F647" s="85"/>
      <c r="G647" s="86"/>
      <c r="H647" s="85"/>
      <c r="I647" s="87"/>
      <c r="J647" s="87"/>
      <c r="K647" s="88"/>
      <c r="L647" s="88"/>
      <c r="M647" s="88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  <c r="AA647" s="80"/>
    </row>
    <row r="648">
      <c r="A648" s="85"/>
      <c r="B648" s="85"/>
      <c r="C648" s="85"/>
      <c r="D648" s="85"/>
      <c r="E648" s="85"/>
      <c r="F648" s="85"/>
      <c r="G648" s="86"/>
      <c r="H648" s="85"/>
      <c r="I648" s="87"/>
      <c r="J648" s="87"/>
      <c r="K648" s="88"/>
      <c r="L648" s="88"/>
      <c r="M648" s="88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  <c r="AA648" s="80"/>
    </row>
    <row r="649">
      <c r="A649" s="85"/>
      <c r="B649" s="85"/>
      <c r="C649" s="85"/>
      <c r="D649" s="85"/>
      <c r="E649" s="85"/>
      <c r="F649" s="85"/>
      <c r="G649" s="86"/>
      <c r="H649" s="85"/>
      <c r="I649" s="87"/>
      <c r="J649" s="87"/>
      <c r="K649" s="88"/>
      <c r="L649" s="88"/>
      <c r="M649" s="88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  <c r="AA649" s="80"/>
    </row>
    <row r="650">
      <c r="A650" s="85"/>
      <c r="B650" s="85"/>
      <c r="C650" s="85"/>
      <c r="D650" s="85"/>
      <c r="E650" s="85"/>
      <c r="F650" s="85"/>
      <c r="G650" s="86"/>
      <c r="H650" s="85"/>
      <c r="I650" s="87"/>
      <c r="J650" s="87"/>
      <c r="K650" s="88"/>
      <c r="L650" s="88"/>
      <c r="M650" s="88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  <c r="AA650" s="80"/>
    </row>
    <row r="651">
      <c r="A651" s="85"/>
      <c r="B651" s="85"/>
      <c r="C651" s="85"/>
      <c r="D651" s="85"/>
      <c r="E651" s="85"/>
      <c r="F651" s="85"/>
      <c r="G651" s="86"/>
      <c r="H651" s="85"/>
      <c r="I651" s="87"/>
      <c r="J651" s="87"/>
      <c r="K651" s="88"/>
      <c r="L651" s="88"/>
      <c r="M651" s="88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  <c r="AA651" s="80"/>
    </row>
    <row r="652">
      <c r="A652" s="85"/>
      <c r="B652" s="85"/>
      <c r="C652" s="85"/>
      <c r="D652" s="85"/>
      <c r="E652" s="85"/>
      <c r="F652" s="85"/>
      <c r="G652" s="86"/>
      <c r="H652" s="85"/>
      <c r="I652" s="87"/>
      <c r="J652" s="87"/>
      <c r="K652" s="88"/>
      <c r="L652" s="88"/>
      <c r="M652" s="88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  <c r="AA652" s="80"/>
    </row>
    <row r="653">
      <c r="A653" s="85"/>
      <c r="B653" s="85"/>
      <c r="C653" s="85"/>
      <c r="D653" s="85"/>
      <c r="E653" s="85"/>
      <c r="F653" s="85"/>
      <c r="G653" s="86"/>
      <c r="H653" s="85"/>
      <c r="I653" s="87"/>
      <c r="J653" s="87"/>
      <c r="K653" s="88"/>
      <c r="L653" s="88"/>
      <c r="M653" s="88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  <c r="AA653" s="80"/>
    </row>
    <row r="654">
      <c r="A654" s="85"/>
      <c r="B654" s="85"/>
      <c r="C654" s="85"/>
      <c r="D654" s="85"/>
      <c r="E654" s="85"/>
      <c r="F654" s="85"/>
      <c r="G654" s="86"/>
      <c r="H654" s="85"/>
      <c r="I654" s="87"/>
      <c r="J654" s="87"/>
      <c r="K654" s="88"/>
      <c r="L654" s="88"/>
      <c r="M654" s="88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  <c r="AA654" s="80"/>
    </row>
    <row r="655">
      <c r="A655" s="85"/>
      <c r="B655" s="85"/>
      <c r="C655" s="85"/>
      <c r="D655" s="85"/>
      <c r="E655" s="85"/>
      <c r="F655" s="85"/>
      <c r="G655" s="86"/>
      <c r="H655" s="85"/>
      <c r="I655" s="87"/>
      <c r="J655" s="87"/>
      <c r="K655" s="88"/>
      <c r="L655" s="88"/>
      <c r="M655" s="88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  <c r="AA655" s="80"/>
    </row>
    <row r="656">
      <c r="A656" s="85"/>
      <c r="B656" s="85"/>
      <c r="C656" s="85"/>
      <c r="D656" s="85"/>
      <c r="E656" s="85"/>
      <c r="F656" s="85"/>
      <c r="G656" s="86"/>
      <c r="H656" s="85"/>
      <c r="I656" s="87"/>
      <c r="J656" s="87"/>
      <c r="K656" s="88"/>
      <c r="L656" s="88"/>
      <c r="M656" s="88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  <c r="AA656" s="80"/>
    </row>
    <row r="657">
      <c r="A657" s="85"/>
      <c r="B657" s="85"/>
      <c r="C657" s="85"/>
      <c r="D657" s="85"/>
      <c r="E657" s="85"/>
      <c r="F657" s="85"/>
      <c r="G657" s="86"/>
      <c r="H657" s="85"/>
      <c r="I657" s="87"/>
      <c r="J657" s="87"/>
      <c r="K657" s="88"/>
      <c r="L657" s="88"/>
      <c r="M657" s="88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  <c r="AA657" s="80"/>
    </row>
    <row r="658">
      <c r="A658" s="85"/>
      <c r="B658" s="85"/>
      <c r="C658" s="85"/>
      <c r="D658" s="85"/>
      <c r="E658" s="85"/>
      <c r="F658" s="85"/>
      <c r="G658" s="86"/>
      <c r="H658" s="85"/>
      <c r="I658" s="87"/>
      <c r="J658" s="87"/>
      <c r="K658" s="88"/>
      <c r="L658" s="88"/>
      <c r="M658" s="88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  <c r="AA658" s="80"/>
    </row>
    <row r="659">
      <c r="A659" s="85"/>
      <c r="B659" s="85"/>
      <c r="C659" s="85"/>
      <c r="D659" s="85"/>
      <c r="E659" s="85"/>
      <c r="F659" s="85"/>
      <c r="G659" s="86"/>
      <c r="H659" s="85"/>
      <c r="I659" s="87"/>
      <c r="J659" s="87"/>
      <c r="K659" s="88"/>
      <c r="L659" s="88"/>
      <c r="M659" s="88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  <c r="AA659" s="80"/>
    </row>
    <row r="660">
      <c r="A660" s="85"/>
      <c r="B660" s="85"/>
      <c r="C660" s="85"/>
      <c r="D660" s="85"/>
      <c r="E660" s="85"/>
      <c r="F660" s="85"/>
      <c r="G660" s="86"/>
      <c r="H660" s="85"/>
      <c r="I660" s="87"/>
      <c r="J660" s="87"/>
      <c r="K660" s="88"/>
      <c r="L660" s="88"/>
      <c r="M660" s="88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  <c r="AA660" s="80"/>
    </row>
    <row r="661">
      <c r="A661" s="85"/>
      <c r="B661" s="85"/>
      <c r="C661" s="85"/>
      <c r="D661" s="85"/>
      <c r="E661" s="85"/>
      <c r="F661" s="85"/>
      <c r="G661" s="86"/>
      <c r="H661" s="85"/>
      <c r="I661" s="87"/>
      <c r="J661" s="87"/>
      <c r="K661" s="88"/>
      <c r="L661" s="88"/>
      <c r="M661" s="88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  <c r="AA661" s="80"/>
    </row>
    <row r="662">
      <c r="A662" s="85"/>
      <c r="B662" s="85"/>
      <c r="C662" s="85"/>
      <c r="D662" s="85"/>
      <c r="E662" s="85"/>
      <c r="F662" s="85"/>
      <c r="G662" s="86"/>
      <c r="H662" s="85"/>
      <c r="I662" s="87"/>
      <c r="J662" s="87"/>
      <c r="K662" s="88"/>
      <c r="L662" s="88"/>
      <c r="M662" s="88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  <c r="AA662" s="80"/>
    </row>
    <row r="663">
      <c r="A663" s="85"/>
      <c r="B663" s="85"/>
      <c r="C663" s="85"/>
      <c r="D663" s="85"/>
      <c r="E663" s="85"/>
      <c r="F663" s="85"/>
      <c r="G663" s="86"/>
      <c r="H663" s="85"/>
      <c r="I663" s="87"/>
      <c r="J663" s="87"/>
      <c r="K663" s="88"/>
      <c r="L663" s="88"/>
      <c r="M663" s="88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  <c r="AA663" s="80"/>
    </row>
    <row r="664">
      <c r="A664" s="85"/>
      <c r="B664" s="85"/>
      <c r="C664" s="85"/>
      <c r="D664" s="85"/>
      <c r="E664" s="85"/>
      <c r="F664" s="85"/>
      <c r="G664" s="86"/>
      <c r="H664" s="85"/>
      <c r="I664" s="87"/>
      <c r="J664" s="87"/>
      <c r="K664" s="88"/>
      <c r="L664" s="88"/>
      <c r="M664" s="88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  <c r="AA664" s="80"/>
    </row>
    <row r="665">
      <c r="A665" s="85"/>
      <c r="B665" s="85"/>
      <c r="C665" s="85"/>
      <c r="D665" s="85"/>
      <c r="E665" s="85"/>
      <c r="F665" s="85"/>
      <c r="G665" s="86"/>
      <c r="H665" s="85"/>
      <c r="I665" s="87"/>
      <c r="J665" s="87"/>
      <c r="K665" s="88"/>
      <c r="L665" s="88"/>
      <c r="M665" s="88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  <c r="AA665" s="80"/>
    </row>
    <row r="666">
      <c r="A666" s="85"/>
      <c r="B666" s="85"/>
      <c r="C666" s="85"/>
      <c r="D666" s="85"/>
      <c r="E666" s="85"/>
      <c r="F666" s="85"/>
      <c r="G666" s="86"/>
      <c r="H666" s="85"/>
      <c r="I666" s="87"/>
      <c r="J666" s="87"/>
      <c r="K666" s="88"/>
      <c r="L666" s="88"/>
      <c r="M666" s="88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  <c r="AA666" s="80"/>
    </row>
    <row r="667">
      <c r="A667" s="85"/>
      <c r="B667" s="85"/>
      <c r="C667" s="85"/>
      <c r="D667" s="85"/>
      <c r="E667" s="85"/>
      <c r="F667" s="85"/>
      <c r="G667" s="86"/>
      <c r="H667" s="85"/>
      <c r="I667" s="87"/>
      <c r="J667" s="87"/>
      <c r="K667" s="88"/>
      <c r="L667" s="88"/>
      <c r="M667" s="88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  <c r="AA667" s="80"/>
    </row>
    <row r="668">
      <c r="A668" s="85"/>
      <c r="B668" s="85"/>
      <c r="C668" s="85"/>
      <c r="D668" s="85"/>
      <c r="E668" s="85"/>
      <c r="F668" s="85"/>
      <c r="G668" s="86"/>
      <c r="H668" s="85"/>
      <c r="I668" s="87"/>
      <c r="J668" s="87"/>
      <c r="K668" s="88"/>
      <c r="L668" s="88"/>
      <c r="M668" s="88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  <c r="AA668" s="80"/>
    </row>
    <row r="669">
      <c r="A669" s="85"/>
      <c r="B669" s="85"/>
      <c r="C669" s="85"/>
      <c r="D669" s="85"/>
      <c r="E669" s="85"/>
      <c r="F669" s="85"/>
      <c r="G669" s="86"/>
      <c r="H669" s="85"/>
      <c r="I669" s="87"/>
      <c r="J669" s="87"/>
      <c r="K669" s="88"/>
      <c r="L669" s="88"/>
      <c r="M669" s="88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  <c r="AA669" s="80"/>
    </row>
    <row r="670">
      <c r="A670" s="85"/>
      <c r="B670" s="85"/>
      <c r="C670" s="85"/>
      <c r="D670" s="85"/>
      <c r="E670" s="85"/>
      <c r="F670" s="85"/>
      <c r="G670" s="86"/>
      <c r="H670" s="85"/>
      <c r="I670" s="87"/>
      <c r="J670" s="87"/>
      <c r="K670" s="88"/>
      <c r="L670" s="88"/>
      <c r="M670" s="88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</row>
    <row r="671">
      <c r="A671" s="85"/>
      <c r="B671" s="85"/>
      <c r="C671" s="85"/>
      <c r="D671" s="85"/>
      <c r="E671" s="85"/>
      <c r="F671" s="85"/>
      <c r="G671" s="86"/>
      <c r="H671" s="85"/>
      <c r="I671" s="87"/>
      <c r="J671" s="87"/>
      <c r="K671" s="88"/>
      <c r="L671" s="88"/>
      <c r="M671" s="88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  <c r="AA671" s="80"/>
    </row>
    <row r="672">
      <c r="A672" s="85"/>
      <c r="B672" s="85"/>
      <c r="C672" s="85"/>
      <c r="D672" s="85"/>
      <c r="E672" s="85"/>
      <c r="F672" s="85"/>
      <c r="G672" s="86"/>
      <c r="H672" s="85"/>
      <c r="I672" s="87"/>
      <c r="J672" s="87"/>
      <c r="K672" s="88"/>
      <c r="L672" s="88"/>
      <c r="M672" s="88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  <c r="AA672" s="80"/>
    </row>
    <row r="673">
      <c r="A673" s="85"/>
      <c r="B673" s="85"/>
      <c r="C673" s="85"/>
      <c r="D673" s="85"/>
      <c r="E673" s="85"/>
      <c r="F673" s="85"/>
      <c r="G673" s="86"/>
      <c r="H673" s="85"/>
      <c r="I673" s="87"/>
      <c r="J673" s="87"/>
      <c r="K673" s="88"/>
      <c r="L673" s="88"/>
      <c r="M673" s="88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  <c r="AA673" s="80"/>
    </row>
    <row r="674">
      <c r="A674" s="85"/>
      <c r="B674" s="85"/>
      <c r="C674" s="85"/>
      <c r="D674" s="85"/>
      <c r="E674" s="85"/>
      <c r="F674" s="85"/>
      <c r="G674" s="86"/>
      <c r="H674" s="85"/>
      <c r="I674" s="87"/>
      <c r="J674" s="87"/>
      <c r="K674" s="88"/>
      <c r="L674" s="88"/>
      <c r="M674" s="88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  <c r="AA674" s="80"/>
    </row>
    <row r="675">
      <c r="A675" s="85"/>
      <c r="B675" s="85"/>
      <c r="C675" s="85"/>
      <c r="D675" s="85"/>
      <c r="E675" s="85"/>
      <c r="F675" s="85"/>
      <c r="G675" s="86"/>
      <c r="H675" s="85"/>
      <c r="I675" s="87"/>
      <c r="J675" s="87"/>
      <c r="K675" s="88"/>
      <c r="L675" s="88"/>
      <c r="M675" s="88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  <c r="AA675" s="80"/>
    </row>
    <row r="676">
      <c r="A676" s="85"/>
      <c r="B676" s="85"/>
      <c r="C676" s="85"/>
      <c r="D676" s="85"/>
      <c r="E676" s="85"/>
      <c r="F676" s="85"/>
      <c r="G676" s="86"/>
      <c r="H676" s="85"/>
      <c r="I676" s="87"/>
      <c r="J676" s="87"/>
      <c r="K676" s="88"/>
      <c r="L676" s="88"/>
      <c r="M676" s="88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  <c r="AA676" s="80"/>
    </row>
    <row r="677">
      <c r="A677" s="85"/>
      <c r="B677" s="85"/>
      <c r="C677" s="85"/>
      <c r="D677" s="85"/>
      <c r="E677" s="85"/>
      <c r="F677" s="85"/>
      <c r="G677" s="86"/>
      <c r="H677" s="85"/>
      <c r="I677" s="87"/>
      <c r="J677" s="87"/>
      <c r="K677" s="88"/>
      <c r="L677" s="88"/>
      <c r="M677" s="88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  <c r="AA677" s="80"/>
    </row>
    <row r="678">
      <c r="A678" s="85"/>
      <c r="B678" s="85"/>
      <c r="C678" s="85"/>
      <c r="D678" s="85"/>
      <c r="E678" s="85"/>
      <c r="F678" s="85"/>
      <c r="G678" s="86"/>
      <c r="H678" s="85"/>
      <c r="I678" s="87"/>
      <c r="J678" s="87"/>
      <c r="K678" s="88"/>
      <c r="L678" s="88"/>
      <c r="M678" s="88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  <c r="AA678" s="80"/>
    </row>
    <row r="679">
      <c r="A679" s="85"/>
      <c r="B679" s="85"/>
      <c r="C679" s="85"/>
      <c r="D679" s="85"/>
      <c r="E679" s="85"/>
      <c r="F679" s="85"/>
      <c r="G679" s="86"/>
      <c r="H679" s="85"/>
      <c r="I679" s="87"/>
      <c r="J679" s="87"/>
      <c r="K679" s="88"/>
      <c r="L679" s="88"/>
      <c r="M679" s="88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  <c r="AA679" s="80"/>
    </row>
    <row r="680">
      <c r="A680" s="85"/>
      <c r="B680" s="85"/>
      <c r="C680" s="85"/>
      <c r="D680" s="85"/>
      <c r="E680" s="85"/>
      <c r="F680" s="85"/>
      <c r="G680" s="86"/>
      <c r="H680" s="85"/>
      <c r="I680" s="87"/>
      <c r="J680" s="87"/>
      <c r="K680" s="88"/>
      <c r="L680" s="88"/>
      <c r="M680" s="88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  <c r="AA680" s="80"/>
    </row>
    <row r="681">
      <c r="A681" s="85"/>
      <c r="B681" s="85"/>
      <c r="C681" s="85"/>
      <c r="D681" s="85"/>
      <c r="E681" s="85"/>
      <c r="F681" s="85"/>
      <c r="G681" s="86"/>
      <c r="H681" s="85"/>
      <c r="I681" s="87"/>
      <c r="J681" s="87"/>
      <c r="K681" s="88"/>
      <c r="L681" s="88"/>
      <c r="M681" s="88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  <c r="AA681" s="80"/>
    </row>
    <row r="682">
      <c r="A682" s="85"/>
      <c r="B682" s="85"/>
      <c r="C682" s="85"/>
      <c r="D682" s="85"/>
      <c r="E682" s="85"/>
      <c r="F682" s="85"/>
      <c r="G682" s="86"/>
      <c r="H682" s="85"/>
      <c r="I682" s="87"/>
      <c r="J682" s="87"/>
      <c r="K682" s="88"/>
      <c r="L682" s="88"/>
      <c r="M682" s="88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  <c r="AA682" s="80"/>
    </row>
    <row r="683">
      <c r="A683" s="85"/>
      <c r="B683" s="85"/>
      <c r="C683" s="85"/>
      <c r="D683" s="85"/>
      <c r="E683" s="85"/>
      <c r="F683" s="85"/>
      <c r="G683" s="86"/>
      <c r="H683" s="85"/>
      <c r="I683" s="87"/>
      <c r="J683" s="87"/>
      <c r="K683" s="88"/>
      <c r="L683" s="88"/>
      <c r="M683" s="88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</row>
    <row r="684">
      <c r="A684" s="85"/>
      <c r="B684" s="85"/>
      <c r="C684" s="85"/>
      <c r="D684" s="85"/>
      <c r="E684" s="85"/>
      <c r="F684" s="85"/>
      <c r="G684" s="86"/>
      <c r="H684" s="85"/>
      <c r="I684" s="87"/>
      <c r="J684" s="87"/>
      <c r="K684" s="88"/>
      <c r="L684" s="88"/>
      <c r="M684" s="88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  <c r="AA684" s="80"/>
    </row>
    <row r="685">
      <c r="A685" s="85"/>
      <c r="B685" s="85"/>
      <c r="C685" s="85"/>
      <c r="D685" s="85"/>
      <c r="E685" s="85"/>
      <c r="F685" s="85"/>
      <c r="G685" s="86"/>
      <c r="H685" s="85"/>
      <c r="I685" s="87"/>
      <c r="J685" s="87"/>
      <c r="K685" s="88"/>
      <c r="L685" s="88"/>
      <c r="M685" s="88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  <c r="AA685" s="80"/>
    </row>
    <row r="686">
      <c r="A686" s="85"/>
      <c r="B686" s="85"/>
      <c r="C686" s="85"/>
      <c r="D686" s="85"/>
      <c r="E686" s="85"/>
      <c r="F686" s="85"/>
      <c r="G686" s="86"/>
      <c r="H686" s="85"/>
      <c r="I686" s="87"/>
      <c r="J686" s="87"/>
      <c r="K686" s="88"/>
      <c r="L686" s="88"/>
      <c r="M686" s="88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  <c r="AA686" s="80"/>
    </row>
    <row r="687">
      <c r="A687" s="85"/>
      <c r="B687" s="85"/>
      <c r="C687" s="85"/>
      <c r="D687" s="85"/>
      <c r="E687" s="85"/>
      <c r="F687" s="85"/>
      <c r="G687" s="86"/>
      <c r="H687" s="85"/>
      <c r="I687" s="87"/>
      <c r="J687" s="87"/>
      <c r="K687" s="88"/>
      <c r="L687" s="88"/>
      <c r="M687" s="88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  <c r="AA687" s="80"/>
    </row>
    <row r="688">
      <c r="A688" s="85"/>
      <c r="B688" s="85"/>
      <c r="C688" s="85"/>
      <c r="D688" s="85"/>
      <c r="E688" s="85"/>
      <c r="F688" s="85"/>
      <c r="G688" s="86"/>
      <c r="H688" s="85"/>
      <c r="I688" s="87"/>
      <c r="J688" s="87"/>
      <c r="K688" s="88"/>
      <c r="L688" s="88"/>
      <c r="M688" s="88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  <c r="AA688" s="80"/>
    </row>
    <row r="689">
      <c r="A689" s="85"/>
      <c r="B689" s="85"/>
      <c r="C689" s="85"/>
      <c r="D689" s="85"/>
      <c r="E689" s="85"/>
      <c r="F689" s="85"/>
      <c r="G689" s="86"/>
      <c r="H689" s="85"/>
      <c r="I689" s="87"/>
      <c r="J689" s="87"/>
      <c r="K689" s="88"/>
      <c r="L689" s="88"/>
      <c r="M689" s="88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  <c r="AA689" s="80"/>
    </row>
    <row r="690">
      <c r="A690" s="85"/>
      <c r="B690" s="85"/>
      <c r="C690" s="85"/>
      <c r="D690" s="85"/>
      <c r="E690" s="85"/>
      <c r="F690" s="85"/>
      <c r="G690" s="86"/>
      <c r="H690" s="85"/>
      <c r="I690" s="87"/>
      <c r="J690" s="87"/>
      <c r="K690" s="88"/>
      <c r="L690" s="88"/>
      <c r="M690" s="88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  <c r="AA690" s="80"/>
    </row>
    <row r="691">
      <c r="A691" s="85"/>
      <c r="B691" s="85"/>
      <c r="C691" s="85"/>
      <c r="D691" s="85"/>
      <c r="E691" s="85"/>
      <c r="F691" s="85"/>
      <c r="G691" s="86"/>
      <c r="H691" s="85"/>
      <c r="I691" s="87"/>
      <c r="J691" s="87"/>
      <c r="K691" s="88"/>
      <c r="L691" s="88"/>
      <c r="M691" s="88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  <c r="AA691" s="80"/>
    </row>
    <row r="692">
      <c r="A692" s="85"/>
      <c r="B692" s="85"/>
      <c r="C692" s="85"/>
      <c r="D692" s="85"/>
      <c r="E692" s="85"/>
      <c r="F692" s="85"/>
      <c r="G692" s="86"/>
      <c r="H692" s="85"/>
      <c r="I692" s="87"/>
      <c r="J692" s="87"/>
      <c r="K692" s="88"/>
      <c r="L692" s="88"/>
      <c r="M692" s="88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  <c r="AA692" s="80"/>
    </row>
    <row r="693">
      <c r="A693" s="85"/>
      <c r="B693" s="85"/>
      <c r="C693" s="85"/>
      <c r="D693" s="85"/>
      <c r="E693" s="85"/>
      <c r="F693" s="85"/>
      <c r="G693" s="86"/>
      <c r="H693" s="85"/>
      <c r="I693" s="87"/>
      <c r="J693" s="87"/>
      <c r="K693" s="88"/>
      <c r="L693" s="88"/>
      <c r="M693" s="88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  <c r="AA693" s="80"/>
    </row>
    <row r="694">
      <c r="A694" s="85"/>
      <c r="B694" s="85"/>
      <c r="C694" s="85"/>
      <c r="D694" s="85"/>
      <c r="E694" s="85"/>
      <c r="F694" s="85"/>
      <c r="G694" s="86"/>
      <c r="H694" s="85"/>
      <c r="I694" s="87"/>
      <c r="J694" s="87"/>
      <c r="K694" s="88"/>
      <c r="L694" s="88"/>
      <c r="M694" s="88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  <c r="AA694" s="80"/>
    </row>
    <row r="695">
      <c r="A695" s="85"/>
      <c r="B695" s="85"/>
      <c r="C695" s="85"/>
      <c r="D695" s="85"/>
      <c r="E695" s="85"/>
      <c r="F695" s="85"/>
      <c r="G695" s="86"/>
      <c r="H695" s="85"/>
      <c r="I695" s="87"/>
      <c r="J695" s="87"/>
      <c r="K695" s="88"/>
      <c r="L695" s="88"/>
      <c r="M695" s="88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  <c r="AA695" s="80"/>
    </row>
    <row r="696">
      <c r="A696" s="85"/>
      <c r="B696" s="85"/>
      <c r="C696" s="85"/>
      <c r="D696" s="85"/>
      <c r="E696" s="85"/>
      <c r="F696" s="85"/>
      <c r="G696" s="86"/>
      <c r="H696" s="85"/>
      <c r="I696" s="87"/>
      <c r="J696" s="87"/>
      <c r="K696" s="88"/>
      <c r="L696" s="88"/>
      <c r="M696" s="88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  <c r="AA696" s="80"/>
    </row>
    <row r="697">
      <c r="A697" s="85"/>
      <c r="B697" s="85"/>
      <c r="C697" s="85"/>
      <c r="D697" s="85"/>
      <c r="E697" s="85"/>
      <c r="F697" s="85"/>
      <c r="G697" s="86"/>
      <c r="H697" s="85"/>
      <c r="I697" s="87"/>
      <c r="J697" s="87"/>
      <c r="K697" s="88"/>
      <c r="L697" s="88"/>
      <c r="M697" s="88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  <c r="AA697" s="80"/>
    </row>
    <row r="698">
      <c r="A698" s="85"/>
      <c r="B698" s="85"/>
      <c r="C698" s="85"/>
      <c r="D698" s="85"/>
      <c r="E698" s="85"/>
      <c r="F698" s="85"/>
      <c r="G698" s="86"/>
      <c r="H698" s="85"/>
      <c r="I698" s="87"/>
      <c r="J698" s="87"/>
      <c r="K698" s="88"/>
      <c r="L698" s="88"/>
      <c r="M698" s="88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  <c r="AA698" s="80"/>
    </row>
    <row r="699">
      <c r="A699" s="85"/>
      <c r="B699" s="85"/>
      <c r="C699" s="85"/>
      <c r="D699" s="85"/>
      <c r="E699" s="85"/>
      <c r="F699" s="85"/>
      <c r="G699" s="86"/>
      <c r="H699" s="85"/>
      <c r="I699" s="87"/>
      <c r="J699" s="87"/>
      <c r="K699" s="88"/>
      <c r="L699" s="88"/>
      <c r="M699" s="88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  <c r="AA699" s="80"/>
    </row>
    <row r="700">
      <c r="A700" s="85"/>
      <c r="B700" s="85"/>
      <c r="C700" s="85"/>
      <c r="D700" s="85"/>
      <c r="E700" s="85"/>
      <c r="F700" s="85"/>
      <c r="G700" s="86"/>
      <c r="H700" s="85"/>
      <c r="I700" s="87"/>
      <c r="J700" s="87"/>
      <c r="K700" s="88"/>
      <c r="L700" s="88"/>
      <c r="M700" s="88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  <c r="AA700" s="80"/>
    </row>
    <row r="701">
      <c r="A701" s="85"/>
      <c r="B701" s="85"/>
      <c r="C701" s="85"/>
      <c r="D701" s="85"/>
      <c r="E701" s="85"/>
      <c r="F701" s="85"/>
      <c r="G701" s="86"/>
      <c r="H701" s="85"/>
      <c r="I701" s="87"/>
      <c r="J701" s="87"/>
      <c r="K701" s="88"/>
      <c r="L701" s="88"/>
      <c r="M701" s="88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  <c r="AA701" s="80"/>
    </row>
    <row r="702">
      <c r="A702" s="85"/>
      <c r="B702" s="85"/>
      <c r="C702" s="85"/>
      <c r="D702" s="85"/>
      <c r="E702" s="85"/>
      <c r="F702" s="85"/>
      <c r="G702" s="86"/>
      <c r="H702" s="85"/>
      <c r="I702" s="87"/>
      <c r="J702" s="87"/>
      <c r="K702" s="88"/>
      <c r="L702" s="88"/>
      <c r="M702" s="88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  <c r="AA702" s="80"/>
    </row>
    <row r="703">
      <c r="A703" s="85"/>
      <c r="B703" s="85"/>
      <c r="C703" s="85"/>
      <c r="D703" s="85"/>
      <c r="E703" s="85"/>
      <c r="F703" s="85"/>
      <c r="G703" s="86"/>
      <c r="H703" s="85"/>
      <c r="I703" s="87"/>
      <c r="J703" s="87"/>
      <c r="K703" s="88"/>
      <c r="L703" s="88"/>
      <c r="M703" s="88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  <c r="AA703" s="80"/>
    </row>
    <row r="704">
      <c r="A704" s="85"/>
      <c r="B704" s="85"/>
      <c r="C704" s="85"/>
      <c r="D704" s="85"/>
      <c r="E704" s="85"/>
      <c r="F704" s="85"/>
      <c r="G704" s="86"/>
      <c r="H704" s="85"/>
      <c r="I704" s="87"/>
      <c r="J704" s="87"/>
      <c r="K704" s="88"/>
      <c r="L704" s="88"/>
      <c r="M704" s="88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  <c r="AA704" s="80"/>
    </row>
    <row r="705">
      <c r="A705" s="85"/>
      <c r="B705" s="85"/>
      <c r="C705" s="85"/>
      <c r="D705" s="85"/>
      <c r="E705" s="85"/>
      <c r="F705" s="85"/>
      <c r="G705" s="86"/>
      <c r="H705" s="85"/>
      <c r="I705" s="87"/>
      <c r="J705" s="87"/>
      <c r="K705" s="88"/>
      <c r="L705" s="88"/>
      <c r="M705" s="88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  <c r="AA705" s="80"/>
    </row>
    <row r="706">
      <c r="A706" s="85"/>
      <c r="B706" s="85"/>
      <c r="C706" s="85"/>
      <c r="D706" s="85"/>
      <c r="E706" s="85"/>
      <c r="F706" s="85"/>
      <c r="G706" s="86"/>
      <c r="H706" s="85"/>
      <c r="I706" s="87"/>
      <c r="J706" s="87"/>
      <c r="K706" s="88"/>
      <c r="L706" s="88"/>
      <c r="M706" s="88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  <c r="AA706" s="80"/>
    </row>
    <row r="707">
      <c r="A707" s="85"/>
      <c r="B707" s="85"/>
      <c r="C707" s="85"/>
      <c r="D707" s="85"/>
      <c r="E707" s="85"/>
      <c r="F707" s="85"/>
      <c r="G707" s="86"/>
      <c r="H707" s="85"/>
      <c r="I707" s="87"/>
      <c r="J707" s="87"/>
      <c r="K707" s="88"/>
      <c r="L707" s="88"/>
      <c r="M707" s="88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  <c r="AA707" s="80"/>
    </row>
    <row r="708">
      <c r="A708" s="85"/>
      <c r="B708" s="85"/>
      <c r="C708" s="85"/>
      <c r="D708" s="85"/>
      <c r="E708" s="85"/>
      <c r="F708" s="85"/>
      <c r="G708" s="86"/>
      <c r="H708" s="85"/>
      <c r="I708" s="87"/>
      <c r="J708" s="87"/>
      <c r="K708" s="88"/>
      <c r="L708" s="88"/>
      <c r="M708" s="88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  <c r="AA708" s="80"/>
    </row>
    <row r="709">
      <c r="A709" s="85"/>
      <c r="B709" s="85"/>
      <c r="C709" s="85"/>
      <c r="D709" s="85"/>
      <c r="E709" s="85"/>
      <c r="F709" s="85"/>
      <c r="G709" s="86"/>
      <c r="H709" s="85"/>
      <c r="I709" s="87"/>
      <c r="J709" s="87"/>
      <c r="K709" s="88"/>
      <c r="L709" s="88"/>
      <c r="M709" s="88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  <c r="AA709" s="80"/>
    </row>
    <row r="710">
      <c r="A710" s="85"/>
      <c r="B710" s="85"/>
      <c r="C710" s="85"/>
      <c r="D710" s="85"/>
      <c r="E710" s="85"/>
      <c r="F710" s="85"/>
      <c r="G710" s="86"/>
      <c r="H710" s="85"/>
      <c r="I710" s="87"/>
      <c r="J710" s="87"/>
      <c r="K710" s="88"/>
      <c r="L710" s="88"/>
      <c r="M710" s="88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  <c r="AA710" s="80"/>
    </row>
    <row r="711">
      <c r="A711" s="85"/>
      <c r="B711" s="85"/>
      <c r="C711" s="85"/>
      <c r="D711" s="85"/>
      <c r="E711" s="85"/>
      <c r="F711" s="85"/>
      <c r="G711" s="86"/>
      <c r="H711" s="85"/>
      <c r="I711" s="87"/>
      <c r="J711" s="87"/>
      <c r="K711" s="88"/>
      <c r="L711" s="88"/>
      <c r="M711" s="88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  <c r="AA711" s="80"/>
    </row>
    <row r="712">
      <c r="A712" s="85"/>
      <c r="B712" s="85"/>
      <c r="C712" s="85"/>
      <c r="D712" s="85"/>
      <c r="E712" s="85"/>
      <c r="F712" s="85"/>
      <c r="G712" s="86"/>
      <c r="H712" s="85"/>
      <c r="I712" s="87"/>
      <c r="J712" s="87"/>
      <c r="K712" s="88"/>
      <c r="L712" s="88"/>
      <c r="M712" s="88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  <c r="AA712" s="80"/>
    </row>
    <row r="713">
      <c r="A713" s="85"/>
      <c r="B713" s="85"/>
      <c r="C713" s="85"/>
      <c r="D713" s="85"/>
      <c r="E713" s="85"/>
      <c r="F713" s="85"/>
      <c r="G713" s="86"/>
      <c r="H713" s="85"/>
      <c r="I713" s="87"/>
      <c r="J713" s="87"/>
      <c r="K713" s="88"/>
      <c r="L713" s="88"/>
      <c r="M713" s="88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  <c r="AA713" s="80"/>
    </row>
    <row r="714">
      <c r="A714" s="85"/>
      <c r="B714" s="85"/>
      <c r="C714" s="85"/>
      <c r="D714" s="85"/>
      <c r="E714" s="85"/>
      <c r="F714" s="85"/>
      <c r="G714" s="86"/>
      <c r="H714" s="85"/>
      <c r="I714" s="87"/>
      <c r="J714" s="87"/>
      <c r="K714" s="88"/>
      <c r="L714" s="88"/>
      <c r="M714" s="88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  <c r="AA714" s="80"/>
    </row>
    <row r="715">
      <c r="A715" s="85"/>
      <c r="B715" s="85"/>
      <c r="C715" s="85"/>
      <c r="D715" s="85"/>
      <c r="E715" s="85"/>
      <c r="F715" s="85"/>
      <c r="G715" s="86"/>
      <c r="H715" s="85"/>
      <c r="I715" s="87"/>
      <c r="J715" s="87"/>
      <c r="K715" s="88"/>
      <c r="L715" s="88"/>
      <c r="M715" s="88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  <c r="AA715" s="80"/>
    </row>
    <row r="716">
      <c r="A716" s="85"/>
      <c r="B716" s="85"/>
      <c r="C716" s="85"/>
      <c r="D716" s="85"/>
      <c r="E716" s="85"/>
      <c r="F716" s="85"/>
      <c r="G716" s="86"/>
      <c r="H716" s="85"/>
      <c r="I716" s="87"/>
      <c r="J716" s="87"/>
      <c r="K716" s="88"/>
      <c r="L716" s="88"/>
      <c r="M716" s="88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  <c r="AA716" s="80"/>
    </row>
    <row r="717">
      <c r="A717" s="85"/>
      <c r="B717" s="85"/>
      <c r="C717" s="85"/>
      <c r="D717" s="85"/>
      <c r="E717" s="85"/>
      <c r="F717" s="85"/>
      <c r="G717" s="86"/>
      <c r="H717" s="85"/>
      <c r="I717" s="87"/>
      <c r="J717" s="87"/>
      <c r="K717" s="88"/>
      <c r="L717" s="88"/>
      <c r="M717" s="88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  <c r="AA717" s="80"/>
    </row>
    <row r="718">
      <c r="A718" s="85"/>
      <c r="B718" s="85"/>
      <c r="C718" s="85"/>
      <c r="D718" s="85"/>
      <c r="E718" s="85"/>
      <c r="F718" s="85"/>
      <c r="G718" s="86"/>
      <c r="H718" s="85"/>
      <c r="I718" s="87"/>
      <c r="J718" s="87"/>
      <c r="K718" s="88"/>
      <c r="L718" s="88"/>
      <c r="M718" s="88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  <c r="AA718" s="80"/>
    </row>
    <row r="719">
      <c r="A719" s="85"/>
      <c r="B719" s="85"/>
      <c r="C719" s="85"/>
      <c r="D719" s="85"/>
      <c r="E719" s="85"/>
      <c r="F719" s="85"/>
      <c r="G719" s="86"/>
      <c r="H719" s="85"/>
      <c r="I719" s="87"/>
      <c r="J719" s="87"/>
      <c r="K719" s="88"/>
      <c r="L719" s="88"/>
      <c r="M719" s="88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  <c r="AA719" s="80"/>
    </row>
    <row r="720">
      <c r="A720" s="85"/>
      <c r="B720" s="85"/>
      <c r="C720" s="85"/>
      <c r="D720" s="85"/>
      <c r="E720" s="85"/>
      <c r="F720" s="85"/>
      <c r="G720" s="86"/>
      <c r="H720" s="85"/>
      <c r="I720" s="87"/>
      <c r="J720" s="87"/>
      <c r="K720" s="88"/>
      <c r="L720" s="88"/>
      <c r="M720" s="88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  <c r="AA720" s="80"/>
    </row>
    <row r="721">
      <c r="A721" s="85"/>
      <c r="B721" s="85"/>
      <c r="C721" s="85"/>
      <c r="D721" s="85"/>
      <c r="E721" s="85"/>
      <c r="F721" s="85"/>
      <c r="G721" s="86"/>
      <c r="H721" s="85"/>
      <c r="I721" s="87"/>
      <c r="J721" s="87"/>
      <c r="K721" s="88"/>
      <c r="L721" s="88"/>
      <c r="M721" s="88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  <c r="AA721" s="80"/>
    </row>
    <row r="722">
      <c r="A722" s="85"/>
      <c r="B722" s="85"/>
      <c r="C722" s="85"/>
      <c r="D722" s="85"/>
      <c r="E722" s="85"/>
      <c r="F722" s="85"/>
      <c r="G722" s="86"/>
      <c r="H722" s="85"/>
      <c r="I722" s="87"/>
      <c r="J722" s="87"/>
      <c r="K722" s="88"/>
      <c r="L722" s="88"/>
      <c r="M722" s="88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  <c r="AA722" s="80"/>
    </row>
    <row r="723">
      <c r="A723" s="85"/>
      <c r="B723" s="85"/>
      <c r="C723" s="85"/>
      <c r="D723" s="85"/>
      <c r="E723" s="85"/>
      <c r="F723" s="85"/>
      <c r="G723" s="86"/>
      <c r="H723" s="85"/>
      <c r="I723" s="87"/>
      <c r="J723" s="87"/>
      <c r="K723" s="88"/>
      <c r="L723" s="88"/>
      <c r="M723" s="88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</row>
    <row r="724">
      <c r="A724" s="85"/>
      <c r="B724" s="85"/>
      <c r="C724" s="85"/>
      <c r="D724" s="85"/>
      <c r="E724" s="85"/>
      <c r="F724" s="85"/>
      <c r="G724" s="86"/>
      <c r="H724" s="85"/>
      <c r="I724" s="87"/>
      <c r="J724" s="87"/>
      <c r="K724" s="88"/>
      <c r="L724" s="88"/>
      <c r="M724" s="88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  <c r="AA724" s="80"/>
    </row>
    <row r="725">
      <c r="A725" s="85"/>
      <c r="B725" s="85"/>
      <c r="C725" s="85"/>
      <c r="D725" s="85"/>
      <c r="E725" s="85"/>
      <c r="F725" s="85"/>
      <c r="G725" s="86"/>
      <c r="H725" s="85"/>
      <c r="I725" s="87"/>
      <c r="J725" s="87"/>
      <c r="K725" s="88"/>
      <c r="L725" s="88"/>
      <c r="M725" s="88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  <c r="AA725" s="80"/>
    </row>
    <row r="726">
      <c r="A726" s="85"/>
      <c r="B726" s="85"/>
      <c r="C726" s="85"/>
      <c r="D726" s="85"/>
      <c r="E726" s="85"/>
      <c r="F726" s="85"/>
      <c r="G726" s="86"/>
      <c r="H726" s="85"/>
      <c r="I726" s="87"/>
      <c r="J726" s="87"/>
      <c r="K726" s="88"/>
      <c r="L726" s="88"/>
      <c r="M726" s="88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  <c r="AA726" s="80"/>
    </row>
    <row r="727">
      <c r="A727" s="85"/>
      <c r="B727" s="85"/>
      <c r="C727" s="85"/>
      <c r="D727" s="85"/>
      <c r="E727" s="85"/>
      <c r="F727" s="85"/>
      <c r="G727" s="86"/>
      <c r="H727" s="85"/>
      <c r="I727" s="87"/>
      <c r="J727" s="87"/>
      <c r="K727" s="88"/>
      <c r="L727" s="88"/>
      <c r="M727" s="88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  <c r="AA727" s="80"/>
    </row>
    <row r="728">
      <c r="A728" s="85"/>
      <c r="B728" s="85"/>
      <c r="C728" s="85"/>
      <c r="D728" s="85"/>
      <c r="E728" s="85"/>
      <c r="F728" s="85"/>
      <c r="G728" s="86"/>
      <c r="H728" s="85"/>
      <c r="I728" s="87"/>
      <c r="J728" s="87"/>
      <c r="K728" s="88"/>
      <c r="L728" s="88"/>
      <c r="M728" s="88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  <c r="AA728" s="80"/>
    </row>
    <row r="729">
      <c r="A729" s="85"/>
      <c r="B729" s="85"/>
      <c r="C729" s="85"/>
      <c r="D729" s="85"/>
      <c r="E729" s="85"/>
      <c r="F729" s="85"/>
      <c r="G729" s="86"/>
      <c r="H729" s="85"/>
      <c r="I729" s="87"/>
      <c r="J729" s="87"/>
      <c r="K729" s="88"/>
      <c r="L729" s="88"/>
      <c r="M729" s="88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  <c r="AA729" s="80"/>
    </row>
    <row r="730">
      <c r="A730" s="85"/>
      <c r="B730" s="85"/>
      <c r="C730" s="85"/>
      <c r="D730" s="85"/>
      <c r="E730" s="85"/>
      <c r="F730" s="85"/>
      <c r="G730" s="86"/>
      <c r="H730" s="85"/>
      <c r="I730" s="87"/>
      <c r="J730" s="87"/>
      <c r="K730" s="88"/>
      <c r="L730" s="88"/>
      <c r="M730" s="88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  <c r="AA730" s="80"/>
    </row>
    <row r="731">
      <c r="A731" s="85"/>
      <c r="B731" s="85"/>
      <c r="C731" s="85"/>
      <c r="D731" s="85"/>
      <c r="E731" s="85"/>
      <c r="F731" s="85"/>
      <c r="G731" s="86"/>
      <c r="H731" s="85"/>
      <c r="I731" s="87"/>
      <c r="J731" s="87"/>
      <c r="K731" s="88"/>
      <c r="L731" s="88"/>
      <c r="M731" s="88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  <c r="AA731" s="80"/>
    </row>
    <row r="732">
      <c r="A732" s="85"/>
      <c r="B732" s="85"/>
      <c r="C732" s="85"/>
      <c r="D732" s="85"/>
      <c r="E732" s="85"/>
      <c r="F732" s="85"/>
      <c r="G732" s="86"/>
      <c r="H732" s="85"/>
      <c r="I732" s="87"/>
      <c r="J732" s="87"/>
      <c r="K732" s="88"/>
      <c r="L732" s="88"/>
      <c r="M732" s="88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  <c r="AA732" s="80"/>
    </row>
    <row r="733">
      <c r="A733" s="85"/>
      <c r="B733" s="85"/>
      <c r="C733" s="85"/>
      <c r="D733" s="85"/>
      <c r="E733" s="85"/>
      <c r="F733" s="85"/>
      <c r="G733" s="86"/>
      <c r="H733" s="85"/>
      <c r="I733" s="87"/>
      <c r="J733" s="87"/>
      <c r="K733" s="88"/>
      <c r="L733" s="88"/>
      <c r="M733" s="88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  <c r="AA733" s="80"/>
    </row>
    <row r="734">
      <c r="A734" s="85"/>
      <c r="B734" s="85"/>
      <c r="C734" s="85"/>
      <c r="D734" s="85"/>
      <c r="E734" s="85"/>
      <c r="F734" s="85"/>
      <c r="G734" s="86"/>
      <c r="H734" s="85"/>
      <c r="I734" s="87"/>
      <c r="J734" s="87"/>
      <c r="K734" s="88"/>
      <c r="L734" s="88"/>
      <c r="M734" s="88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  <c r="AA734" s="80"/>
    </row>
    <row r="735">
      <c r="A735" s="85"/>
      <c r="B735" s="85"/>
      <c r="C735" s="85"/>
      <c r="D735" s="85"/>
      <c r="E735" s="85"/>
      <c r="F735" s="85"/>
      <c r="G735" s="86"/>
      <c r="H735" s="85"/>
      <c r="I735" s="87"/>
      <c r="J735" s="87"/>
      <c r="K735" s="88"/>
      <c r="L735" s="88"/>
      <c r="M735" s="88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  <c r="AA735" s="80"/>
    </row>
    <row r="736">
      <c r="A736" s="85"/>
      <c r="B736" s="85"/>
      <c r="C736" s="85"/>
      <c r="D736" s="85"/>
      <c r="E736" s="85"/>
      <c r="F736" s="85"/>
      <c r="G736" s="86"/>
      <c r="H736" s="85"/>
      <c r="I736" s="87"/>
      <c r="J736" s="87"/>
      <c r="K736" s="88"/>
      <c r="L736" s="88"/>
      <c r="M736" s="88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  <c r="AA736" s="80"/>
    </row>
    <row r="737">
      <c r="A737" s="85"/>
      <c r="B737" s="85"/>
      <c r="C737" s="85"/>
      <c r="D737" s="85"/>
      <c r="E737" s="85"/>
      <c r="F737" s="85"/>
      <c r="G737" s="86"/>
      <c r="H737" s="85"/>
      <c r="I737" s="87"/>
      <c r="J737" s="87"/>
      <c r="K737" s="88"/>
      <c r="L737" s="88"/>
      <c r="M737" s="88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  <c r="AA737" s="80"/>
    </row>
    <row r="738">
      <c r="A738" s="85"/>
      <c r="B738" s="85"/>
      <c r="C738" s="85"/>
      <c r="D738" s="85"/>
      <c r="E738" s="85"/>
      <c r="F738" s="85"/>
      <c r="G738" s="86"/>
      <c r="H738" s="85"/>
      <c r="I738" s="87"/>
      <c r="J738" s="87"/>
      <c r="K738" s="88"/>
      <c r="L738" s="88"/>
      <c r="M738" s="88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  <c r="AA738" s="80"/>
    </row>
    <row r="739">
      <c r="A739" s="85"/>
      <c r="B739" s="85"/>
      <c r="C739" s="85"/>
      <c r="D739" s="85"/>
      <c r="E739" s="85"/>
      <c r="F739" s="85"/>
      <c r="G739" s="86"/>
      <c r="H739" s="85"/>
      <c r="I739" s="87"/>
      <c r="J739" s="87"/>
      <c r="K739" s="88"/>
      <c r="L739" s="88"/>
      <c r="M739" s="88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  <c r="AA739" s="80"/>
    </row>
    <row r="740">
      <c r="A740" s="85"/>
      <c r="B740" s="85"/>
      <c r="C740" s="85"/>
      <c r="D740" s="85"/>
      <c r="E740" s="85"/>
      <c r="F740" s="85"/>
      <c r="G740" s="86"/>
      <c r="H740" s="85"/>
      <c r="I740" s="87"/>
      <c r="J740" s="87"/>
      <c r="K740" s="88"/>
      <c r="L740" s="88"/>
      <c r="M740" s="88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  <c r="AA740" s="80"/>
    </row>
    <row r="741">
      <c r="A741" s="85"/>
      <c r="B741" s="85"/>
      <c r="C741" s="85"/>
      <c r="D741" s="85"/>
      <c r="E741" s="85"/>
      <c r="F741" s="85"/>
      <c r="G741" s="86"/>
      <c r="H741" s="85"/>
      <c r="I741" s="87"/>
      <c r="J741" s="87"/>
      <c r="K741" s="88"/>
      <c r="L741" s="88"/>
      <c r="M741" s="88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  <c r="AA741" s="80"/>
    </row>
    <row r="742">
      <c r="A742" s="85"/>
      <c r="B742" s="85"/>
      <c r="C742" s="85"/>
      <c r="D742" s="85"/>
      <c r="E742" s="85"/>
      <c r="F742" s="85"/>
      <c r="G742" s="86"/>
      <c r="H742" s="85"/>
      <c r="I742" s="87"/>
      <c r="J742" s="87"/>
      <c r="K742" s="88"/>
      <c r="L742" s="88"/>
      <c r="M742" s="88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  <c r="AA742" s="80"/>
    </row>
    <row r="743">
      <c r="A743" s="85"/>
      <c r="B743" s="85"/>
      <c r="C743" s="85"/>
      <c r="D743" s="85"/>
      <c r="E743" s="85"/>
      <c r="F743" s="85"/>
      <c r="G743" s="86"/>
      <c r="H743" s="85"/>
      <c r="I743" s="87"/>
      <c r="J743" s="87"/>
      <c r="K743" s="88"/>
      <c r="L743" s="88"/>
      <c r="M743" s="88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  <c r="AA743" s="80"/>
    </row>
    <row r="744">
      <c r="A744" s="85"/>
      <c r="B744" s="85"/>
      <c r="C744" s="85"/>
      <c r="D744" s="85"/>
      <c r="E744" s="85"/>
      <c r="F744" s="85"/>
      <c r="G744" s="86"/>
      <c r="H744" s="85"/>
      <c r="I744" s="87"/>
      <c r="J744" s="87"/>
      <c r="K744" s="88"/>
      <c r="L744" s="88"/>
      <c r="M744" s="88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  <c r="AA744" s="80"/>
    </row>
    <row r="745">
      <c r="A745" s="85"/>
      <c r="B745" s="85"/>
      <c r="C745" s="85"/>
      <c r="D745" s="85"/>
      <c r="E745" s="85"/>
      <c r="F745" s="85"/>
      <c r="G745" s="86"/>
      <c r="H745" s="85"/>
      <c r="I745" s="87"/>
      <c r="J745" s="87"/>
      <c r="K745" s="88"/>
      <c r="L745" s="88"/>
      <c r="M745" s="88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  <c r="AA745" s="80"/>
    </row>
    <row r="746">
      <c r="A746" s="85"/>
      <c r="B746" s="85"/>
      <c r="C746" s="85"/>
      <c r="D746" s="85"/>
      <c r="E746" s="85"/>
      <c r="F746" s="85"/>
      <c r="G746" s="86"/>
      <c r="H746" s="85"/>
      <c r="I746" s="87"/>
      <c r="J746" s="87"/>
      <c r="K746" s="88"/>
      <c r="L746" s="88"/>
      <c r="M746" s="88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  <c r="AA746" s="80"/>
    </row>
    <row r="747">
      <c r="A747" s="85"/>
      <c r="B747" s="85"/>
      <c r="C747" s="85"/>
      <c r="D747" s="85"/>
      <c r="E747" s="85"/>
      <c r="F747" s="85"/>
      <c r="G747" s="86"/>
      <c r="H747" s="85"/>
      <c r="I747" s="87"/>
      <c r="J747" s="87"/>
      <c r="K747" s="88"/>
      <c r="L747" s="88"/>
      <c r="M747" s="88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  <c r="AA747" s="80"/>
    </row>
    <row r="748">
      <c r="A748" s="85"/>
      <c r="B748" s="85"/>
      <c r="C748" s="85"/>
      <c r="D748" s="85"/>
      <c r="E748" s="85"/>
      <c r="F748" s="85"/>
      <c r="G748" s="86"/>
      <c r="H748" s="85"/>
      <c r="I748" s="87"/>
      <c r="J748" s="87"/>
      <c r="K748" s="88"/>
      <c r="L748" s="88"/>
      <c r="M748" s="88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  <c r="AA748" s="80"/>
    </row>
    <row r="749">
      <c r="A749" s="85"/>
      <c r="B749" s="85"/>
      <c r="C749" s="85"/>
      <c r="D749" s="85"/>
      <c r="E749" s="85"/>
      <c r="F749" s="85"/>
      <c r="G749" s="86"/>
      <c r="H749" s="85"/>
      <c r="I749" s="87"/>
      <c r="J749" s="87"/>
      <c r="K749" s="88"/>
      <c r="L749" s="88"/>
      <c r="M749" s="88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  <c r="AA749" s="80"/>
    </row>
    <row r="750">
      <c r="A750" s="85"/>
      <c r="B750" s="85"/>
      <c r="C750" s="85"/>
      <c r="D750" s="85"/>
      <c r="E750" s="85"/>
      <c r="F750" s="85"/>
      <c r="G750" s="86"/>
      <c r="H750" s="85"/>
      <c r="I750" s="87"/>
      <c r="J750" s="87"/>
      <c r="K750" s="88"/>
      <c r="L750" s="88"/>
      <c r="M750" s="88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  <c r="AA750" s="80"/>
    </row>
    <row r="751">
      <c r="A751" s="85"/>
      <c r="B751" s="85"/>
      <c r="C751" s="85"/>
      <c r="D751" s="85"/>
      <c r="E751" s="85"/>
      <c r="F751" s="85"/>
      <c r="G751" s="86"/>
      <c r="H751" s="85"/>
      <c r="I751" s="87"/>
      <c r="J751" s="87"/>
      <c r="K751" s="88"/>
      <c r="L751" s="88"/>
      <c r="M751" s="88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  <c r="AA751" s="80"/>
    </row>
    <row r="752">
      <c r="A752" s="85"/>
      <c r="B752" s="85"/>
      <c r="C752" s="85"/>
      <c r="D752" s="85"/>
      <c r="E752" s="85"/>
      <c r="F752" s="85"/>
      <c r="G752" s="86"/>
      <c r="H752" s="85"/>
      <c r="I752" s="87"/>
      <c r="J752" s="87"/>
      <c r="K752" s="88"/>
      <c r="L752" s="88"/>
      <c r="M752" s="88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  <c r="AA752" s="80"/>
    </row>
    <row r="753">
      <c r="A753" s="85"/>
      <c r="B753" s="85"/>
      <c r="C753" s="85"/>
      <c r="D753" s="85"/>
      <c r="E753" s="85"/>
      <c r="F753" s="85"/>
      <c r="G753" s="86"/>
      <c r="H753" s="85"/>
      <c r="I753" s="87"/>
      <c r="J753" s="87"/>
      <c r="K753" s="88"/>
      <c r="L753" s="88"/>
      <c r="M753" s="88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  <c r="AA753" s="80"/>
    </row>
    <row r="754">
      <c r="A754" s="85"/>
      <c r="B754" s="85"/>
      <c r="C754" s="85"/>
      <c r="D754" s="85"/>
      <c r="E754" s="85"/>
      <c r="F754" s="85"/>
      <c r="G754" s="86"/>
      <c r="H754" s="85"/>
      <c r="I754" s="87"/>
      <c r="J754" s="87"/>
      <c r="K754" s="88"/>
      <c r="L754" s="88"/>
      <c r="M754" s="88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  <c r="AA754" s="80"/>
    </row>
    <row r="755">
      <c r="A755" s="85"/>
      <c r="B755" s="85"/>
      <c r="C755" s="85"/>
      <c r="D755" s="85"/>
      <c r="E755" s="85"/>
      <c r="F755" s="85"/>
      <c r="G755" s="86"/>
      <c r="H755" s="85"/>
      <c r="I755" s="87"/>
      <c r="J755" s="87"/>
      <c r="K755" s="88"/>
      <c r="L755" s="88"/>
      <c r="M755" s="88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  <c r="AA755" s="80"/>
    </row>
    <row r="756">
      <c r="A756" s="85"/>
      <c r="B756" s="85"/>
      <c r="C756" s="85"/>
      <c r="D756" s="85"/>
      <c r="E756" s="85"/>
      <c r="F756" s="85"/>
      <c r="G756" s="86"/>
      <c r="H756" s="85"/>
      <c r="I756" s="87"/>
      <c r="J756" s="87"/>
      <c r="K756" s="88"/>
      <c r="L756" s="88"/>
      <c r="M756" s="88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  <c r="AA756" s="80"/>
    </row>
    <row r="757">
      <c r="A757" s="85"/>
      <c r="B757" s="85"/>
      <c r="C757" s="85"/>
      <c r="D757" s="85"/>
      <c r="E757" s="85"/>
      <c r="F757" s="85"/>
      <c r="G757" s="86"/>
      <c r="H757" s="85"/>
      <c r="I757" s="87"/>
      <c r="J757" s="87"/>
      <c r="K757" s="88"/>
      <c r="L757" s="88"/>
      <c r="M757" s="88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  <c r="AA757" s="80"/>
    </row>
    <row r="758">
      <c r="A758" s="85"/>
      <c r="B758" s="85"/>
      <c r="C758" s="85"/>
      <c r="D758" s="85"/>
      <c r="E758" s="85"/>
      <c r="F758" s="85"/>
      <c r="G758" s="86"/>
      <c r="H758" s="85"/>
      <c r="I758" s="87"/>
      <c r="J758" s="87"/>
      <c r="K758" s="88"/>
      <c r="L758" s="88"/>
      <c r="M758" s="88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  <c r="AA758" s="80"/>
    </row>
    <row r="759">
      <c r="A759" s="85"/>
      <c r="B759" s="85"/>
      <c r="C759" s="85"/>
      <c r="D759" s="85"/>
      <c r="E759" s="85"/>
      <c r="F759" s="85"/>
      <c r="G759" s="86"/>
      <c r="H759" s="85"/>
      <c r="I759" s="87"/>
      <c r="J759" s="87"/>
      <c r="K759" s="88"/>
      <c r="L759" s="88"/>
      <c r="M759" s="88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  <c r="AA759" s="80"/>
    </row>
    <row r="760">
      <c r="A760" s="85"/>
      <c r="B760" s="85"/>
      <c r="C760" s="85"/>
      <c r="D760" s="85"/>
      <c r="E760" s="85"/>
      <c r="F760" s="85"/>
      <c r="G760" s="86"/>
      <c r="H760" s="85"/>
      <c r="I760" s="87"/>
      <c r="J760" s="87"/>
      <c r="K760" s="88"/>
      <c r="L760" s="88"/>
      <c r="M760" s="88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  <c r="AA760" s="80"/>
    </row>
    <row r="761">
      <c r="A761" s="85"/>
      <c r="B761" s="85"/>
      <c r="C761" s="85"/>
      <c r="D761" s="85"/>
      <c r="E761" s="85"/>
      <c r="F761" s="85"/>
      <c r="G761" s="86"/>
      <c r="H761" s="85"/>
      <c r="I761" s="87"/>
      <c r="J761" s="87"/>
      <c r="K761" s="88"/>
      <c r="L761" s="88"/>
      <c r="M761" s="88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  <c r="AA761" s="80"/>
    </row>
    <row r="762">
      <c r="A762" s="85"/>
      <c r="B762" s="85"/>
      <c r="C762" s="85"/>
      <c r="D762" s="85"/>
      <c r="E762" s="85"/>
      <c r="F762" s="85"/>
      <c r="G762" s="86"/>
      <c r="H762" s="85"/>
      <c r="I762" s="87"/>
      <c r="J762" s="87"/>
      <c r="K762" s="88"/>
      <c r="L762" s="88"/>
      <c r="M762" s="88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  <c r="AA762" s="80"/>
    </row>
    <row r="763">
      <c r="A763" s="85"/>
      <c r="B763" s="85"/>
      <c r="C763" s="85"/>
      <c r="D763" s="85"/>
      <c r="E763" s="85"/>
      <c r="F763" s="85"/>
      <c r="G763" s="86"/>
      <c r="H763" s="85"/>
      <c r="I763" s="87"/>
      <c r="J763" s="87"/>
      <c r="K763" s="88"/>
      <c r="L763" s="88"/>
      <c r="M763" s="88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</row>
    <row r="764">
      <c r="A764" s="85"/>
      <c r="B764" s="85"/>
      <c r="C764" s="85"/>
      <c r="D764" s="85"/>
      <c r="E764" s="85"/>
      <c r="F764" s="85"/>
      <c r="G764" s="86"/>
      <c r="H764" s="85"/>
      <c r="I764" s="87"/>
      <c r="J764" s="87"/>
      <c r="K764" s="88"/>
      <c r="L764" s="88"/>
      <c r="M764" s="88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  <c r="AA764" s="80"/>
    </row>
    <row r="765">
      <c r="A765" s="85"/>
      <c r="B765" s="85"/>
      <c r="C765" s="85"/>
      <c r="D765" s="85"/>
      <c r="E765" s="85"/>
      <c r="F765" s="85"/>
      <c r="G765" s="86"/>
      <c r="H765" s="85"/>
      <c r="I765" s="87"/>
      <c r="J765" s="87"/>
      <c r="K765" s="88"/>
      <c r="L765" s="88"/>
      <c r="M765" s="88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  <c r="AA765" s="80"/>
    </row>
    <row r="766">
      <c r="A766" s="85"/>
      <c r="B766" s="85"/>
      <c r="C766" s="85"/>
      <c r="D766" s="85"/>
      <c r="E766" s="85"/>
      <c r="F766" s="85"/>
      <c r="G766" s="86"/>
      <c r="H766" s="85"/>
      <c r="I766" s="87"/>
      <c r="J766" s="87"/>
      <c r="K766" s="88"/>
      <c r="L766" s="88"/>
      <c r="M766" s="88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  <c r="AA766" s="80"/>
    </row>
    <row r="767">
      <c r="A767" s="85"/>
      <c r="B767" s="85"/>
      <c r="C767" s="85"/>
      <c r="D767" s="85"/>
      <c r="E767" s="85"/>
      <c r="F767" s="85"/>
      <c r="G767" s="86"/>
      <c r="H767" s="85"/>
      <c r="I767" s="87"/>
      <c r="J767" s="87"/>
      <c r="K767" s="88"/>
      <c r="L767" s="88"/>
      <c r="M767" s="88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  <c r="AA767" s="80"/>
    </row>
    <row r="768">
      <c r="A768" s="85"/>
      <c r="B768" s="85"/>
      <c r="C768" s="85"/>
      <c r="D768" s="85"/>
      <c r="E768" s="85"/>
      <c r="F768" s="85"/>
      <c r="G768" s="86"/>
      <c r="H768" s="85"/>
      <c r="I768" s="87"/>
      <c r="J768" s="87"/>
      <c r="K768" s="88"/>
      <c r="L768" s="88"/>
      <c r="M768" s="88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  <c r="AA768" s="80"/>
    </row>
    <row r="769">
      <c r="A769" s="85"/>
      <c r="B769" s="85"/>
      <c r="C769" s="85"/>
      <c r="D769" s="85"/>
      <c r="E769" s="85"/>
      <c r="F769" s="85"/>
      <c r="G769" s="86"/>
      <c r="H769" s="85"/>
      <c r="I769" s="87"/>
      <c r="J769" s="87"/>
      <c r="K769" s="88"/>
      <c r="L769" s="88"/>
      <c r="M769" s="88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  <c r="AA769" s="80"/>
    </row>
    <row r="770">
      <c r="A770" s="85"/>
      <c r="B770" s="85"/>
      <c r="C770" s="85"/>
      <c r="D770" s="85"/>
      <c r="E770" s="85"/>
      <c r="F770" s="85"/>
      <c r="G770" s="86"/>
      <c r="H770" s="85"/>
      <c r="I770" s="87"/>
      <c r="J770" s="87"/>
      <c r="K770" s="88"/>
      <c r="L770" s="88"/>
      <c r="M770" s="88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  <c r="AA770" s="80"/>
    </row>
    <row r="771">
      <c r="A771" s="85"/>
      <c r="B771" s="85"/>
      <c r="C771" s="85"/>
      <c r="D771" s="85"/>
      <c r="E771" s="85"/>
      <c r="F771" s="85"/>
      <c r="G771" s="86"/>
      <c r="H771" s="85"/>
      <c r="I771" s="87"/>
      <c r="J771" s="87"/>
      <c r="K771" s="88"/>
      <c r="L771" s="88"/>
      <c r="M771" s="88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  <c r="AA771" s="80"/>
    </row>
    <row r="772">
      <c r="A772" s="85"/>
      <c r="B772" s="85"/>
      <c r="C772" s="85"/>
      <c r="D772" s="85"/>
      <c r="E772" s="85"/>
      <c r="F772" s="85"/>
      <c r="G772" s="86"/>
      <c r="H772" s="85"/>
      <c r="I772" s="87"/>
      <c r="J772" s="87"/>
      <c r="K772" s="88"/>
      <c r="L772" s="88"/>
      <c r="M772" s="88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  <c r="AA772" s="80"/>
    </row>
    <row r="773">
      <c r="A773" s="85"/>
      <c r="B773" s="85"/>
      <c r="C773" s="85"/>
      <c r="D773" s="85"/>
      <c r="E773" s="85"/>
      <c r="F773" s="85"/>
      <c r="G773" s="86"/>
      <c r="H773" s="85"/>
      <c r="I773" s="87"/>
      <c r="J773" s="87"/>
      <c r="K773" s="88"/>
      <c r="L773" s="88"/>
      <c r="M773" s="88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  <c r="AA773" s="80"/>
    </row>
    <row r="774">
      <c r="A774" s="85"/>
      <c r="B774" s="85"/>
      <c r="C774" s="85"/>
      <c r="D774" s="85"/>
      <c r="E774" s="85"/>
      <c r="F774" s="85"/>
      <c r="G774" s="86"/>
      <c r="H774" s="85"/>
      <c r="I774" s="87"/>
      <c r="J774" s="87"/>
      <c r="K774" s="88"/>
      <c r="L774" s="88"/>
      <c r="M774" s="88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  <c r="AA774" s="80"/>
    </row>
    <row r="775">
      <c r="A775" s="85"/>
      <c r="B775" s="85"/>
      <c r="C775" s="85"/>
      <c r="D775" s="85"/>
      <c r="E775" s="85"/>
      <c r="F775" s="85"/>
      <c r="G775" s="86"/>
      <c r="H775" s="85"/>
      <c r="I775" s="87"/>
      <c r="J775" s="87"/>
      <c r="K775" s="88"/>
      <c r="L775" s="88"/>
      <c r="M775" s="88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  <c r="AA775" s="80"/>
    </row>
    <row r="776">
      <c r="A776" s="85"/>
      <c r="B776" s="85"/>
      <c r="C776" s="85"/>
      <c r="D776" s="85"/>
      <c r="E776" s="85"/>
      <c r="F776" s="85"/>
      <c r="G776" s="86"/>
      <c r="H776" s="85"/>
      <c r="I776" s="87"/>
      <c r="J776" s="87"/>
      <c r="K776" s="88"/>
      <c r="L776" s="88"/>
      <c r="M776" s="88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  <c r="AA776" s="80"/>
    </row>
    <row r="777">
      <c r="A777" s="85"/>
      <c r="B777" s="85"/>
      <c r="C777" s="85"/>
      <c r="D777" s="85"/>
      <c r="E777" s="85"/>
      <c r="F777" s="85"/>
      <c r="G777" s="86"/>
      <c r="H777" s="85"/>
      <c r="I777" s="87"/>
      <c r="J777" s="87"/>
      <c r="K777" s="88"/>
      <c r="L777" s="88"/>
      <c r="M777" s="88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  <c r="AA777" s="80"/>
    </row>
    <row r="778">
      <c r="A778" s="85"/>
      <c r="B778" s="85"/>
      <c r="C778" s="85"/>
      <c r="D778" s="85"/>
      <c r="E778" s="85"/>
      <c r="F778" s="85"/>
      <c r="G778" s="86"/>
      <c r="H778" s="85"/>
      <c r="I778" s="87"/>
      <c r="J778" s="87"/>
      <c r="K778" s="88"/>
      <c r="L778" s="88"/>
      <c r="M778" s="88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  <c r="AA778" s="80"/>
    </row>
    <row r="779">
      <c r="A779" s="85"/>
      <c r="B779" s="85"/>
      <c r="C779" s="85"/>
      <c r="D779" s="85"/>
      <c r="E779" s="85"/>
      <c r="F779" s="85"/>
      <c r="G779" s="86"/>
      <c r="H779" s="85"/>
      <c r="I779" s="87"/>
      <c r="J779" s="87"/>
      <c r="K779" s="88"/>
      <c r="L779" s="88"/>
      <c r="M779" s="88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  <c r="AA779" s="80"/>
    </row>
    <row r="780">
      <c r="A780" s="85"/>
      <c r="B780" s="85"/>
      <c r="C780" s="85"/>
      <c r="D780" s="85"/>
      <c r="E780" s="85"/>
      <c r="F780" s="85"/>
      <c r="G780" s="86"/>
      <c r="H780" s="85"/>
      <c r="I780" s="87"/>
      <c r="J780" s="87"/>
      <c r="K780" s="88"/>
      <c r="L780" s="88"/>
      <c r="M780" s="88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  <c r="AA780" s="80"/>
    </row>
    <row r="781">
      <c r="A781" s="85"/>
      <c r="B781" s="85"/>
      <c r="C781" s="85"/>
      <c r="D781" s="85"/>
      <c r="E781" s="85"/>
      <c r="F781" s="85"/>
      <c r="G781" s="86"/>
      <c r="H781" s="85"/>
      <c r="I781" s="87"/>
      <c r="J781" s="87"/>
      <c r="K781" s="88"/>
      <c r="L781" s="88"/>
      <c r="M781" s="88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  <c r="AA781" s="80"/>
    </row>
    <row r="782">
      <c r="A782" s="85"/>
      <c r="B782" s="85"/>
      <c r="C782" s="85"/>
      <c r="D782" s="85"/>
      <c r="E782" s="85"/>
      <c r="F782" s="85"/>
      <c r="G782" s="86"/>
      <c r="H782" s="85"/>
      <c r="I782" s="87"/>
      <c r="J782" s="87"/>
      <c r="K782" s="88"/>
      <c r="L782" s="88"/>
      <c r="M782" s="88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  <c r="AA782" s="80"/>
    </row>
    <row r="783">
      <c r="A783" s="85"/>
      <c r="B783" s="85"/>
      <c r="C783" s="85"/>
      <c r="D783" s="85"/>
      <c r="E783" s="85"/>
      <c r="F783" s="85"/>
      <c r="G783" s="86"/>
      <c r="H783" s="85"/>
      <c r="I783" s="87"/>
      <c r="J783" s="87"/>
      <c r="K783" s="88"/>
      <c r="L783" s="88"/>
      <c r="M783" s="88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  <c r="AA783" s="80"/>
    </row>
    <row r="784">
      <c r="A784" s="85"/>
      <c r="B784" s="85"/>
      <c r="C784" s="85"/>
      <c r="D784" s="85"/>
      <c r="E784" s="85"/>
      <c r="F784" s="85"/>
      <c r="G784" s="86"/>
      <c r="H784" s="85"/>
      <c r="I784" s="87"/>
      <c r="J784" s="87"/>
      <c r="K784" s="88"/>
      <c r="L784" s="88"/>
      <c r="M784" s="88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  <c r="AA784" s="80"/>
    </row>
    <row r="785">
      <c r="A785" s="85"/>
      <c r="B785" s="85"/>
      <c r="C785" s="85"/>
      <c r="D785" s="85"/>
      <c r="E785" s="85"/>
      <c r="F785" s="85"/>
      <c r="G785" s="86"/>
      <c r="H785" s="85"/>
      <c r="I785" s="87"/>
      <c r="J785" s="87"/>
      <c r="K785" s="88"/>
      <c r="L785" s="88"/>
      <c r="M785" s="88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  <c r="AA785" s="80"/>
    </row>
    <row r="786">
      <c r="A786" s="85"/>
      <c r="B786" s="85"/>
      <c r="C786" s="85"/>
      <c r="D786" s="85"/>
      <c r="E786" s="85"/>
      <c r="F786" s="85"/>
      <c r="G786" s="86"/>
      <c r="H786" s="85"/>
      <c r="I786" s="87"/>
      <c r="J786" s="87"/>
      <c r="K786" s="88"/>
      <c r="L786" s="88"/>
      <c r="M786" s="88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  <c r="AA786" s="80"/>
    </row>
    <row r="787">
      <c r="A787" s="85"/>
      <c r="B787" s="85"/>
      <c r="C787" s="85"/>
      <c r="D787" s="85"/>
      <c r="E787" s="85"/>
      <c r="F787" s="85"/>
      <c r="G787" s="86"/>
      <c r="H787" s="85"/>
      <c r="I787" s="87"/>
      <c r="J787" s="87"/>
      <c r="K787" s="88"/>
      <c r="L787" s="88"/>
      <c r="M787" s="88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  <c r="AA787" s="80"/>
    </row>
    <row r="788">
      <c r="A788" s="85"/>
      <c r="B788" s="85"/>
      <c r="C788" s="85"/>
      <c r="D788" s="85"/>
      <c r="E788" s="85"/>
      <c r="F788" s="85"/>
      <c r="G788" s="86"/>
      <c r="H788" s="85"/>
      <c r="I788" s="87"/>
      <c r="J788" s="87"/>
      <c r="K788" s="88"/>
      <c r="L788" s="88"/>
      <c r="M788" s="88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  <c r="AA788" s="80"/>
    </row>
    <row r="789">
      <c r="A789" s="85"/>
      <c r="B789" s="85"/>
      <c r="C789" s="85"/>
      <c r="D789" s="85"/>
      <c r="E789" s="85"/>
      <c r="F789" s="85"/>
      <c r="G789" s="86"/>
      <c r="H789" s="85"/>
      <c r="I789" s="87"/>
      <c r="J789" s="87"/>
      <c r="K789" s="88"/>
      <c r="L789" s="88"/>
      <c r="M789" s="88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  <c r="AA789" s="80"/>
    </row>
    <row r="790">
      <c r="A790" s="85"/>
      <c r="B790" s="85"/>
      <c r="C790" s="85"/>
      <c r="D790" s="85"/>
      <c r="E790" s="85"/>
      <c r="F790" s="85"/>
      <c r="G790" s="86"/>
      <c r="H790" s="85"/>
      <c r="I790" s="87"/>
      <c r="J790" s="87"/>
      <c r="K790" s="88"/>
      <c r="L790" s="88"/>
      <c r="M790" s="88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  <c r="AA790" s="80"/>
    </row>
    <row r="791">
      <c r="A791" s="85"/>
      <c r="B791" s="85"/>
      <c r="C791" s="85"/>
      <c r="D791" s="85"/>
      <c r="E791" s="85"/>
      <c r="F791" s="85"/>
      <c r="G791" s="86"/>
      <c r="H791" s="85"/>
      <c r="I791" s="87"/>
      <c r="J791" s="87"/>
      <c r="K791" s="88"/>
      <c r="L791" s="88"/>
      <c r="M791" s="88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  <c r="AA791" s="80"/>
    </row>
    <row r="792">
      <c r="A792" s="85"/>
      <c r="B792" s="85"/>
      <c r="C792" s="85"/>
      <c r="D792" s="85"/>
      <c r="E792" s="85"/>
      <c r="F792" s="85"/>
      <c r="G792" s="86"/>
      <c r="H792" s="85"/>
      <c r="I792" s="87"/>
      <c r="J792" s="87"/>
      <c r="K792" s="88"/>
      <c r="L792" s="88"/>
      <c r="M792" s="88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  <c r="AA792" s="80"/>
    </row>
    <row r="793">
      <c r="A793" s="85"/>
      <c r="B793" s="85"/>
      <c r="C793" s="85"/>
      <c r="D793" s="85"/>
      <c r="E793" s="85"/>
      <c r="F793" s="85"/>
      <c r="G793" s="86"/>
      <c r="H793" s="85"/>
      <c r="I793" s="87"/>
      <c r="J793" s="87"/>
      <c r="K793" s="88"/>
      <c r="L793" s="88"/>
      <c r="M793" s="88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  <c r="AA793" s="80"/>
    </row>
    <row r="794">
      <c r="A794" s="85"/>
      <c r="B794" s="85"/>
      <c r="C794" s="85"/>
      <c r="D794" s="85"/>
      <c r="E794" s="85"/>
      <c r="F794" s="85"/>
      <c r="G794" s="86"/>
      <c r="H794" s="85"/>
      <c r="I794" s="87"/>
      <c r="J794" s="87"/>
      <c r="K794" s="88"/>
      <c r="L794" s="88"/>
      <c r="M794" s="88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  <c r="AA794" s="80"/>
    </row>
    <row r="795">
      <c r="A795" s="85"/>
      <c r="B795" s="85"/>
      <c r="C795" s="85"/>
      <c r="D795" s="85"/>
      <c r="E795" s="85"/>
      <c r="F795" s="85"/>
      <c r="G795" s="86"/>
      <c r="H795" s="85"/>
      <c r="I795" s="87"/>
      <c r="J795" s="87"/>
      <c r="K795" s="88"/>
      <c r="L795" s="88"/>
      <c r="M795" s="88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  <c r="AA795" s="80"/>
    </row>
    <row r="796">
      <c r="A796" s="85"/>
      <c r="B796" s="85"/>
      <c r="C796" s="85"/>
      <c r="D796" s="85"/>
      <c r="E796" s="85"/>
      <c r="F796" s="85"/>
      <c r="G796" s="86"/>
      <c r="H796" s="85"/>
      <c r="I796" s="87"/>
      <c r="J796" s="87"/>
      <c r="K796" s="88"/>
      <c r="L796" s="88"/>
      <c r="M796" s="88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  <c r="AA796" s="80"/>
    </row>
    <row r="797">
      <c r="A797" s="85"/>
      <c r="B797" s="85"/>
      <c r="C797" s="85"/>
      <c r="D797" s="85"/>
      <c r="E797" s="85"/>
      <c r="F797" s="85"/>
      <c r="G797" s="86"/>
      <c r="H797" s="85"/>
      <c r="I797" s="87"/>
      <c r="J797" s="87"/>
      <c r="K797" s="88"/>
      <c r="L797" s="88"/>
      <c r="M797" s="88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  <c r="AA797" s="80"/>
    </row>
    <row r="798">
      <c r="A798" s="85"/>
      <c r="B798" s="85"/>
      <c r="C798" s="85"/>
      <c r="D798" s="85"/>
      <c r="E798" s="85"/>
      <c r="F798" s="85"/>
      <c r="G798" s="86"/>
      <c r="H798" s="85"/>
      <c r="I798" s="87"/>
      <c r="J798" s="87"/>
      <c r="K798" s="88"/>
      <c r="L798" s="88"/>
      <c r="M798" s="88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  <c r="AA798" s="80"/>
    </row>
    <row r="799">
      <c r="A799" s="85"/>
      <c r="B799" s="85"/>
      <c r="C799" s="85"/>
      <c r="D799" s="85"/>
      <c r="E799" s="85"/>
      <c r="F799" s="85"/>
      <c r="G799" s="86"/>
      <c r="H799" s="85"/>
      <c r="I799" s="87"/>
      <c r="J799" s="87"/>
      <c r="K799" s="88"/>
      <c r="L799" s="88"/>
      <c r="M799" s="88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  <c r="AA799" s="80"/>
    </row>
    <row r="800">
      <c r="A800" s="85"/>
      <c r="B800" s="85"/>
      <c r="C800" s="85"/>
      <c r="D800" s="85"/>
      <c r="E800" s="85"/>
      <c r="F800" s="85"/>
      <c r="G800" s="86"/>
      <c r="H800" s="85"/>
      <c r="I800" s="87"/>
      <c r="J800" s="87"/>
      <c r="K800" s="88"/>
      <c r="L800" s="88"/>
      <c r="M800" s="88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  <c r="AA800" s="80"/>
    </row>
    <row r="801">
      <c r="A801" s="85"/>
      <c r="B801" s="85"/>
      <c r="C801" s="85"/>
      <c r="D801" s="85"/>
      <c r="E801" s="85"/>
      <c r="F801" s="85"/>
      <c r="G801" s="86"/>
      <c r="H801" s="85"/>
      <c r="I801" s="87"/>
      <c r="J801" s="87"/>
      <c r="K801" s="88"/>
      <c r="L801" s="88"/>
      <c r="M801" s="88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  <c r="AA801" s="80"/>
    </row>
    <row r="802">
      <c r="A802" s="85"/>
      <c r="B802" s="85"/>
      <c r="C802" s="85"/>
      <c r="D802" s="85"/>
      <c r="E802" s="85"/>
      <c r="F802" s="85"/>
      <c r="G802" s="86"/>
      <c r="H802" s="85"/>
      <c r="I802" s="87"/>
      <c r="J802" s="87"/>
      <c r="K802" s="88"/>
      <c r="L802" s="88"/>
      <c r="M802" s="88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  <c r="AA802" s="80"/>
    </row>
    <row r="803">
      <c r="A803" s="85"/>
      <c r="B803" s="85"/>
      <c r="C803" s="85"/>
      <c r="D803" s="85"/>
      <c r="E803" s="85"/>
      <c r="F803" s="85"/>
      <c r="G803" s="86"/>
      <c r="H803" s="85"/>
      <c r="I803" s="87"/>
      <c r="J803" s="87"/>
      <c r="K803" s="88"/>
      <c r="L803" s="88"/>
      <c r="M803" s="88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</row>
    <row r="804">
      <c r="A804" s="85"/>
      <c r="B804" s="85"/>
      <c r="C804" s="85"/>
      <c r="D804" s="85"/>
      <c r="E804" s="85"/>
      <c r="F804" s="85"/>
      <c r="G804" s="86"/>
      <c r="H804" s="85"/>
      <c r="I804" s="87"/>
      <c r="J804" s="87"/>
      <c r="K804" s="88"/>
      <c r="L804" s="88"/>
      <c r="M804" s="88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  <c r="AA804" s="80"/>
    </row>
    <row r="805">
      <c r="A805" s="85"/>
      <c r="B805" s="85"/>
      <c r="C805" s="85"/>
      <c r="D805" s="85"/>
      <c r="E805" s="85"/>
      <c r="F805" s="85"/>
      <c r="G805" s="86"/>
      <c r="H805" s="85"/>
      <c r="I805" s="87"/>
      <c r="J805" s="87"/>
      <c r="K805" s="88"/>
      <c r="L805" s="88"/>
      <c r="M805" s="88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  <c r="AA805" s="80"/>
    </row>
    <row r="806">
      <c r="A806" s="85"/>
      <c r="B806" s="85"/>
      <c r="C806" s="85"/>
      <c r="D806" s="85"/>
      <c r="E806" s="85"/>
      <c r="F806" s="85"/>
      <c r="G806" s="86"/>
      <c r="H806" s="85"/>
      <c r="I806" s="87"/>
      <c r="J806" s="87"/>
      <c r="K806" s="88"/>
      <c r="L806" s="88"/>
      <c r="M806" s="88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  <c r="AA806" s="80"/>
    </row>
    <row r="807">
      <c r="A807" s="85"/>
      <c r="B807" s="85"/>
      <c r="C807" s="85"/>
      <c r="D807" s="85"/>
      <c r="E807" s="85"/>
      <c r="F807" s="85"/>
      <c r="G807" s="86"/>
      <c r="H807" s="85"/>
      <c r="I807" s="87"/>
      <c r="J807" s="87"/>
      <c r="K807" s="88"/>
      <c r="L807" s="88"/>
      <c r="M807" s="88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  <c r="AA807" s="80"/>
    </row>
    <row r="808">
      <c r="A808" s="85"/>
      <c r="B808" s="85"/>
      <c r="C808" s="85"/>
      <c r="D808" s="85"/>
      <c r="E808" s="85"/>
      <c r="F808" s="85"/>
      <c r="G808" s="86"/>
      <c r="H808" s="85"/>
      <c r="I808" s="87"/>
      <c r="J808" s="87"/>
      <c r="K808" s="88"/>
      <c r="L808" s="88"/>
      <c r="M808" s="88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  <c r="AA808" s="80"/>
    </row>
    <row r="809">
      <c r="A809" s="85"/>
      <c r="B809" s="85"/>
      <c r="C809" s="85"/>
      <c r="D809" s="85"/>
      <c r="E809" s="85"/>
      <c r="F809" s="85"/>
      <c r="G809" s="86"/>
      <c r="H809" s="85"/>
      <c r="I809" s="87"/>
      <c r="J809" s="87"/>
      <c r="K809" s="88"/>
      <c r="L809" s="88"/>
      <c r="M809" s="88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  <c r="AA809" s="80"/>
    </row>
    <row r="810">
      <c r="A810" s="85"/>
      <c r="B810" s="85"/>
      <c r="C810" s="85"/>
      <c r="D810" s="85"/>
      <c r="E810" s="85"/>
      <c r="F810" s="85"/>
      <c r="G810" s="86"/>
      <c r="H810" s="85"/>
      <c r="I810" s="87"/>
      <c r="J810" s="87"/>
      <c r="K810" s="88"/>
      <c r="L810" s="88"/>
      <c r="M810" s="88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  <c r="AA810" s="80"/>
    </row>
    <row r="811">
      <c r="A811" s="85"/>
      <c r="B811" s="85"/>
      <c r="C811" s="85"/>
      <c r="D811" s="85"/>
      <c r="E811" s="85"/>
      <c r="F811" s="85"/>
      <c r="G811" s="86"/>
      <c r="H811" s="85"/>
      <c r="I811" s="87"/>
      <c r="J811" s="87"/>
      <c r="K811" s="88"/>
      <c r="L811" s="88"/>
      <c r="M811" s="88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  <c r="AA811" s="80"/>
    </row>
    <row r="812">
      <c r="A812" s="85"/>
      <c r="B812" s="85"/>
      <c r="C812" s="85"/>
      <c r="D812" s="85"/>
      <c r="E812" s="85"/>
      <c r="F812" s="85"/>
      <c r="G812" s="86"/>
      <c r="H812" s="85"/>
      <c r="I812" s="87"/>
      <c r="J812" s="87"/>
      <c r="K812" s="88"/>
      <c r="L812" s="88"/>
      <c r="M812" s="88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  <c r="AA812" s="80"/>
    </row>
    <row r="813">
      <c r="A813" s="85"/>
      <c r="B813" s="85"/>
      <c r="C813" s="85"/>
      <c r="D813" s="85"/>
      <c r="E813" s="85"/>
      <c r="F813" s="85"/>
      <c r="G813" s="86"/>
      <c r="H813" s="85"/>
      <c r="I813" s="87"/>
      <c r="J813" s="87"/>
      <c r="K813" s="88"/>
      <c r="L813" s="88"/>
      <c r="M813" s="88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  <c r="AA813" s="80"/>
    </row>
    <row r="814">
      <c r="A814" s="85"/>
      <c r="B814" s="85"/>
      <c r="C814" s="85"/>
      <c r="D814" s="85"/>
      <c r="E814" s="85"/>
      <c r="F814" s="85"/>
      <c r="G814" s="86"/>
      <c r="H814" s="85"/>
      <c r="I814" s="87"/>
      <c r="J814" s="87"/>
      <c r="K814" s="88"/>
      <c r="L814" s="88"/>
      <c r="M814" s="88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  <c r="AA814" s="80"/>
    </row>
    <row r="815">
      <c r="A815" s="85"/>
      <c r="B815" s="85"/>
      <c r="C815" s="85"/>
      <c r="D815" s="85"/>
      <c r="E815" s="85"/>
      <c r="F815" s="85"/>
      <c r="G815" s="86"/>
      <c r="H815" s="85"/>
      <c r="I815" s="87"/>
      <c r="J815" s="87"/>
      <c r="K815" s="88"/>
      <c r="L815" s="88"/>
      <c r="M815" s="88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  <c r="AA815" s="80"/>
    </row>
    <row r="816">
      <c r="A816" s="85"/>
      <c r="B816" s="85"/>
      <c r="C816" s="85"/>
      <c r="D816" s="85"/>
      <c r="E816" s="85"/>
      <c r="F816" s="85"/>
      <c r="G816" s="86"/>
      <c r="H816" s="85"/>
      <c r="I816" s="87"/>
      <c r="J816" s="87"/>
      <c r="K816" s="88"/>
      <c r="L816" s="88"/>
      <c r="M816" s="88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  <c r="AA816" s="80"/>
    </row>
    <row r="817">
      <c r="A817" s="85"/>
      <c r="B817" s="85"/>
      <c r="C817" s="85"/>
      <c r="D817" s="85"/>
      <c r="E817" s="85"/>
      <c r="F817" s="85"/>
      <c r="G817" s="86"/>
      <c r="H817" s="85"/>
      <c r="I817" s="87"/>
      <c r="J817" s="87"/>
      <c r="K817" s="88"/>
      <c r="L817" s="88"/>
      <c r="M817" s="88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  <c r="AA817" s="80"/>
    </row>
    <row r="818">
      <c r="A818" s="85"/>
      <c r="B818" s="85"/>
      <c r="C818" s="85"/>
      <c r="D818" s="85"/>
      <c r="E818" s="85"/>
      <c r="F818" s="85"/>
      <c r="G818" s="86"/>
      <c r="H818" s="85"/>
      <c r="I818" s="87"/>
      <c r="J818" s="87"/>
      <c r="K818" s="88"/>
      <c r="L818" s="88"/>
      <c r="M818" s="88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  <c r="AA818" s="80"/>
    </row>
    <row r="819">
      <c r="A819" s="85"/>
      <c r="B819" s="85"/>
      <c r="C819" s="85"/>
      <c r="D819" s="85"/>
      <c r="E819" s="85"/>
      <c r="F819" s="85"/>
      <c r="G819" s="86"/>
      <c r="H819" s="85"/>
      <c r="I819" s="87"/>
      <c r="J819" s="87"/>
      <c r="K819" s="88"/>
      <c r="L819" s="88"/>
      <c r="M819" s="88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  <c r="AA819" s="80"/>
    </row>
    <row r="820">
      <c r="A820" s="80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  <c r="AA820" s="80"/>
    </row>
    <row r="821">
      <c r="A821" s="80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  <c r="AA821" s="80"/>
    </row>
    <row r="822">
      <c r="A822" s="80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  <c r="AA822" s="80"/>
    </row>
    <row r="823">
      <c r="A823" s="80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  <c r="AA823" s="80"/>
    </row>
    <row r="824">
      <c r="A824" s="80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  <c r="AA824" s="80"/>
    </row>
    <row r="825">
      <c r="A825" s="80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  <c r="AA825" s="80"/>
    </row>
    <row r="826">
      <c r="A826" s="80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  <c r="AA826" s="80"/>
    </row>
    <row r="827">
      <c r="A827" s="80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  <c r="AA827" s="80"/>
    </row>
    <row r="828">
      <c r="A828" s="80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  <c r="AA828" s="80"/>
    </row>
    <row r="829">
      <c r="A829" s="80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  <c r="AA829" s="80"/>
    </row>
    <row r="830">
      <c r="A830" s="80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  <c r="AA830" s="80"/>
    </row>
    <row r="831">
      <c r="A831" s="80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  <c r="AA831" s="80"/>
    </row>
    <row r="832">
      <c r="A832" s="80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  <c r="AA832" s="80"/>
    </row>
    <row r="833">
      <c r="A833" s="80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  <c r="AA833" s="80"/>
    </row>
    <row r="834">
      <c r="A834" s="80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  <c r="AA834" s="80"/>
    </row>
    <row r="835">
      <c r="A835" s="80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  <c r="AA835" s="80"/>
    </row>
    <row r="836">
      <c r="A836" s="80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  <c r="AA836" s="80"/>
    </row>
    <row r="837">
      <c r="A837" s="80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  <c r="AA837" s="80"/>
    </row>
    <row r="838">
      <c r="A838" s="80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  <c r="AA838" s="80"/>
    </row>
    <row r="839">
      <c r="A839" s="80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  <c r="AA839" s="80"/>
    </row>
    <row r="840">
      <c r="A840" s="80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  <c r="AA840" s="80"/>
    </row>
    <row r="841">
      <c r="A841" s="80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  <c r="AA841" s="80"/>
    </row>
    <row r="842">
      <c r="A842" s="80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  <c r="AA842" s="80"/>
    </row>
    <row r="843">
      <c r="A843" s="80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</row>
    <row r="844">
      <c r="A844" s="80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  <c r="AA844" s="80"/>
    </row>
    <row r="845">
      <c r="A845" s="80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  <c r="AA845" s="80"/>
    </row>
    <row r="846">
      <c r="A846" s="80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  <c r="AA846" s="80"/>
    </row>
    <row r="847">
      <c r="A847" s="80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  <c r="AA847" s="80"/>
    </row>
    <row r="848">
      <c r="A848" s="80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  <c r="AA848" s="80"/>
    </row>
    <row r="849">
      <c r="A849" s="80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  <c r="AA849" s="80"/>
    </row>
    <row r="850">
      <c r="A850" s="80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  <c r="AA850" s="80"/>
    </row>
    <row r="851">
      <c r="A851" s="80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  <c r="AA851" s="80"/>
    </row>
    <row r="852">
      <c r="A852" s="80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  <c r="AA852" s="80"/>
    </row>
    <row r="853">
      <c r="A853" s="80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  <c r="AA853" s="80"/>
    </row>
    <row r="854">
      <c r="A854" s="80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  <c r="AA854" s="80"/>
    </row>
    <row r="855">
      <c r="A855" s="80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  <c r="AA855" s="80"/>
    </row>
    <row r="856">
      <c r="A856" s="80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  <c r="AA856" s="80"/>
    </row>
    <row r="857">
      <c r="A857" s="80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  <c r="AA857" s="80"/>
    </row>
    <row r="858">
      <c r="A858" s="80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  <c r="AA858" s="80"/>
    </row>
    <row r="859">
      <c r="A859" s="80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  <c r="AA859" s="80"/>
    </row>
    <row r="860">
      <c r="A860" s="80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  <c r="AA860" s="80"/>
    </row>
    <row r="861">
      <c r="A861" s="80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  <c r="AA861" s="80"/>
    </row>
    <row r="862">
      <c r="A862" s="80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  <c r="AA862" s="80"/>
    </row>
    <row r="863">
      <c r="A863" s="80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  <c r="AA863" s="80"/>
    </row>
    <row r="864">
      <c r="A864" s="80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  <c r="AA864" s="80"/>
    </row>
    <row r="865">
      <c r="A865" s="80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  <c r="AA865" s="80"/>
    </row>
    <row r="866">
      <c r="A866" s="80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  <c r="AA866" s="80"/>
    </row>
    <row r="867">
      <c r="A867" s="80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  <c r="AA867" s="80"/>
    </row>
    <row r="868">
      <c r="A868" s="80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  <c r="AA868" s="80"/>
    </row>
    <row r="869">
      <c r="A869" s="80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  <c r="AA869" s="80"/>
    </row>
    <row r="870">
      <c r="A870" s="80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  <c r="AA870" s="80"/>
    </row>
    <row r="871">
      <c r="A871" s="80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  <c r="AA871" s="80"/>
    </row>
    <row r="872">
      <c r="A872" s="80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  <c r="AA872" s="80"/>
    </row>
    <row r="873">
      <c r="A873" s="80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  <c r="AA873" s="80"/>
    </row>
    <row r="874">
      <c r="A874" s="80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  <c r="AA874" s="80"/>
    </row>
    <row r="875">
      <c r="A875" s="80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  <c r="AA875" s="80"/>
    </row>
    <row r="876">
      <c r="A876" s="80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  <c r="AA876" s="80"/>
    </row>
    <row r="877">
      <c r="A877" s="80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  <c r="AA877" s="80"/>
    </row>
    <row r="878">
      <c r="A878" s="80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  <c r="AA878" s="80"/>
    </row>
    <row r="879">
      <c r="A879" s="80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  <c r="AA879" s="80"/>
    </row>
    <row r="880">
      <c r="A880" s="80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  <c r="AA880" s="80"/>
    </row>
    <row r="881">
      <c r="A881" s="80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  <c r="AA881" s="80"/>
    </row>
    <row r="882">
      <c r="A882" s="80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  <c r="AA882" s="80"/>
    </row>
    <row r="883">
      <c r="A883" s="80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</row>
    <row r="884">
      <c r="A884" s="80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  <c r="AA884" s="80"/>
    </row>
    <row r="885">
      <c r="A885" s="80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  <c r="AA885" s="80"/>
    </row>
    <row r="886">
      <c r="A886" s="80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  <c r="AA886" s="80"/>
    </row>
    <row r="887">
      <c r="A887" s="80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  <c r="AA887" s="80"/>
    </row>
    <row r="888">
      <c r="A888" s="80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  <c r="AA888" s="80"/>
    </row>
    <row r="889">
      <c r="A889" s="80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  <c r="AA889" s="80"/>
    </row>
    <row r="890">
      <c r="A890" s="80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  <c r="AA890" s="80"/>
    </row>
    <row r="891">
      <c r="A891" s="80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  <c r="AA891" s="80"/>
    </row>
    <row r="892">
      <c r="A892" s="80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  <c r="AA892" s="80"/>
    </row>
    <row r="893">
      <c r="A893" s="80"/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  <c r="AA893" s="80"/>
    </row>
    <row r="894">
      <c r="A894" s="80"/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  <c r="AA894" s="80"/>
    </row>
    <row r="895">
      <c r="A895" s="80"/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  <c r="AA895" s="80"/>
    </row>
    <row r="896">
      <c r="A896" s="80"/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  <c r="AA896" s="80"/>
    </row>
    <row r="897">
      <c r="A897" s="80"/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  <c r="AA897" s="80"/>
    </row>
    <row r="898">
      <c r="A898" s="80"/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  <c r="AA898" s="80"/>
    </row>
    <row r="899">
      <c r="A899" s="80"/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  <c r="AA899" s="80"/>
    </row>
    <row r="900">
      <c r="A900" s="80"/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  <c r="AA900" s="80"/>
    </row>
    <row r="901">
      <c r="A901" s="80"/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  <c r="AA901" s="80"/>
    </row>
    <row r="902">
      <c r="A902" s="80"/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  <c r="AA902" s="80"/>
    </row>
    <row r="903">
      <c r="A903" s="80"/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  <c r="AA903" s="80"/>
    </row>
    <row r="904">
      <c r="A904" s="80"/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  <c r="AA904" s="80"/>
    </row>
    <row r="905">
      <c r="A905" s="80"/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  <c r="AA905" s="80"/>
    </row>
    <row r="906">
      <c r="A906" s="80"/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  <c r="AA906" s="80"/>
    </row>
    <row r="907">
      <c r="A907" s="80"/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  <c r="AA907" s="80"/>
    </row>
    <row r="908">
      <c r="A908" s="80"/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  <c r="AA908" s="80"/>
    </row>
    <row r="909">
      <c r="A909" s="80"/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  <c r="AA909" s="80"/>
    </row>
    <row r="910">
      <c r="A910" s="80"/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  <c r="AA910" s="80"/>
    </row>
    <row r="911">
      <c r="A911" s="80"/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  <c r="AA911" s="80"/>
    </row>
    <row r="912">
      <c r="A912" s="80"/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  <c r="AA912" s="80"/>
    </row>
    <row r="913">
      <c r="A913" s="80"/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  <c r="AA913" s="80"/>
    </row>
    <row r="914">
      <c r="A914" s="80"/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  <c r="AA914" s="80"/>
    </row>
    <row r="915">
      <c r="A915" s="80"/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  <c r="AA915" s="80"/>
    </row>
    <row r="916">
      <c r="A916" s="80"/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  <c r="AA916" s="80"/>
    </row>
    <row r="917">
      <c r="A917" s="80"/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  <c r="AA917" s="80"/>
    </row>
    <row r="918">
      <c r="A918" s="80"/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  <c r="AA918" s="80"/>
    </row>
    <row r="919">
      <c r="A919" s="80"/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  <c r="AA919" s="80"/>
    </row>
    <row r="920">
      <c r="A920" s="80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  <c r="AA920" s="80"/>
    </row>
    <row r="921">
      <c r="A921" s="80"/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  <c r="AA921" s="80"/>
    </row>
    <row r="922">
      <c r="A922" s="80"/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  <c r="AA922" s="80"/>
    </row>
    <row r="923">
      <c r="A923" s="80"/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</row>
    <row r="924">
      <c r="A924" s="80"/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  <c r="AA924" s="80"/>
    </row>
    <row r="925">
      <c r="A925" s="80"/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  <c r="AA925" s="80"/>
    </row>
    <row r="926">
      <c r="A926" s="80"/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  <c r="AA926" s="80"/>
    </row>
    <row r="927">
      <c r="A927" s="80"/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  <c r="AA927" s="80"/>
    </row>
    <row r="928">
      <c r="A928" s="80"/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  <c r="AA928" s="80"/>
    </row>
    <row r="929">
      <c r="A929" s="80"/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  <c r="AA929" s="80"/>
    </row>
    <row r="930">
      <c r="A930" s="80"/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  <c r="AA930" s="80"/>
    </row>
    <row r="931">
      <c r="A931" s="80"/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  <c r="AA931" s="80"/>
    </row>
    <row r="932">
      <c r="A932" s="80"/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  <c r="AA932" s="80"/>
    </row>
    <row r="933">
      <c r="A933" s="80"/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  <c r="AA933" s="80"/>
    </row>
    <row r="934">
      <c r="A934" s="80"/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  <c r="AA934" s="80"/>
    </row>
    <row r="935">
      <c r="A935" s="80"/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  <c r="AA935" s="80"/>
    </row>
    <row r="936">
      <c r="A936" s="80"/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  <c r="AA936" s="80"/>
    </row>
    <row r="937">
      <c r="A937" s="80"/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  <c r="AA937" s="80"/>
    </row>
    <row r="938">
      <c r="A938" s="80"/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  <c r="AA938" s="80"/>
    </row>
    <row r="939">
      <c r="A939" s="80"/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  <c r="AA939" s="80"/>
    </row>
    <row r="940">
      <c r="A940" s="80"/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  <c r="AA940" s="80"/>
    </row>
    <row r="941">
      <c r="A941" s="80"/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  <c r="AA941" s="80"/>
    </row>
    <row r="942">
      <c r="A942" s="80"/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  <c r="AA942" s="80"/>
    </row>
    <row r="943">
      <c r="A943" s="80"/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  <c r="AA943" s="80"/>
    </row>
    <row r="944">
      <c r="A944" s="80"/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  <c r="AA944" s="80"/>
    </row>
    <row r="945">
      <c r="A945" s="80"/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  <c r="AA945" s="80"/>
    </row>
    <row r="946">
      <c r="A946" s="80"/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  <c r="AA946" s="80"/>
    </row>
    <row r="947">
      <c r="A947" s="80"/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  <c r="AA947" s="80"/>
    </row>
    <row r="948">
      <c r="A948" s="80"/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  <c r="AA948" s="80"/>
    </row>
    <row r="949">
      <c r="A949" s="80"/>
      <c r="B949" s="80"/>
      <c r="C949" s="80"/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  <c r="AA949" s="80"/>
    </row>
    <row r="950">
      <c r="A950" s="80"/>
      <c r="B950" s="80"/>
      <c r="C950" s="80"/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  <c r="AA950" s="80"/>
    </row>
    <row r="951">
      <c r="A951" s="80"/>
      <c r="B951" s="80"/>
      <c r="C951" s="80"/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  <c r="AA951" s="80"/>
    </row>
    <row r="952">
      <c r="A952" s="80"/>
      <c r="B952" s="80"/>
      <c r="C952" s="80"/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  <c r="AA952" s="80"/>
    </row>
    <row r="953">
      <c r="A953" s="80"/>
      <c r="B953" s="80"/>
      <c r="C953" s="80"/>
      <c r="D953" s="80"/>
      <c r="E953" s="80"/>
      <c r="F953" s="80"/>
      <c r="G953" s="80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  <c r="AA953" s="80"/>
    </row>
    <row r="954">
      <c r="A954" s="80"/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  <c r="AA954" s="80"/>
    </row>
    <row r="955">
      <c r="A955" s="80"/>
      <c r="B955" s="80"/>
      <c r="C955" s="80"/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  <c r="AA955" s="80"/>
    </row>
    <row r="956">
      <c r="A956" s="80"/>
      <c r="B956" s="80"/>
      <c r="C956" s="80"/>
      <c r="D956" s="80"/>
      <c r="E956" s="80"/>
      <c r="F956" s="80"/>
      <c r="G956" s="80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  <c r="AA956" s="80"/>
    </row>
    <row r="957">
      <c r="A957" s="80"/>
      <c r="B957" s="80"/>
      <c r="C957" s="80"/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  <c r="AA957" s="80"/>
    </row>
    <row r="958">
      <c r="A958" s="80"/>
      <c r="B958" s="80"/>
      <c r="C958" s="80"/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  <c r="AA958" s="80"/>
    </row>
    <row r="959">
      <c r="A959" s="80"/>
      <c r="B959" s="80"/>
      <c r="C959" s="80"/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  <c r="AA959" s="80"/>
    </row>
    <row r="960">
      <c r="A960" s="80"/>
      <c r="B960" s="80"/>
      <c r="C960" s="80"/>
      <c r="D960" s="80"/>
      <c r="E960" s="80"/>
      <c r="F960" s="80"/>
      <c r="G960" s="80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  <c r="AA960" s="80"/>
    </row>
    <row r="961">
      <c r="A961" s="80"/>
      <c r="B961" s="80"/>
      <c r="C961" s="80"/>
      <c r="D961" s="80"/>
      <c r="E961" s="80"/>
      <c r="F961" s="80"/>
      <c r="G961" s="80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  <c r="AA961" s="80"/>
    </row>
    <row r="962">
      <c r="A962" s="80"/>
      <c r="B962" s="80"/>
      <c r="C962" s="80"/>
      <c r="D962" s="80"/>
      <c r="E962" s="80"/>
      <c r="F962" s="80"/>
      <c r="G962" s="80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  <c r="AA962" s="80"/>
    </row>
    <row r="963">
      <c r="A963" s="80"/>
      <c r="B963" s="80"/>
      <c r="C963" s="80"/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</row>
    <row r="964">
      <c r="A964" s="80"/>
      <c r="B964" s="80"/>
      <c r="C964" s="80"/>
      <c r="D964" s="80"/>
      <c r="E964" s="80"/>
      <c r="F964" s="80"/>
      <c r="G964" s="80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  <c r="AA964" s="80"/>
    </row>
    <row r="965">
      <c r="A965" s="80"/>
      <c r="B965" s="80"/>
      <c r="C965" s="80"/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  <c r="AA965" s="80"/>
    </row>
    <row r="966">
      <c r="A966" s="80"/>
      <c r="B966" s="80"/>
      <c r="C966" s="80"/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  <c r="AA966" s="80"/>
    </row>
    <row r="967">
      <c r="A967" s="80"/>
      <c r="B967" s="80"/>
      <c r="C967" s="80"/>
      <c r="D967" s="80"/>
      <c r="E967" s="80"/>
      <c r="F967" s="80"/>
      <c r="G967" s="80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  <c r="AA967" s="80"/>
    </row>
    <row r="968">
      <c r="A968" s="80"/>
      <c r="B968" s="80"/>
      <c r="C968" s="80"/>
      <c r="D968" s="80"/>
      <c r="E968" s="80"/>
      <c r="F968" s="80"/>
      <c r="G968" s="80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  <c r="AA968" s="80"/>
    </row>
    <row r="969">
      <c r="A969" s="80"/>
      <c r="B969" s="80"/>
      <c r="C969" s="80"/>
      <c r="D969" s="80"/>
      <c r="E969" s="80"/>
      <c r="F969" s="80"/>
      <c r="G969" s="80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  <c r="AA969" s="80"/>
    </row>
    <row r="970">
      <c r="A970" s="80"/>
      <c r="B970" s="80"/>
      <c r="C970" s="80"/>
      <c r="D970" s="80"/>
      <c r="E970" s="80"/>
      <c r="F970" s="80"/>
      <c r="G970" s="80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  <c r="AA970" s="80"/>
    </row>
    <row r="971">
      <c r="A971" s="80"/>
      <c r="B971" s="80"/>
      <c r="C971" s="80"/>
      <c r="D971" s="80"/>
      <c r="E971" s="80"/>
      <c r="F971" s="80"/>
      <c r="G971" s="80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  <c r="AA971" s="80"/>
    </row>
    <row r="972">
      <c r="A972" s="80"/>
      <c r="B972" s="80"/>
      <c r="C972" s="80"/>
      <c r="D972" s="80"/>
      <c r="E972" s="80"/>
      <c r="F972" s="80"/>
      <c r="G972" s="80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  <c r="AA972" s="80"/>
    </row>
    <row r="973">
      <c r="A973" s="80"/>
      <c r="B973" s="80"/>
      <c r="C973" s="80"/>
      <c r="D973" s="80"/>
      <c r="E973" s="80"/>
      <c r="F973" s="80"/>
      <c r="G973" s="80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  <c r="AA973" s="80"/>
    </row>
    <row r="974">
      <c r="A974" s="80"/>
      <c r="B974" s="80"/>
      <c r="C974" s="80"/>
      <c r="D974" s="80"/>
      <c r="E974" s="80"/>
      <c r="F974" s="80"/>
      <c r="G974" s="80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  <c r="AA974" s="80"/>
    </row>
    <row r="975">
      <c r="A975" s="80"/>
      <c r="B975" s="80"/>
      <c r="C975" s="80"/>
      <c r="D975" s="80"/>
      <c r="E975" s="80"/>
      <c r="F975" s="80"/>
      <c r="G975" s="80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  <c r="AA975" s="80"/>
    </row>
    <row r="976">
      <c r="A976" s="80"/>
      <c r="B976" s="80"/>
      <c r="C976" s="80"/>
      <c r="D976" s="80"/>
      <c r="E976" s="80"/>
      <c r="F976" s="80"/>
      <c r="G976" s="80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  <c r="AA976" s="80"/>
    </row>
    <row r="977">
      <c r="A977" s="80"/>
      <c r="B977" s="80"/>
      <c r="C977" s="80"/>
      <c r="D977" s="80"/>
      <c r="E977" s="80"/>
      <c r="F977" s="80"/>
      <c r="G977" s="80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  <c r="AA977" s="80"/>
    </row>
    <row r="978">
      <c r="A978" s="80"/>
      <c r="B978" s="80"/>
      <c r="C978" s="80"/>
      <c r="D978" s="80"/>
      <c r="E978" s="80"/>
      <c r="F978" s="80"/>
      <c r="G978" s="80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  <c r="AA978" s="80"/>
    </row>
    <row r="979">
      <c r="A979" s="80"/>
      <c r="B979" s="80"/>
      <c r="C979" s="80"/>
      <c r="D979" s="80"/>
      <c r="E979" s="80"/>
      <c r="F979" s="80"/>
      <c r="G979" s="80"/>
      <c r="H979" s="80"/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  <c r="AA979" s="80"/>
    </row>
    <row r="980">
      <c r="A980" s="80"/>
      <c r="B980" s="80"/>
      <c r="C980" s="80"/>
      <c r="D980" s="80"/>
      <c r="E980" s="80"/>
      <c r="F980" s="80"/>
      <c r="G980" s="80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  <c r="AA980" s="80"/>
    </row>
    <row r="981">
      <c r="A981" s="80"/>
      <c r="B981" s="80"/>
      <c r="C981" s="80"/>
      <c r="D981" s="80"/>
      <c r="E981" s="80"/>
      <c r="F981" s="80"/>
      <c r="G981" s="80"/>
      <c r="H981" s="80"/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  <c r="AA981" s="80"/>
    </row>
    <row r="982">
      <c r="A982" s="80"/>
      <c r="B982" s="80"/>
      <c r="C982" s="80"/>
      <c r="D982" s="80"/>
      <c r="E982" s="80"/>
      <c r="F982" s="80"/>
      <c r="G982" s="80"/>
      <c r="H982" s="80"/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  <c r="AA982" s="80"/>
    </row>
    <row r="983">
      <c r="A983" s="80"/>
      <c r="B983" s="80"/>
      <c r="C983" s="80"/>
      <c r="D983" s="80"/>
      <c r="E983" s="80"/>
      <c r="F983" s="80"/>
      <c r="G983" s="80"/>
      <c r="H983" s="80"/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  <c r="AA983" s="80"/>
    </row>
    <row r="984">
      <c r="A984" s="80"/>
      <c r="B984" s="80"/>
      <c r="C984" s="80"/>
      <c r="D984" s="80"/>
      <c r="E984" s="80"/>
      <c r="F984" s="80"/>
      <c r="G984" s="80"/>
      <c r="H984" s="80"/>
      <c r="I984" s="80"/>
      <c r="J984" s="80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  <c r="AA984" s="80"/>
    </row>
  </sheetData>
  <dataValidations>
    <dataValidation type="list" allowBlank="1" showErrorMessage="1" sqref="E2:E28">
      <formula1>#REF!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5.86"/>
    <col customWidth="1" min="3" max="3" width="17.14"/>
    <col customWidth="1" min="4" max="4" width="16.0"/>
    <col customWidth="1" min="5" max="5" width="13.57"/>
    <col customWidth="1" min="6" max="6" width="44.0"/>
    <col customWidth="1" min="7" max="7" width="30.86"/>
    <col customWidth="1" min="8" max="8" width="20.57"/>
  </cols>
  <sheetData>
    <row r="1" ht="40.5" customHeight="1">
      <c r="A1" s="89" t="s">
        <v>0</v>
      </c>
      <c r="B1" s="89" t="s">
        <v>1</v>
      </c>
      <c r="C1" s="89" t="s">
        <v>2</v>
      </c>
      <c r="D1" s="89" t="s">
        <v>3</v>
      </c>
      <c r="E1" s="89" t="s">
        <v>788</v>
      </c>
      <c r="F1" s="77" t="s">
        <v>789</v>
      </c>
      <c r="G1" s="77" t="s">
        <v>790</v>
      </c>
      <c r="H1" s="77" t="s">
        <v>791</v>
      </c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</row>
    <row r="2" ht="40.5" customHeight="1">
      <c r="A2" s="42" t="s">
        <v>25</v>
      </c>
      <c r="B2" s="42" t="s">
        <v>26</v>
      </c>
      <c r="C2" s="42" t="s">
        <v>27</v>
      </c>
      <c r="D2" s="42" t="s">
        <v>28</v>
      </c>
      <c r="E2" s="42">
        <v>5851084.0</v>
      </c>
      <c r="F2" s="42" t="s">
        <v>792</v>
      </c>
      <c r="G2" s="42" t="s">
        <v>28</v>
      </c>
      <c r="H2" s="90" t="s">
        <v>793</v>
      </c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</row>
    <row r="3" ht="40.5" customHeight="1">
      <c r="A3" s="42" t="s">
        <v>25</v>
      </c>
      <c r="B3" s="42" t="s">
        <v>26</v>
      </c>
      <c r="C3" s="42" t="s">
        <v>27</v>
      </c>
      <c r="D3" s="42" t="s">
        <v>29</v>
      </c>
      <c r="E3" s="42">
        <v>2082349.0</v>
      </c>
      <c r="F3" s="50" t="s">
        <v>794</v>
      </c>
      <c r="G3" s="42" t="s">
        <v>29</v>
      </c>
      <c r="H3" s="90" t="s">
        <v>793</v>
      </c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</row>
    <row r="4" ht="40.5" customHeight="1">
      <c r="A4" s="42" t="s">
        <v>25</v>
      </c>
      <c r="B4" s="42" t="s">
        <v>26</v>
      </c>
      <c r="C4" s="42" t="s">
        <v>27</v>
      </c>
      <c r="D4" s="42" t="s">
        <v>30</v>
      </c>
      <c r="E4" s="42">
        <v>2906562.0</v>
      </c>
      <c r="F4" s="42" t="s">
        <v>795</v>
      </c>
      <c r="G4" s="42" t="s">
        <v>30</v>
      </c>
      <c r="H4" s="90" t="s">
        <v>793</v>
      </c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</row>
    <row r="5" ht="40.5" customHeight="1">
      <c r="A5" s="42" t="s">
        <v>25</v>
      </c>
      <c r="B5" s="42" t="s">
        <v>26</v>
      </c>
      <c r="C5" s="42" t="s">
        <v>27</v>
      </c>
      <c r="D5" s="42" t="s">
        <v>31</v>
      </c>
      <c r="E5" s="42">
        <v>2906562.0</v>
      </c>
      <c r="F5" s="42" t="s">
        <v>795</v>
      </c>
      <c r="G5" s="42" t="s">
        <v>30</v>
      </c>
      <c r="H5" s="90" t="s">
        <v>793</v>
      </c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</row>
    <row r="6" ht="40.5" customHeight="1">
      <c r="A6" s="42" t="s">
        <v>25</v>
      </c>
      <c r="B6" s="42" t="s">
        <v>26</v>
      </c>
      <c r="C6" s="42" t="s">
        <v>27</v>
      </c>
      <c r="D6" s="42" t="s">
        <v>32</v>
      </c>
      <c r="E6" s="42">
        <v>6020917.0</v>
      </c>
      <c r="F6" s="50" t="s">
        <v>796</v>
      </c>
      <c r="G6" s="42" t="s">
        <v>32</v>
      </c>
      <c r="H6" s="90" t="s">
        <v>793</v>
      </c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</row>
    <row r="7" ht="40.5" customHeight="1">
      <c r="A7" s="42" t="s">
        <v>25</v>
      </c>
      <c r="B7" s="42" t="s">
        <v>26</v>
      </c>
      <c r="C7" s="42" t="s">
        <v>27</v>
      </c>
      <c r="D7" s="42" t="s">
        <v>33</v>
      </c>
      <c r="E7" s="42">
        <v>2035081.0</v>
      </c>
      <c r="F7" s="42" t="s">
        <v>795</v>
      </c>
      <c r="G7" s="42" t="s">
        <v>33</v>
      </c>
      <c r="H7" s="90" t="s">
        <v>793</v>
      </c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</row>
    <row r="8" ht="40.5" customHeight="1">
      <c r="A8" s="42" t="s">
        <v>25</v>
      </c>
      <c r="B8" s="42" t="s">
        <v>26</v>
      </c>
      <c r="C8" s="42" t="s">
        <v>27</v>
      </c>
      <c r="D8" s="42" t="s">
        <v>34</v>
      </c>
      <c r="E8" s="42">
        <v>2038196.0</v>
      </c>
      <c r="F8" s="42" t="s">
        <v>797</v>
      </c>
      <c r="G8" s="42" t="s">
        <v>34</v>
      </c>
      <c r="H8" s="90" t="s">
        <v>793</v>
      </c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</row>
    <row r="9" ht="40.5" customHeight="1">
      <c r="A9" s="42" t="s">
        <v>35</v>
      </c>
      <c r="B9" s="42" t="s">
        <v>26</v>
      </c>
      <c r="C9" s="42" t="s">
        <v>36</v>
      </c>
      <c r="D9" s="42" t="s">
        <v>37</v>
      </c>
      <c r="E9" s="42">
        <v>9001808.0</v>
      </c>
      <c r="F9" s="42" t="s">
        <v>798</v>
      </c>
      <c r="G9" s="42" t="s">
        <v>37</v>
      </c>
      <c r="H9" s="90" t="s">
        <v>793</v>
      </c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</row>
    <row r="10" ht="40.5" customHeight="1">
      <c r="A10" s="42" t="s">
        <v>35</v>
      </c>
      <c r="B10" s="42" t="s">
        <v>26</v>
      </c>
      <c r="C10" s="42" t="s">
        <v>36</v>
      </c>
      <c r="D10" s="42" t="s">
        <v>37</v>
      </c>
      <c r="E10" s="42">
        <v>2059304.0</v>
      </c>
      <c r="F10" s="42" t="s">
        <v>799</v>
      </c>
      <c r="G10" s="42" t="s">
        <v>37</v>
      </c>
      <c r="H10" s="90" t="s">
        <v>793</v>
      </c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</row>
    <row r="11" ht="40.5" customHeight="1">
      <c r="A11" s="42" t="s">
        <v>35</v>
      </c>
      <c r="B11" s="42" t="s">
        <v>26</v>
      </c>
      <c r="C11" s="42" t="s">
        <v>36</v>
      </c>
      <c r="D11" s="42" t="s">
        <v>37</v>
      </c>
      <c r="E11" s="42">
        <v>2773848.0</v>
      </c>
      <c r="F11" s="42" t="s">
        <v>800</v>
      </c>
      <c r="G11" s="42" t="s">
        <v>37</v>
      </c>
      <c r="H11" s="90" t="s">
        <v>793</v>
      </c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</row>
    <row r="12" ht="40.5" customHeight="1">
      <c r="A12" s="42" t="s">
        <v>35</v>
      </c>
      <c r="B12" s="42" t="s">
        <v>26</v>
      </c>
      <c r="C12" s="42" t="s">
        <v>36</v>
      </c>
      <c r="D12" s="42" t="s">
        <v>37</v>
      </c>
      <c r="E12" s="42">
        <v>2773228.0</v>
      </c>
      <c r="F12" s="42" t="s">
        <v>801</v>
      </c>
      <c r="G12" s="42" t="s">
        <v>37</v>
      </c>
      <c r="H12" s="90" t="s">
        <v>793</v>
      </c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</row>
    <row r="13" ht="40.5" customHeight="1">
      <c r="A13" s="42" t="s">
        <v>35</v>
      </c>
      <c r="B13" s="42" t="s">
        <v>26</v>
      </c>
      <c r="C13" s="42" t="s">
        <v>36</v>
      </c>
      <c r="D13" s="42" t="s">
        <v>37</v>
      </c>
      <c r="E13" s="42">
        <v>2773856.0</v>
      </c>
      <c r="F13" s="42" t="s">
        <v>802</v>
      </c>
      <c r="G13" s="42" t="s">
        <v>37</v>
      </c>
      <c r="H13" s="90" t="s">
        <v>793</v>
      </c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</row>
    <row r="14" ht="40.5" customHeight="1">
      <c r="A14" s="42" t="s">
        <v>35</v>
      </c>
      <c r="B14" s="42" t="s">
        <v>26</v>
      </c>
      <c r="C14" s="42" t="s">
        <v>36</v>
      </c>
      <c r="D14" s="42" t="s">
        <v>37</v>
      </c>
      <c r="E14" s="42">
        <v>3044114.0</v>
      </c>
      <c r="F14" s="42" t="s">
        <v>803</v>
      </c>
      <c r="G14" s="42" t="s">
        <v>37</v>
      </c>
      <c r="H14" s="90" t="s">
        <v>793</v>
      </c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</row>
    <row r="15" ht="40.5" customHeight="1">
      <c r="A15" s="42" t="s">
        <v>35</v>
      </c>
      <c r="B15" s="42" t="s">
        <v>26</v>
      </c>
      <c r="C15" s="42" t="s">
        <v>36</v>
      </c>
      <c r="D15" s="42" t="s">
        <v>37</v>
      </c>
      <c r="E15" s="42">
        <v>7047088.0</v>
      </c>
      <c r="F15" s="42" t="s">
        <v>804</v>
      </c>
      <c r="G15" s="42" t="s">
        <v>37</v>
      </c>
      <c r="H15" s="90" t="s">
        <v>793</v>
      </c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</row>
    <row r="16" ht="40.5" customHeight="1">
      <c r="A16" s="42" t="s">
        <v>35</v>
      </c>
      <c r="B16" s="42" t="s">
        <v>26</v>
      </c>
      <c r="C16" s="42" t="s">
        <v>36</v>
      </c>
      <c r="D16" s="42" t="s">
        <v>38</v>
      </c>
      <c r="E16" s="42">
        <v>7532245.0</v>
      </c>
      <c r="F16" s="42" t="s">
        <v>805</v>
      </c>
      <c r="G16" s="42" t="s">
        <v>806</v>
      </c>
      <c r="H16" s="90" t="s">
        <v>793</v>
      </c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</row>
    <row r="17" ht="40.5" customHeight="1">
      <c r="A17" s="42" t="s">
        <v>35</v>
      </c>
      <c r="B17" s="42" t="s">
        <v>26</v>
      </c>
      <c r="C17" s="42" t="s">
        <v>36</v>
      </c>
      <c r="D17" s="42" t="s">
        <v>39</v>
      </c>
      <c r="E17" s="42">
        <v>7627475.0</v>
      </c>
      <c r="F17" s="42" t="s">
        <v>807</v>
      </c>
      <c r="G17" s="42" t="s">
        <v>39</v>
      </c>
      <c r="H17" s="90" t="s">
        <v>793</v>
      </c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</row>
    <row r="18" ht="40.5" customHeight="1">
      <c r="A18" s="42" t="s">
        <v>35</v>
      </c>
      <c r="B18" s="42" t="s">
        <v>26</v>
      </c>
      <c r="C18" s="42" t="s">
        <v>36</v>
      </c>
      <c r="D18" s="42" t="s">
        <v>40</v>
      </c>
      <c r="E18" s="42">
        <v>6016081.0</v>
      </c>
      <c r="F18" s="42" t="s">
        <v>808</v>
      </c>
      <c r="G18" s="42" t="s">
        <v>40</v>
      </c>
      <c r="H18" s="90" t="s">
        <v>793</v>
      </c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</row>
    <row r="19" ht="40.5" customHeight="1">
      <c r="A19" s="42" t="s">
        <v>35</v>
      </c>
      <c r="B19" s="42" t="s">
        <v>26</v>
      </c>
      <c r="C19" s="42" t="s">
        <v>36</v>
      </c>
      <c r="D19" s="42" t="s">
        <v>41</v>
      </c>
      <c r="E19" s="42">
        <v>2090554.0</v>
      </c>
      <c r="F19" s="42" t="s">
        <v>809</v>
      </c>
      <c r="G19" s="42" t="s">
        <v>41</v>
      </c>
      <c r="H19" s="90" t="s">
        <v>793</v>
      </c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</row>
    <row r="20" ht="40.5" customHeight="1">
      <c r="A20" s="42" t="s">
        <v>35</v>
      </c>
      <c r="B20" s="42" t="s">
        <v>26</v>
      </c>
      <c r="C20" s="42" t="s">
        <v>36</v>
      </c>
      <c r="D20" s="42" t="s">
        <v>41</v>
      </c>
      <c r="E20" s="42">
        <v>2061082.0</v>
      </c>
      <c r="F20" s="42" t="s">
        <v>810</v>
      </c>
      <c r="G20" s="42" t="s">
        <v>41</v>
      </c>
      <c r="H20" s="90" t="s">
        <v>793</v>
      </c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</row>
    <row r="21" ht="40.5" customHeight="1">
      <c r="A21" s="42" t="s">
        <v>35</v>
      </c>
      <c r="B21" s="42" t="s">
        <v>26</v>
      </c>
      <c r="C21" s="42" t="s">
        <v>36</v>
      </c>
      <c r="D21" s="42" t="s">
        <v>41</v>
      </c>
      <c r="E21" s="42">
        <v>2036010.0</v>
      </c>
      <c r="F21" s="42" t="s">
        <v>811</v>
      </c>
      <c r="G21" s="42" t="s">
        <v>41</v>
      </c>
      <c r="H21" s="90" t="s">
        <v>793</v>
      </c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</row>
    <row r="22" ht="40.5" customHeight="1">
      <c r="A22" s="42" t="s">
        <v>35</v>
      </c>
      <c r="B22" s="42" t="s">
        <v>26</v>
      </c>
      <c r="C22" s="42" t="s">
        <v>36</v>
      </c>
      <c r="D22" s="42" t="s">
        <v>41</v>
      </c>
      <c r="E22" s="42">
        <v>4048296.0</v>
      </c>
      <c r="F22" s="42" t="s">
        <v>812</v>
      </c>
      <c r="G22" s="42" t="s">
        <v>41</v>
      </c>
      <c r="H22" s="90" t="s">
        <v>793</v>
      </c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</row>
    <row r="23" ht="40.5" customHeight="1">
      <c r="A23" s="42" t="s">
        <v>35</v>
      </c>
      <c r="B23" s="42" t="s">
        <v>26</v>
      </c>
      <c r="C23" s="42" t="s">
        <v>36</v>
      </c>
      <c r="D23" s="42" t="s">
        <v>41</v>
      </c>
      <c r="E23" s="42">
        <v>2718804.0</v>
      </c>
      <c r="F23" s="42" t="s">
        <v>813</v>
      </c>
      <c r="G23" s="42" t="s">
        <v>41</v>
      </c>
      <c r="H23" s="90" t="s">
        <v>793</v>
      </c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</row>
    <row r="24" ht="40.5" customHeight="1">
      <c r="A24" s="42" t="s">
        <v>35</v>
      </c>
      <c r="B24" s="42" t="s">
        <v>26</v>
      </c>
      <c r="C24" s="42" t="s">
        <v>36</v>
      </c>
      <c r="D24" s="42" t="s">
        <v>41</v>
      </c>
      <c r="E24" s="42">
        <v>2040085.0</v>
      </c>
      <c r="F24" s="42" t="s">
        <v>814</v>
      </c>
      <c r="G24" s="42" t="s">
        <v>41</v>
      </c>
      <c r="H24" s="90" t="s">
        <v>793</v>
      </c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</row>
    <row r="25" ht="40.5" customHeight="1">
      <c r="A25" s="42" t="s">
        <v>35</v>
      </c>
      <c r="B25" s="42" t="s">
        <v>26</v>
      </c>
      <c r="C25" s="42" t="s">
        <v>36</v>
      </c>
      <c r="D25" s="42" t="s">
        <v>41</v>
      </c>
      <c r="E25" s="42">
        <v>2074257.0</v>
      </c>
      <c r="F25" s="42" t="s">
        <v>815</v>
      </c>
      <c r="G25" s="42" t="s">
        <v>41</v>
      </c>
      <c r="H25" s="90" t="s">
        <v>793</v>
      </c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</row>
    <row r="26" ht="40.5" customHeight="1">
      <c r="A26" s="42" t="s">
        <v>35</v>
      </c>
      <c r="B26" s="42" t="s">
        <v>26</v>
      </c>
      <c r="C26" s="42" t="s">
        <v>36</v>
      </c>
      <c r="D26" s="42" t="s">
        <v>42</v>
      </c>
      <c r="E26" s="42">
        <v>2718111.0</v>
      </c>
      <c r="F26" s="42" t="s">
        <v>816</v>
      </c>
      <c r="G26" s="42" t="s">
        <v>42</v>
      </c>
      <c r="H26" s="90" t="s">
        <v>793</v>
      </c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</row>
    <row r="27" ht="40.5" customHeight="1">
      <c r="A27" s="42" t="s">
        <v>35</v>
      </c>
      <c r="B27" s="42" t="s">
        <v>26</v>
      </c>
      <c r="C27" s="42" t="s">
        <v>36</v>
      </c>
      <c r="D27" s="42" t="s">
        <v>43</v>
      </c>
      <c r="E27" s="42">
        <v>6028748.0</v>
      </c>
      <c r="F27" s="42" t="s">
        <v>817</v>
      </c>
      <c r="G27" s="42" t="s">
        <v>43</v>
      </c>
      <c r="H27" s="90" t="s">
        <v>793</v>
      </c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</row>
    <row r="28" ht="40.5" customHeight="1">
      <c r="A28" s="42" t="s">
        <v>35</v>
      </c>
      <c r="B28" s="42" t="s">
        <v>26</v>
      </c>
      <c r="C28" s="42" t="s">
        <v>36</v>
      </c>
      <c r="D28" s="42" t="s">
        <v>44</v>
      </c>
      <c r="E28" s="42">
        <v>2773821.0</v>
      </c>
      <c r="F28" s="42" t="s">
        <v>818</v>
      </c>
      <c r="G28" s="42" t="s">
        <v>819</v>
      </c>
      <c r="H28" s="90" t="s">
        <v>793</v>
      </c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</row>
    <row r="29" ht="40.5" customHeight="1">
      <c r="A29" s="42" t="s">
        <v>35</v>
      </c>
      <c r="B29" s="42" t="s">
        <v>26</v>
      </c>
      <c r="C29" s="42" t="s">
        <v>36</v>
      </c>
      <c r="D29" s="42" t="s">
        <v>44</v>
      </c>
      <c r="E29" s="42">
        <v>6322530.0</v>
      </c>
      <c r="F29" s="42" t="s">
        <v>820</v>
      </c>
      <c r="G29" s="42" t="s">
        <v>819</v>
      </c>
      <c r="H29" s="90" t="s">
        <v>793</v>
      </c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</row>
    <row r="30" ht="40.5" customHeight="1">
      <c r="A30" s="42" t="s">
        <v>35</v>
      </c>
      <c r="B30" s="42" t="s">
        <v>26</v>
      </c>
      <c r="C30" s="42" t="s">
        <v>36</v>
      </c>
      <c r="D30" s="42" t="s">
        <v>44</v>
      </c>
      <c r="E30" s="42">
        <v>2773805.0</v>
      </c>
      <c r="F30" s="42" t="s">
        <v>821</v>
      </c>
      <c r="G30" s="42" t="s">
        <v>819</v>
      </c>
      <c r="H30" s="90" t="s">
        <v>793</v>
      </c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</row>
    <row r="31" ht="40.5" customHeight="1">
      <c r="A31" s="42" t="s">
        <v>35</v>
      </c>
      <c r="B31" s="42" t="s">
        <v>26</v>
      </c>
      <c r="C31" s="42" t="s">
        <v>36</v>
      </c>
      <c r="D31" s="42" t="s">
        <v>44</v>
      </c>
      <c r="E31" s="42">
        <v>2773481.0</v>
      </c>
      <c r="F31" s="42" t="s">
        <v>822</v>
      </c>
      <c r="G31" s="42" t="s">
        <v>819</v>
      </c>
      <c r="H31" s="90" t="s">
        <v>793</v>
      </c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</row>
    <row r="32" ht="40.5" customHeight="1">
      <c r="A32" s="42" t="s">
        <v>35</v>
      </c>
      <c r="B32" s="42" t="s">
        <v>26</v>
      </c>
      <c r="C32" s="42" t="s">
        <v>36</v>
      </c>
      <c r="D32" s="42" t="s">
        <v>44</v>
      </c>
      <c r="E32" s="42">
        <v>2718987.0</v>
      </c>
      <c r="F32" s="42" t="s">
        <v>823</v>
      </c>
      <c r="G32" s="42" t="s">
        <v>819</v>
      </c>
      <c r="H32" s="90" t="s">
        <v>793</v>
      </c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</row>
    <row r="33" ht="40.5" customHeight="1">
      <c r="A33" s="42" t="s">
        <v>35</v>
      </c>
      <c r="B33" s="42" t="s">
        <v>26</v>
      </c>
      <c r="C33" s="42" t="s">
        <v>36</v>
      </c>
      <c r="D33" s="42" t="s">
        <v>44</v>
      </c>
      <c r="E33" s="42">
        <v>2773457.0</v>
      </c>
      <c r="F33" s="42" t="s">
        <v>824</v>
      </c>
      <c r="G33" s="42" t="s">
        <v>819</v>
      </c>
      <c r="H33" s="90" t="s">
        <v>793</v>
      </c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</row>
    <row r="34" ht="40.5" customHeight="1">
      <c r="A34" s="42" t="s">
        <v>35</v>
      </c>
      <c r="B34" s="42" t="s">
        <v>26</v>
      </c>
      <c r="C34" s="42" t="s">
        <v>36</v>
      </c>
      <c r="D34" s="42" t="s">
        <v>44</v>
      </c>
      <c r="E34" s="42">
        <v>2773430.0</v>
      </c>
      <c r="F34" s="42" t="s">
        <v>825</v>
      </c>
      <c r="G34" s="42" t="s">
        <v>819</v>
      </c>
      <c r="H34" s="90" t="s">
        <v>793</v>
      </c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</row>
    <row r="35" ht="40.5" customHeight="1">
      <c r="A35" s="42" t="s">
        <v>35</v>
      </c>
      <c r="B35" s="42" t="s">
        <v>26</v>
      </c>
      <c r="C35" s="42" t="s">
        <v>36</v>
      </c>
      <c r="D35" s="42" t="s">
        <v>44</v>
      </c>
      <c r="E35" s="42">
        <v>6322581.0</v>
      </c>
      <c r="F35" s="42" t="s">
        <v>826</v>
      </c>
      <c r="G35" s="42" t="s">
        <v>819</v>
      </c>
      <c r="H35" s="90" t="s">
        <v>793</v>
      </c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</row>
    <row r="36" ht="40.5" customHeight="1">
      <c r="A36" s="42" t="s">
        <v>35</v>
      </c>
      <c r="B36" s="42" t="s">
        <v>26</v>
      </c>
      <c r="C36" s="42" t="s">
        <v>36</v>
      </c>
      <c r="D36" s="42" t="s">
        <v>44</v>
      </c>
      <c r="E36" s="42">
        <v>6322719.0</v>
      </c>
      <c r="F36" s="42" t="s">
        <v>827</v>
      </c>
      <c r="G36" s="42" t="s">
        <v>819</v>
      </c>
      <c r="H36" s="90" t="s">
        <v>793</v>
      </c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</row>
    <row r="37" ht="40.5" customHeight="1">
      <c r="A37" s="42" t="s">
        <v>35</v>
      </c>
      <c r="B37" s="42" t="s">
        <v>26</v>
      </c>
      <c r="C37" s="42" t="s">
        <v>36</v>
      </c>
      <c r="D37" s="42" t="s">
        <v>45</v>
      </c>
      <c r="E37" s="42">
        <v>2033119.0</v>
      </c>
      <c r="F37" s="42" t="s">
        <v>828</v>
      </c>
      <c r="G37" s="42" t="s">
        <v>45</v>
      </c>
      <c r="H37" s="90" t="s">
        <v>793</v>
      </c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</row>
    <row r="38" ht="40.5" customHeight="1">
      <c r="A38" s="42" t="s">
        <v>35</v>
      </c>
      <c r="B38" s="42" t="s">
        <v>26</v>
      </c>
      <c r="C38" s="42" t="s">
        <v>36</v>
      </c>
      <c r="D38" s="42" t="s">
        <v>46</v>
      </c>
      <c r="E38" s="42">
        <v>4049535.0</v>
      </c>
      <c r="F38" s="42" t="s">
        <v>829</v>
      </c>
      <c r="G38" s="42" t="s">
        <v>46</v>
      </c>
      <c r="H38" s="90" t="s">
        <v>793</v>
      </c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</row>
    <row r="39" ht="40.5" customHeight="1">
      <c r="A39" s="42" t="s">
        <v>35</v>
      </c>
      <c r="B39" s="42" t="s">
        <v>26</v>
      </c>
      <c r="C39" s="42" t="s">
        <v>36</v>
      </c>
      <c r="D39" s="42" t="s">
        <v>47</v>
      </c>
      <c r="E39" s="42">
        <v>2717980.0</v>
      </c>
      <c r="F39" s="42" t="s">
        <v>830</v>
      </c>
      <c r="G39" s="42" t="s">
        <v>47</v>
      </c>
      <c r="H39" s="90" t="s">
        <v>793</v>
      </c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</row>
    <row r="40" ht="40.5" customHeight="1">
      <c r="A40" s="42" t="s">
        <v>48</v>
      </c>
      <c r="B40" s="91" t="s">
        <v>26</v>
      </c>
      <c r="C40" s="26" t="s">
        <v>49</v>
      </c>
      <c r="D40" s="26" t="s">
        <v>50</v>
      </c>
      <c r="E40" s="91">
        <v>3028399.0</v>
      </c>
      <c r="F40" s="91" t="s">
        <v>831</v>
      </c>
      <c r="G40" s="26" t="s">
        <v>52</v>
      </c>
      <c r="H40" s="90" t="s">
        <v>793</v>
      </c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</row>
    <row r="41" ht="40.5" customHeight="1">
      <c r="A41" s="42" t="s">
        <v>48</v>
      </c>
      <c r="B41" s="91" t="s">
        <v>26</v>
      </c>
      <c r="C41" s="26" t="s">
        <v>49</v>
      </c>
      <c r="D41" s="26" t="s">
        <v>51</v>
      </c>
      <c r="E41" s="91">
        <v>3028399.0</v>
      </c>
      <c r="F41" s="91" t="s">
        <v>831</v>
      </c>
      <c r="G41" s="26" t="s">
        <v>52</v>
      </c>
      <c r="H41" s="90" t="s">
        <v>793</v>
      </c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</row>
    <row r="42" ht="40.5" customHeight="1">
      <c r="A42" s="42" t="s">
        <v>48</v>
      </c>
      <c r="B42" s="91" t="s">
        <v>26</v>
      </c>
      <c r="C42" s="26" t="s">
        <v>49</v>
      </c>
      <c r="D42" s="26" t="s">
        <v>52</v>
      </c>
      <c r="E42" s="91">
        <v>3028399.0</v>
      </c>
      <c r="F42" s="91" t="s">
        <v>831</v>
      </c>
      <c r="G42" s="26" t="s">
        <v>52</v>
      </c>
      <c r="H42" s="90" t="s">
        <v>793</v>
      </c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</row>
    <row r="43" ht="40.5" customHeight="1">
      <c r="A43" s="42" t="s">
        <v>48</v>
      </c>
      <c r="B43" s="91" t="s">
        <v>26</v>
      </c>
      <c r="C43" s="26" t="s">
        <v>49</v>
      </c>
      <c r="D43" s="26" t="s">
        <v>49</v>
      </c>
      <c r="E43" s="91">
        <v>3028399.0</v>
      </c>
      <c r="F43" s="91" t="s">
        <v>831</v>
      </c>
      <c r="G43" s="26" t="s">
        <v>52</v>
      </c>
      <c r="H43" s="90" t="s">
        <v>793</v>
      </c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</row>
    <row r="44" ht="40.5" customHeight="1">
      <c r="A44" s="42" t="s">
        <v>48</v>
      </c>
      <c r="B44" s="91" t="s">
        <v>26</v>
      </c>
      <c r="C44" s="26" t="s">
        <v>49</v>
      </c>
      <c r="D44" s="26" t="s">
        <v>53</v>
      </c>
      <c r="E44" s="91">
        <v>3028399.0</v>
      </c>
      <c r="F44" s="91" t="s">
        <v>831</v>
      </c>
      <c r="G44" s="26" t="s">
        <v>52</v>
      </c>
      <c r="H44" s="90" t="s">
        <v>793</v>
      </c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</row>
    <row r="45" ht="40.5" customHeight="1">
      <c r="A45" s="42" t="s">
        <v>54</v>
      </c>
      <c r="B45" s="50" t="s">
        <v>26</v>
      </c>
      <c r="C45" s="50" t="s">
        <v>55</v>
      </c>
      <c r="D45" s="50" t="s">
        <v>56</v>
      </c>
      <c r="E45" s="50">
        <v>6768849.0</v>
      </c>
      <c r="F45" s="50" t="s">
        <v>832</v>
      </c>
      <c r="G45" s="50" t="s">
        <v>56</v>
      </c>
      <c r="H45" s="90" t="s">
        <v>793</v>
      </c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</row>
    <row r="46" ht="40.5" customHeight="1">
      <c r="A46" s="42" t="s">
        <v>54</v>
      </c>
      <c r="B46" s="50" t="s">
        <v>26</v>
      </c>
      <c r="C46" s="50" t="s">
        <v>55</v>
      </c>
      <c r="D46" s="50" t="s">
        <v>57</v>
      </c>
      <c r="E46" s="50">
        <v>2786400.0</v>
      </c>
      <c r="F46" s="50" t="s">
        <v>833</v>
      </c>
      <c r="G46" s="50" t="s">
        <v>834</v>
      </c>
      <c r="H46" s="90" t="s">
        <v>793</v>
      </c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</row>
    <row r="47" ht="40.5" customHeight="1">
      <c r="A47" s="42" t="s">
        <v>54</v>
      </c>
      <c r="B47" s="50" t="s">
        <v>26</v>
      </c>
      <c r="C47" s="50" t="s">
        <v>55</v>
      </c>
      <c r="D47" s="50" t="s">
        <v>58</v>
      </c>
      <c r="E47" s="50">
        <v>2792176.0</v>
      </c>
      <c r="F47" s="50" t="s">
        <v>835</v>
      </c>
      <c r="G47" s="50" t="s">
        <v>59</v>
      </c>
      <c r="H47" s="90" t="s">
        <v>793</v>
      </c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</row>
    <row r="48" ht="40.5" customHeight="1">
      <c r="A48" s="42" t="s">
        <v>54</v>
      </c>
      <c r="B48" s="50" t="s">
        <v>26</v>
      </c>
      <c r="C48" s="50" t="s">
        <v>55</v>
      </c>
      <c r="D48" s="50" t="s">
        <v>59</v>
      </c>
      <c r="E48" s="50">
        <v>2792176.0</v>
      </c>
      <c r="F48" s="50" t="s">
        <v>835</v>
      </c>
      <c r="G48" s="50" t="s">
        <v>59</v>
      </c>
      <c r="H48" s="90" t="s">
        <v>793</v>
      </c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</row>
    <row r="49" ht="40.5" customHeight="1">
      <c r="A49" s="42" t="s">
        <v>54</v>
      </c>
      <c r="B49" s="50" t="s">
        <v>26</v>
      </c>
      <c r="C49" s="50" t="s">
        <v>55</v>
      </c>
      <c r="D49" s="50" t="s">
        <v>60</v>
      </c>
      <c r="E49" s="50">
        <v>2792176.0</v>
      </c>
      <c r="F49" s="50" t="s">
        <v>835</v>
      </c>
      <c r="G49" s="50" t="s">
        <v>59</v>
      </c>
      <c r="H49" s="90" t="s">
        <v>793</v>
      </c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</row>
    <row r="50" ht="40.5" customHeight="1">
      <c r="A50" s="42" t="s">
        <v>54</v>
      </c>
      <c r="B50" s="50" t="s">
        <v>26</v>
      </c>
      <c r="C50" s="50" t="s">
        <v>55</v>
      </c>
      <c r="D50" s="50" t="s">
        <v>61</v>
      </c>
      <c r="E50" s="50">
        <v>2792176.0</v>
      </c>
      <c r="F50" s="50" t="s">
        <v>835</v>
      </c>
      <c r="G50" s="50" t="s">
        <v>59</v>
      </c>
      <c r="H50" s="90" t="s">
        <v>793</v>
      </c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</row>
    <row r="51" ht="40.5" customHeight="1">
      <c r="A51" s="42" t="s">
        <v>54</v>
      </c>
      <c r="B51" s="50" t="s">
        <v>26</v>
      </c>
      <c r="C51" s="50" t="s">
        <v>55</v>
      </c>
      <c r="D51" s="50" t="s">
        <v>62</v>
      </c>
      <c r="E51" s="50">
        <v>3742466.0</v>
      </c>
      <c r="F51" s="50" t="s">
        <v>836</v>
      </c>
      <c r="G51" s="50" t="s">
        <v>62</v>
      </c>
      <c r="H51" s="90" t="s">
        <v>793</v>
      </c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</row>
    <row r="52" ht="40.5" customHeight="1">
      <c r="A52" s="42" t="s">
        <v>54</v>
      </c>
      <c r="B52" s="50" t="s">
        <v>26</v>
      </c>
      <c r="C52" s="50" t="s">
        <v>55</v>
      </c>
      <c r="D52" s="50" t="s">
        <v>63</v>
      </c>
      <c r="E52" s="50">
        <v>7079877.0</v>
      </c>
      <c r="F52" s="50" t="s">
        <v>837</v>
      </c>
      <c r="G52" s="50" t="s">
        <v>63</v>
      </c>
      <c r="H52" s="90" t="s">
        <v>793</v>
      </c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</row>
    <row r="53" ht="40.5" customHeight="1">
      <c r="A53" s="42" t="s">
        <v>64</v>
      </c>
      <c r="B53" s="42" t="s">
        <v>26</v>
      </c>
      <c r="C53" s="42" t="s">
        <v>65</v>
      </c>
      <c r="D53" s="42" t="s">
        <v>66</v>
      </c>
      <c r="E53" s="92" t="s">
        <v>838</v>
      </c>
      <c r="F53" s="42" t="s">
        <v>839</v>
      </c>
      <c r="G53" s="42" t="s">
        <v>66</v>
      </c>
      <c r="H53" s="90" t="s">
        <v>793</v>
      </c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</row>
    <row r="54" ht="40.5" customHeight="1">
      <c r="A54" s="42" t="s">
        <v>64</v>
      </c>
      <c r="B54" s="42" t="s">
        <v>26</v>
      </c>
      <c r="C54" s="42" t="s">
        <v>65</v>
      </c>
      <c r="D54" s="42" t="s">
        <v>67</v>
      </c>
      <c r="E54" s="42">
        <v>2792168.0</v>
      </c>
      <c r="F54" s="42" t="s">
        <v>840</v>
      </c>
      <c r="G54" s="42" t="s">
        <v>67</v>
      </c>
      <c r="H54" s="90" t="s">
        <v>793</v>
      </c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</row>
    <row r="55" ht="40.5" customHeight="1">
      <c r="A55" s="42" t="s">
        <v>64</v>
      </c>
      <c r="B55" s="42" t="s">
        <v>26</v>
      </c>
      <c r="C55" s="42" t="s">
        <v>65</v>
      </c>
      <c r="D55" s="42" t="s">
        <v>68</v>
      </c>
      <c r="E55" s="42">
        <v>9102159.0</v>
      </c>
      <c r="F55" s="42" t="s">
        <v>841</v>
      </c>
      <c r="G55" s="42" t="s">
        <v>68</v>
      </c>
      <c r="H55" s="90" t="s">
        <v>793</v>
      </c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</row>
    <row r="56" ht="40.5" customHeight="1">
      <c r="A56" s="42" t="s">
        <v>64</v>
      </c>
      <c r="B56" s="42" t="s">
        <v>26</v>
      </c>
      <c r="C56" s="42" t="s">
        <v>65</v>
      </c>
      <c r="D56" s="42" t="s">
        <v>68</v>
      </c>
      <c r="E56" s="42">
        <v>9454276.0</v>
      </c>
      <c r="F56" s="42" t="s">
        <v>842</v>
      </c>
      <c r="G56" s="42" t="s">
        <v>68</v>
      </c>
      <c r="H56" s="90" t="s">
        <v>793</v>
      </c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</row>
    <row r="57" ht="40.5" customHeight="1">
      <c r="A57" s="42" t="s">
        <v>64</v>
      </c>
      <c r="B57" s="42" t="s">
        <v>26</v>
      </c>
      <c r="C57" s="42" t="s">
        <v>65</v>
      </c>
      <c r="D57" s="42" t="s">
        <v>69</v>
      </c>
      <c r="E57" s="42">
        <v>5437350.0</v>
      </c>
      <c r="F57" s="42" t="s">
        <v>843</v>
      </c>
      <c r="G57" s="42" t="s">
        <v>69</v>
      </c>
      <c r="H57" s="90" t="s">
        <v>793</v>
      </c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</row>
    <row r="58" ht="40.5" customHeight="1">
      <c r="A58" s="42" t="s">
        <v>64</v>
      </c>
      <c r="B58" s="42" t="s">
        <v>26</v>
      </c>
      <c r="C58" s="42" t="s">
        <v>65</v>
      </c>
      <c r="D58" s="42" t="s">
        <v>70</v>
      </c>
      <c r="E58" s="42">
        <v>3815919.0</v>
      </c>
      <c r="F58" s="42" t="s">
        <v>844</v>
      </c>
      <c r="G58" s="42" t="s">
        <v>70</v>
      </c>
      <c r="H58" s="90" t="s">
        <v>793</v>
      </c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</row>
    <row r="59" ht="40.5" customHeight="1">
      <c r="A59" s="42" t="s">
        <v>64</v>
      </c>
      <c r="B59" s="42" t="s">
        <v>26</v>
      </c>
      <c r="C59" s="42" t="s">
        <v>65</v>
      </c>
      <c r="D59" s="42" t="s">
        <v>71</v>
      </c>
      <c r="E59" s="42">
        <v>2792168.0</v>
      </c>
      <c r="F59" s="42" t="s">
        <v>840</v>
      </c>
      <c r="G59" s="42" t="s">
        <v>67</v>
      </c>
      <c r="H59" s="90" t="s">
        <v>793</v>
      </c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</row>
    <row r="60" ht="40.5" customHeight="1">
      <c r="A60" s="42" t="s">
        <v>64</v>
      </c>
      <c r="B60" s="42" t="s">
        <v>26</v>
      </c>
      <c r="C60" s="42" t="s">
        <v>65</v>
      </c>
      <c r="D60" s="42" t="s">
        <v>72</v>
      </c>
      <c r="E60" s="42">
        <v>7444249.0</v>
      </c>
      <c r="F60" s="42" t="s">
        <v>845</v>
      </c>
      <c r="G60" s="42" t="s">
        <v>72</v>
      </c>
      <c r="H60" s="90" t="s">
        <v>793</v>
      </c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</row>
    <row r="61" ht="40.5" customHeight="1">
      <c r="A61" s="42" t="s">
        <v>73</v>
      </c>
      <c r="B61" s="50" t="s">
        <v>74</v>
      </c>
      <c r="C61" s="50" t="s">
        <v>74</v>
      </c>
      <c r="D61" s="50" t="s">
        <v>75</v>
      </c>
      <c r="E61" s="50">
        <v>2079720.0</v>
      </c>
      <c r="F61" s="50" t="s">
        <v>846</v>
      </c>
      <c r="G61" s="50" t="s">
        <v>847</v>
      </c>
      <c r="H61" s="90" t="s">
        <v>793</v>
      </c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</row>
    <row r="62" ht="40.5" customHeight="1">
      <c r="A62" s="42" t="s">
        <v>73</v>
      </c>
      <c r="B62" s="50" t="s">
        <v>74</v>
      </c>
      <c r="C62" s="50" t="s">
        <v>74</v>
      </c>
      <c r="D62" s="50" t="s">
        <v>75</v>
      </c>
      <c r="E62" s="50">
        <v>473405.0</v>
      </c>
      <c r="F62" s="50" t="s">
        <v>848</v>
      </c>
      <c r="G62" s="50" t="s">
        <v>847</v>
      </c>
      <c r="H62" s="90" t="s">
        <v>793</v>
      </c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</row>
    <row r="63" ht="40.5" customHeight="1">
      <c r="A63" s="42" t="s">
        <v>73</v>
      </c>
      <c r="B63" s="50" t="s">
        <v>74</v>
      </c>
      <c r="C63" s="50" t="s">
        <v>74</v>
      </c>
      <c r="D63" s="50" t="s">
        <v>76</v>
      </c>
      <c r="E63" s="50">
        <v>2071843.0</v>
      </c>
      <c r="F63" s="50" t="s">
        <v>849</v>
      </c>
      <c r="G63" s="50" t="s">
        <v>76</v>
      </c>
      <c r="H63" s="90" t="s">
        <v>793</v>
      </c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</row>
    <row r="64" ht="40.5" customHeight="1">
      <c r="A64" s="42" t="s">
        <v>73</v>
      </c>
      <c r="B64" s="50" t="s">
        <v>74</v>
      </c>
      <c r="C64" s="50" t="s">
        <v>74</v>
      </c>
      <c r="D64" s="50" t="s">
        <v>77</v>
      </c>
      <c r="E64" s="50">
        <v>9663851.0</v>
      </c>
      <c r="F64" s="50" t="s">
        <v>850</v>
      </c>
      <c r="G64" s="50" t="s">
        <v>77</v>
      </c>
      <c r="H64" s="90" t="s">
        <v>793</v>
      </c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</row>
    <row r="65" ht="40.5" customHeight="1">
      <c r="A65" s="42" t="s">
        <v>73</v>
      </c>
      <c r="B65" s="50" t="s">
        <v>74</v>
      </c>
      <c r="C65" s="50" t="s">
        <v>74</v>
      </c>
      <c r="D65" s="50" t="s">
        <v>78</v>
      </c>
      <c r="E65" s="50">
        <v>6345581.0</v>
      </c>
      <c r="F65" s="50" t="s">
        <v>851</v>
      </c>
      <c r="G65" s="50" t="s">
        <v>852</v>
      </c>
      <c r="H65" s="90" t="s">
        <v>793</v>
      </c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</row>
    <row r="66" ht="40.5" customHeight="1">
      <c r="A66" s="42" t="s">
        <v>73</v>
      </c>
      <c r="B66" s="50" t="s">
        <v>74</v>
      </c>
      <c r="C66" s="50" t="s">
        <v>74</v>
      </c>
      <c r="D66" s="50" t="s">
        <v>78</v>
      </c>
      <c r="E66" s="50">
        <v>6258484.0</v>
      </c>
      <c r="F66" s="50" t="s">
        <v>853</v>
      </c>
      <c r="G66" s="50" t="s">
        <v>852</v>
      </c>
      <c r="H66" s="90" t="s">
        <v>793</v>
      </c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</row>
    <row r="67" ht="40.5" customHeight="1">
      <c r="A67" s="42" t="s">
        <v>73</v>
      </c>
      <c r="B67" s="50" t="s">
        <v>74</v>
      </c>
      <c r="C67" s="50" t="s">
        <v>74</v>
      </c>
      <c r="D67" s="50" t="s">
        <v>79</v>
      </c>
      <c r="E67" s="50">
        <v>9631895.0</v>
      </c>
      <c r="F67" s="50" t="s">
        <v>854</v>
      </c>
      <c r="G67" s="50" t="s">
        <v>79</v>
      </c>
      <c r="H67" s="90" t="s">
        <v>793</v>
      </c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</row>
    <row r="68" ht="40.5" customHeight="1">
      <c r="A68" s="42" t="s">
        <v>73</v>
      </c>
      <c r="B68" s="50" t="s">
        <v>74</v>
      </c>
      <c r="C68" s="50" t="s">
        <v>74</v>
      </c>
      <c r="D68" s="50" t="s">
        <v>80</v>
      </c>
      <c r="E68" s="50">
        <v>7721439.0</v>
      </c>
      <c r="F68" s="50" t="s">
        <v>855</v>
      </c>
      <c r="G68" s="50" t="s">
        <v>80</v>
      </c>
      <c r="H68" s="90" t="s">
        <v>793</v>
      </c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</row>
    <row r="69" ht="40.5" customHeight="1">
      <c r="A69" s="42" t="s">
        <v>73</v>
      </c>
      <c r="B69" s="50" t="s">
        <v>74</v>
      </c>
      <c r="C69" s="50" t="s">
        <v>74</v>
      </c>
      <c r="D69" s="50" t="s">
        <v>81</v>
      </c>
      <c r="E69" s="50">
        <v>2079720.0</v>
      </c>
      <c r="F69" s="50" t="s">
        <v>846</v>
      </c>
      <c r="G69" s="50" t="s">
        <v>81</v>
      </c>
      <c r="H69" s="90" t="s">
        <v>793</v>
      </c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</row>
    <row r="70" ht="40.5" customHeight="1">
      <c r="A70" s="42" t="s">
        <v>73</v>
      </c>
      <c r="B70" s="50" t="s">
        <v>74</v>
      </c>
      <c r="C70" s="50" t="s">
        <v>74</v>
      </c>
      <c r="D70" s="50" t="s">
        <v>81</v>
      </c>
      <c r="E70" s="50">
        <v>9222340.0</v>
      </c>
      <c r="F70" s="50" t="s">
        <v>856</v>
      </c>
      <c r="G70" s="50" t="s">
        <v>81</v>
      </c>
      <c r="H70" s="90" t="s">
        <v>793</v>
      </c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</row>
    <row r="71" ht="40.5" customHeight="1">
      <c r="A71" s="42" t="s">
        <v>73</v>
      </c>
      <c r="B71" s="50" t="s">
        <v>74</v>
      </c>
      <c r="C71" s="50" t="s">
        <v>74</v>
      </c>
      <c r="D71" s="50" t="s">
        <v>81</v>
      </c>
      <c r="E71" s="50">
        <v>6258484.0</v>
      </c>
      <c r="F71" s="50" t="s">
        <v>853</v>
      </c>
      <c r="G71" s="50" t="s">
        <v>81</v>
      </c>
      <c r="H71" s="90" t="s">
        <v>793</v>
      </c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</row>
    <row r="72" ht="40.5" customHeight="1">
      <c r="A72" s="42" t="s">
        <v>73</v>
      </c>
      <c r="B72" s="50" t="s">
        <v>74</v>
      </c>
      <c r="C72" s="50" t="s">
        <v>74</v>
      </c>
      <c r="D72" s="50" t="s">
        <v>82</v>
      </c>
      <c r="E72" s="50">
        <v>3054527.0</v>
      </c>
      <c r="F72" s="50" t="s">
        <v>857</v>
      </c>
      <c r="G72" s="50" t="s">
        <v>82</v>
      </c>
      <c r="H72" s="90" t="s">
        <v>793</v>
      </c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</row>
    <row r="73" ht="40.5" customHeight="1">
      <c r="A73" s="42" t="s">
        <v>73</v>
      </c>
      <c r="B73" s="50" t="s">
        <v>74</v>
      </c>
      <c r="C73" s="50" t="s">
        <v>74</v>
      </c>
      <c r="D73" s="50" t="s">
        <v>83</v>
      </c>
      <c r="E73" s="50">
        <v>3240290.0</v>
      </c>
      <c r="F73" s="50" t="s">
        <v>858</v>
      </c>
      <c r="G73" s="50" t="s">
        <v>83</v>
      </c>
      <c r="H73" s="90" t="s">
        <v>793</v>
      </c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</row>
    <row r="74" ht="40.5" customHeight="1">
      <c r="A74" s="42" t="s">
        <v>100</v>
      </c>
      <c r="B74" s="42" t="s">
        <v>84</v>
      </c>
      <c r="C74" s="50" t="s">
        <v>85</v>
      </c>
      <c r="D74" s="50" t="s">
        <v>86</v>
      </c>
      <c r="E74" s="50">
        <v>2077434.0</v>
      </c>
      <c r="F74" s="50" t="s">
        <v>859</v>
      </c>
      <c r="G74" s="50" t="s">
        <v>97</v>
      </c>
      <c r="H74" s="90" t="s">
        <v>793</v>
      </c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</row>
    <row r="75" ht="40.5" customHeight="1">
      <c r="A75" s="42" t="s">
        <v>100</v>
      </c>
      <c r="B75" s="42" t="s">
        <v>84</v>
      </c>
      <c r="C75" s="50" t="s">
        <v>85</v>
      </c>
      <c r="D75" s="50" t="s">
        <v>87</v>
      </c>
      <c r="E75" s="50">
        <v>2077434.0</v>
      </c>
      <c r="F75" s="50" t="s">
        <v>859</v>
      </c>
      <c r="G75" s="50" t="s">
        <v>97</v>
      </c>
      <c r="H75" s="90" t="s">
        <v>793</v>
      </c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</row>
    <row r="76" ht="40.5" customHeight="1">
      <c r="A76" s="42" t="s">
        <v>100</v>
      </c>
      <c r="B76" s="42" t="s">
        <v>84</v>
      </c>
      <c r="C76" s="50" t="s">
        <v>85</v>
      </c>
      <c r="D76" s="50" t="s">
        <v>860</v>
      </c>
      <c r="E76" s="50">
        <v>2077434.0</v>
      </c>
      <c r="F76" s="50" t="s">
        <v>859</v>
      </c>
      <c r="G76" s="50" t="s">
        <v>97</v>
      </c>
      <c r="H76" s="90" t="s">
        <v>793</v>
      </c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</row>
    <row r="77" ht="40.5" customHeight="1">
      <c r="A77" s="42" t="s">
        <v>100</v>
      </c>
      <c r="B77" s="42" t="s">
        <v>84</v>
      </c>
      <c r="C77" s="50" t="s">
        <v>85</v>
      </c>
      <c r="D77" s="50" t="s">
        <v>89</v>
      </c>
      <c r="E77" s="50">
        <v>2077434.0</v>
      </c>
      <c r="F77" s="50" t="s">
        <v>859</v>
      </c>
      <c r="G77" s="50" t="s">
        <v>97</v>
      </c>
      <c r="H77" s="90" t="s">
        <v>793</v>
      </c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</row>
    <row r="78" ht="40.5" customHeight="1">
      <c r="A78" s="42" t="s">
        <v>100</v>
      </c>
      <c r="B78" s="42" t="s">
        <v>84</v>
      </c>
      <c r="C78" s="50" t="s">
        <v>85</v>
      </c>
      <c r="D78" s="50" t="s">
        <v>90</v>
      </c>
      <c r="E78" s="50">
        <v>2077434.0</v>
      </c>
      <c r="F78" s="50" t="s">
        <v>859</v>
      </c>
      <c r="G78" s="50" t="s">
        <v>97</v>
      </c>
      <c r="H78" s="90" t="s">
        <v>793</v>
      </c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</row>
    <row r="79" ht="40.5" customHeight="1">
      <c r="A79" s="42" t="s">
        <v>100</v>
      </c>
      <c r="B79" s="42" t="s">
        <v>84</v>
      </c>
      <c r="C79" s="50" t="s">
        <v>85</v>
      </c>
      <c r="D79" s="50" t="s">
        <v>91</v>
      </c>
      <c r="E79" s="50">
        <v>2077434.0</v>
      </c>
      <c r="F79" s="50" t="s">
        <v>859</v>
      </c>
      <c r="G79" s="50" t="s">
        <v>97</v>
      </c>
      <c r="H79" s="90" t="s">
        <v>793</v>
      </c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</row>
    <row r="80" ht="40.5" customHeight="1">
      <c r="A80" s="42" t="s">
        <v>100</v>
      </c>
      <c r="B80" s="42" t="s">
        <v>84</v>
      </c>
      <c r="C80" s="50" t="s">
        <v>85</v>
      </c>
      <c r="D80" s="50" t="s">
        <v>92</v>
      </c>
      <c r="E80" s="50">
        <v>2077434.0</v>
      </c>
      <c r="F80" s="50" t="s">
        <v>859</v>
      </c>
      <c r="G80" s="50" t="s">
        <v>97</v>
      </c>
      <c r="H80" s="90" t="s">
        <v>793</v>
      </c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</row>
    <row r="81" ht="40.5" customHeight="1">
      <c r="A81" s="42" t="s">
        <v>100</v>
      </c>
      <c r="B81" s="42" t="s">
        <v>84</v>
      </c>
      <c r="C81" s="50" t="s">
        <v>85</v>
      </c>
      <c r="D81" s="50" t="s">
        <v>93</v>
      </c>
      <c r="E81" s="50">
        <v>6258484.0</v>
      </c>
      <c r="F81" s="50" t="s">
        <v>853</v>
      </c>
      <c r="G81" s="50" t="s">
        <v>81</v>
      </c>
      <c r="H81" s="90" t="s">
        <v>793</v>
      </c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</row>
    <row r="82" ht="40.5" customHeight="1">
      <c r="A82" s="42" t="s">
        <v>100</v>
      </c>
      <c r="B82" s="42" t="s">
        <v>84</v>
      </c>
      <c r="C82" s="50" t="s">
        <v>85</v>
      </c>
      <c r="D82" s="50" t="s">
        <v>94</v>
      </c>
      <c r="E82" s="50">
        <v>2077434.0</v>
      </c>
      <c r="F82" s="50" t="s">
        <v>859</v>
      </c>
      <c r="G82" s="50" t="s">
        <v>97</v>
      </c>
      <c r="H82" s="90" t="s">
        <v>793</v>
      </c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</row>
    <row r="83" ht="40.5" customHeight="1">
      <c r="A83" s="42" t="s">
        <v>100</v>
      </c>
      <c r="B83" s="42" t="s">
        <v>84</v>
      </c>
      <c r="C83" s="50" t="s">
        <v>85</v>
      </c>
      <c r="D83" s="50" t="s">
        <v>861</v>
      </c>
      <c r="E83" s="50">
        <v>2077434.0</v>
      </c>
      <c r="F83" s="50" t="s">
        <v>859</v>
      </c>
      <c r="G83" s="50" t="s">
        <v>97</v>
      </c>
      <c r="H83" s="90" t="s">
        <v>793</v>
      </c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</row>
    <row r="84" ht="40.5" customHeight="1">
      <c r="A84" s="42" t="s">
        <v>100</v>
      </c>
      <c r="B84" s="42" t="s">
        <v>84</v>
      </c>
      <c r="C84" s="50" t="s">
        <v>85</v>
      </c>
      <c r="D84" s="50" t="s">
        <v>96</v>
      </c>
      <c r="E84" s="50">
        <v>2077434.0</v>
      </c>
      <c r="F84" s="50" t="s">
        <v>859</v>
      </c>
      <c r="G84" s="50" t="s">
        <v>97</v>
      </c>
      <c r="H84" s="90" t="s">
        <v>793</v>
      </c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</row>
    <row r="85" ht="40.5" customHeight="1">
      <c r="A85" s="42" t="s">
        <v>100</v>
      </c>
      <c r="B85" s="42" t="s">
        <v>84</v>
      </c>
      <c r="C85" s="50" t="s">
        <v>85</v>
      </c>
      <c r="D85" s="50" t="s">
        <v>97</v>
      </c>
      <c r="E85" s="50">
        <v>2077434.0</v>
      </c>
      <c r="F85" s="50" t="s">
        <v>859</v>
      </c>
      <c r="G85" s="50" t="s">
        <v>97</v>
      </c>
      <c r="H85" s="90" t="s">
        <v>793</v>
      </c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</row>
    <row r="86" ht="40.5" customHeight="1">
      <c r="A86" s="42" t="s">
        <v>100</v>
      </c>
      <c r="B86" s="42" t="s">
        <v>84</v>
      </c>
      <c r="C86" s="50" t="s">
        <v>85</v>
      </c>
      <c r="D86" s="50" t="s">
        <v>98</v>
      </c>
      <c r="E86" s="50">
        <v>6258484.0</v>
      </c>
      <c r="F86" s="50" t="s">
        <v>853</v>
      </c>
      <c r="G86" s="50" t="s">
        <v>81</v>
      </c>
      <c r="H86" s="90" t="s">
        <v>793</v>
      </c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</row>
    <row r="87" ht="40.5" customHeight="1">
      <c r="A87" s="42" t="s">
        <v>100</v>
      </c>
      <c r="B87" s="42" t="s">
        <v>84</v>
      </c>
      <c r="C87" s="50" t="s">
        <v>85</v>
      </c>
      <c r="D87" s="50" t="s">
        <v>84</v>
      </c>
      <c r="E87" s="50">
        <v>2077434.0</v>
      </c>
      <c r="F87" s="50" t="s">
        <v>859</v>
      </c>
      <c r="G87" s="50" t="s">
        <v>97</v>
      </c>
      <c r="H87" s="90" t="s">
        <v>793</v>
      </c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</row>
    <row r="88" ht="40.5" customHeight="1">
      <c r="A88" s="42" t="s">
        <v>100</v>
      </c>
      <c r="B88" s="42" t="s">
        <v>84</v>
      </c>
      <c r="C88" s="50" t="s">
        <v>85</v>
      </c>
      <c r="D88" s="50" t="s">
        <v>99</v>
      </c>
      <c r="E88" s="50">
        <v>2077434.0</v>
      </c>
      <c r="F88" s="50" t="s">
        <v>859</v>
      </c>
      <c r="G88" s="50" t="s">
        <v>97</v>
      </c>
      <c r="H88" s="90" t="s">
        <v>793</v>
      </c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</row>
    <row r="89" ht="40.5" customHeight="1">
      <c r="A89" s="90" t="s">
        <v>150</v>
      </c>
      <c r="B89" s="93" t="s">
        <v>151</v>
      </c>
      <c r="C89" s="93" t="s">
        <v>151</v>
      </c>
      <c r="D89" s="93" t="s">
        <v>152</v>
      </c>
      <c r="E89" s="93">
        <v>7637160.0</v>
      </c>
      <c r="F89" s="93" t="s">
        <v>862</v>
      </c>
      <c r="G89" s="93" t="s">
        <v>151</v>
      </c>
      <c r="H89" s="90" t="s">
        <v>793</v>
      </c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</row>
    <row r="90" ht="40.5" customHeight="1">
      <c r="A90" s="90" t="s">
        <v>150</v>
      </c>
      <c r="B90" s="93" t="s">
        <v>151</v>
      </c>
      <c r="C90" s="93" t="s">
        <v>151</v>
      </c>
      <c r="D90" s="93" t="s">
        <v>153</v>
      </c>
      <c r="E90" s="93">
        <v>7637160.0</v>
      </c>
      <c r="F90" s="93" t="s">
        <v>862</v>
      </c>
      <c r="G90" s="93" t="s">
        <v>151</v>
      </c>
      <c r="H90" s="90" t="s">
        <v>793</v>
      </c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</row>
    <row r="91" ht="40.5" customHeight="1">
      <c r="A91" s="90" t="s">
        <v>150</v>
      </c>
      <c r="B91" s="93" t="s">
        <v>151</v>
      </c>
      <c r="C91" s="93" t="s">
        <v>151</v>
      </c>
      <c r="D91" s="93" t="s">
        <v>154</v>
      </c>
      <c r="E91" s="93">
        <v>7637160.0</v>
      </c>
      <c r="F91" s="93" t="s">
        <v>862</v>
      </c>
      <c r="G91" s="93" t="s">
        <v>151</v>
      </c>
      <c r="H91" s="90" t="s">
        <v>793</v>
      </c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</row>
    <row r="92" ht="40.5" customHeight="1">
      <c r="A92" s="90" t="s">
        <v>150</v>
      </c>
      <c r="B92" s="93" t="s">
        <v>151</v>
      </c>
      <c r="C92" s="93" t="s">
        <v>151</v>
      </c>
      <c r="D92" s="93" t="s">
        <v>155</v>
      </c>
      <c r="E92" s="93">
        <v>7637160.0</v>
      </c>
      <c r="F92" s="93" t="s">
        <v>862</v>
      </c>
      <c r="G92" s="93" t="s">
        <v>151</v>
      </c>
      <c r="H92" s="90" t="s">
        <v>793</v>
      </c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</row>
    <row r="93" ht="40.5" customHeight="1">
      <c r="A93" s="90" t="s">
        <v>150</v>
      </c>
      <c r="B93" s="93" t="s">
        <v>151</v>
      </c>
      <c r="C93" s="93" t="s">
        <v>151</v>
      </c>
      <c r="D93" s="93" t="s">
        <v>151</v>
      </c>
      <c r="E93" s="93">
        <v>7637160.0</v>
      </c>
      <c r="F93" s="93" t="s">
        <v>862</v>
      </c>
      <c r="G93" s="93" t="s">
        <v>151</v>
      </c>
      <c r="H93" s="90" t="s">
        <v>793</v>
      </c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</row>
    <row r="94" ht="40.5" customHeight="1">
      <c r="A94" s="90" t="s">
        <v>150</v>
      </c>
      <c r="B94" s="93" t="s">
        <v>151</v>
      </c>
      <c r="C94" s="93" t="s">
        <v>151</v>
      </c>
      <c r="D94" s="93" t="s">
        <v>156</v>
      </c>
      <c r="E94" s="93">
        <v>7637160.0</v>
      </c>
      <c r="F94" s="93" t="s">
        <v>862</v>
      </c>
      <c r="G94" s="93" t="s">
        <v>151</v>
      </c>
      <c r="H94" s="90" t="s">
        <v>793</v>
      </c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</row>
    <row r="95" ht="40.5" customHeight="1">
      <c r="A95" s="90" t="s">
        <v>150</v>
      </c>
      <c r="B95" s="93" t="s">
        <v>151</v>
      </c>
      <c r="C95" s="93" t="s">
        <v>151</v>
      </c>
      <c r="D95" s="93" t="s">
        <v>157</v>
      </c>
      <c r="E95" s="93">
        <v>7637160.0</v>
      </c>
      <c r="F95" s="93" t="s">
        <v>862</v>
      </c>
      <c r="G95" s="93" t="s">
        <v>151</v>
      </c>
      <c r="H95" s="90" t="s">
        <v>793</v>
      </c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</row>
    <row r="96" ht="40.5" customHeight="1">
      <c r="A96" s="90" t="s">
        <v>150</v>
      </c>
      <c r="B96" s="93" t="s">
        <v>151</v>
      </c>
      <c r="C96" s="93" t="s">
        <v>151</v>
      </c>
      <c r="D96" s="93" t="s">
        <v>158</v>
      </c>
      <c r="E96" s="93">
        <v>7637160.0</v>
      </c>
      <c r="F96" s="93" t="s">
        <v>862</v>
      </c>
      <c r="G96" s="93" t="s">
        <v>151</v>
      </c>
      <c r="H96" s="90" t="s">
        <v>793</v>
      </c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</row>
    <row r="97" ht="40.5" customHeight="1">
      <c r="A97" s="90" t="s">
        <v>150</v>
      </c>
      <c r="B97" s="93" t="s">
        <v>151</v>
      </c>
      <c r="C97" s="93" t="s">
        <v>151</v>
      </c>
      <c r="D97" s="93" t="s">
        <v>159</v>
      </c>
      <c r="E97" s="93">
        <v>7637160.0</v>
      </c>
      <c r="F97" s="93" t="s">
        <v>862</v>
      </c>
      <c r="G97" s="93" t="s">
        <v>151</v>
      </c>
      <c r="H97" s="90" t="s">
        <v>793</v>
      </c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</row>
    <row r="98" ht="40.5" customHeight="1">
      <c r="A98" s="90" t="s">
        <v>150</v>
      </c>
      <c r="B98" s="93" t="s">
        <v>151</v>
      </c>
      <c r="C98" s="93" t="s">
        <v>151</v>
      </c>
      <c r="D98" s="93" t="s">
        <v>160</v>
      </c>
      <c r="E98" s="93">
        <v>7637160.0</v>
      </c>
      <c r="F98" s="93" t="s">
        <v>862</v>
      </c>
      <c r="G98" s="93" t="s">
        <v>151</v>
      </c>
      <c r="H98" s="90" t="s">
        <v>793</v>
      </c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</row>
    <row r="99" ht="40.5" customHeight="1">
      <c r="A99" s="90" t="s">
        <v>150</v>
      </c>
      <c r="B99" s="93" t="s">
        <v>151</v>
      </c>
      <c r="C99" s="93" t="s">
        <v>151</v>
      </c>
      <c r="D99" s="93" t="s">
        <v>161</v>
      </c>
      <c r="E99" s="93">
        <v>7637160.0</v>
      </c>
      <c r="F99" s="93" t="s">
        <v>862</v>
      </c>
      <c r="G99" s="93" t="s">
        <v>151</v>
      </c>
      <c r="H99" s="90" t="s">
        <v>793</v>
      </c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</row>
    <row r="100" ht="40.5" customHeight="1">
      <c r="A100" s="90" t="s">
        <v>150</v>
      </c>
      <c r="B100" s="93" t="s">
        <v>151</v>
      </c>
      <c r="C100" s="93" t="s">
        <v>151</v>
      </c>
      <c r="D100" s="93" t="s">
        <v>162</v>
      </c>
      <c r="E100" s="93">
        <v>7637160.0</v>
      </c>
      <c r="F100" s="93" t="s">
        <v>862</v>
      </c>
      <c r="G100" s="93" t="s">
        <v>151</v>
      </c>
      <c r="H100" s="90" t="s">
        <v>793</v>
      </c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</row>
    <row r="101" ht="40.5" customHeight="1">
      <c r="A101" s="90" t="s">
        <v>150</v>
      </c>
      <c r="B101" s="93" t="s">
        <v>151</v>
      </c>
      <c r="C101" s="93" t="s">
        <v>151</v>
      </c>
      <c r="D101" s="93" t="s">
        <v>163</v>
      </c>
      <c r="E101" s="93">
        <v>7637160.0</v>
      </c>
      <c r="F101" s="93" t="s">
        <v>862</v>
      </c>
      <c r="G101" s="93" t="s">
        <v>151</v>
      </c>
      <c r="H101" s="90" t="s">
        <v>793</v>
      </c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</row>
    <row r="102" ht="40.5" customHeight="1">
      <c r="A102" s="90" t="s">
        <v>150</v>
      </c>
      <c r="B102" s="93" t="s">
        <v>151</v>
      </c>
      <c r="C102" s="93" t="s">
        <v>151</v>
      </c>
      <c r="D102" s="93" t="s">
        <v>164</v>
      </c>
      <c r="E102" s="93">
        <v>7637160.0</v>
      </c>
      <c r="F102" s="93" t="s">
        <v>862</v>
      </c>
      <c r="G102" s="93" t="s">
        <v>151</v>
      </c>
      <c r="H102" s="90" t="s">
        <v>793</v>
      </c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</row>
    <row r="103" ht="40.5" customHeight="1">
      <c r="A103" s="90" t="s">
        <v>150</v>
      </c>
      <c r="B103" s="93" t="s">
        <v>151</v>
      </c>
      <c r="C103" s="93" t="s">
        <v>151</v>
      </c>
      <c r="D103" s="93" t="s">
        <v>165</v>
      </c>
      <c r="E103" s="93">
        <v>7637160.0</v>
      </c>
      <c r="F103" s="93" t="s">
        <v>862</v>
      </c>
      <c r="G103" s="93" t="s">
        <v>151</v>
      </c>
      <c r="H103" s="90" t="s">
        <v>793</v>
      </c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</row>
    <row r="104" ht="40.5" customHeight="1">
      <c r="A104" s="90" t="s">
        <v>150</v>
      </c>
      <c r="B104" s="93" t="s">
        <v>151</v>
      </c>
      <c r="C104" s="93" t="s">
        <v>151</v>
      </c>
      <c r="D104" s="93" t="s">
        <v>166</v>
      </c>
      <c r="E104" s="93">
        <v>7637160.0</v>
      </c>
      <c r="F104" s="93" t="s">
        <v>862</v>
      </c>
      <c r="G104" s="93" t="s">
        <v>151</v>
      </c>
      <c r="H104" s="90" t="s">
        <v>793</v>
      </c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</row>
    <row r="105" ht="40.5" customHeight="1">
      <c r="A105" s="90" t="s">
        <v>150</v>
      </c>
      <c r="B105" s="93" t="s">
        <v>151</v>
      </c>
      <c r="C105" s="93" t="s">
        <v>151</v>
      </c>
      <c r="D105" s="93" t="s">
        <v>167</v>
      </c>
      <c r="E105" s="93">
        <v>7637160.0</v>
      </c>
      <c r="F105" s="93" t="s">
        <v>862</v>
      </c>
      <c r="G105" s="93" t="s">
        <v>151</v>
      </c>
      <c r="H105" s="90" t="s">
        <v>793</v>
      </c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</row>
    <row r="106" ht="40.5" customHeight="1">
      <c r="A106" s="90" t="s">
        <v>150</v>
      </c>
      <c r="B106" s="93" t="s">
        <v>151</v>
      </c>
      <c r="C106" s="93" t="s">
        <v>151</v>
      </c>
      <c r="D106" s="93" t="s">
        <v>168</v>
      </c>
      <c r="E106" s="93">
        <v>7637160.0</v>
      </c>
      <c r="F106" s="93" t="s">
        <v>862</v>
      </c>
      <c r="G106" s="93" t="s">
        <v>151</v>
      </c>
      <c r="H106" s="90" t="s">
        <v>793</v>
      </c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</row>
    <row r="107" ht="40.5" customHeight="1">
      <c r="A107" s="90" t="s">
        <v>150</v>
      </c>
      <c r="B107" s="93" t="s">
        <v>151</v>
      </c>
      <c r="C107" s="93" t="s">
        <v>169</v>
      </c>
      <c r="D107" s="93" t="s">
        <v>170</v>
      </c>
      <c r="E107" s="93">
        <v>9113606.0</v>
      </c>
      <c r="F107" s="93" t="s">
        <v>863</v>
      </c>
      <c r="G107" s="93" t="s">
        <v>169</v>
      </c>
      <c r="H107" s="90" t="s">
        <v>793</v>
      </c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</row>
    <row r="108" ht="40.5" customHeight="1">
      <c r="A108" s="90" t="s">
        <v>150</v>
      </c>
      <c r="B108" s="93" t="s">
        <v>151</v>
      </c>
      <c r="C108" s="93" t="s">
        <v>169</v>
      </c>
      <c r="D108" s="93" t="s">
        <v>171</v>
      </c>
      <c r="E108" s="93">
        <v>9113606.0</v>
      </c>
      <c r="F108" s="93" t="s">
        <v>863</v>
      </c>
      <c r="G108" s="93" t="s">
        <v>169</v>
      </c>
      <c r="H108" s="90" t="s">
        <v>793</v>
      </c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</row>
    <row r="109" ht="40.5" customHeight="1">
      <c r="A109" s="90" t="s">
        <v>150</v>
      </c>
      <c r="B109" s="93" t="s">
        <v>151</v>
      </c>
      <c r="C109" s="93" t="s">
        <v>169</v>
      </c>
      <c r="D109" s="93" t="s">
        <v>172</v>
      </c>
      <c r="E109" s="93">
        <v>9113606.0</v>
      </c>
      <c r="F109" s="93" t="s">
        <v>863</v>
      </c>
      <c r="G109" s="93" t="s">
        <v>169</v>
      </c>
      <c r="H109" s="90" t="s">
        <v>793</v>
      </c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</row>
    <row r="110" ht="40.5" customHeight="1">
      <c r="A110" s="90" t="s">
        <v>150</v>
      </c>
      <c r="B110" s="93" t="s">
        <v>151</v>
      </c>
      <c r="C110" s="93" t="s">
        <v>169</v>
      </c>
      <c r="D110" s="93" t="s">
        <v>173</v>
      </c>
      <c r="E110" s="93">
        <v>9113606.0</v>
      </c>
      <c r="F110" s="93" t="s">
        <v>863</v>
      </c>
      <c r="G110" s="93" t="s">
        <v>169</v>
      </c>
      <c r="H110" s="90" t="s">
        <v>793</v>
      </c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</row>
    <row r="111" ht="40.5" customHeight="1">
      <c r="A111" s="90" t="s">
        <v>150</v>
      </c>
      <c r="B111" s="93" t="s">
        <v>151</v>
      </c>
      <c r="C111" s="93" t="s">
        <v>169</v>
      </c>
      <c r="D111" s="93" t="s">
        <v>174</v>
      </c>
      <c r="E111" s="93">
        <v>9113606.0</v>
      </c>
      <c r="F111" s="93" t="s">
        <v>863</v>
      </c>
      <c r="G111" s="93" t="s">
        <v>169</v>
      </c>
      <c r="H111" s="90" t="s">
        <v>793</v>
      </c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</row>
    <row r="112" ht="40.5" customHeight="1">
      <c r="A112" s="90" t="s">
        <v>150</v>
      </c>
      <c r="B112" s="93" t="s">
        <v>151</v>
      </c>
      <c r="C112" s="93" t="s">
        <v>169</v>
      </c>
      <c r="D112" s="93" t="s">
        <v>175</v>
      </c>
      <c r="E112" s="93">
        <v>9113606.0</v>
      </c>
      <c r="F112" s="93" t="s">
        <v>863</v>
      </c>
      <c r="G112" s="93" t="s">
        <v>169</v>
      </c>
      <c r="H112" s="90" t="s">
        <v>793</v>
      </c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</row>
    <row r="113" ht="40.5" customHeight="1">
      <c r="A113" s="90" t="s">
        <v>150</v>
      </c>
      <c r="B113" s="93" t="s">
        <v>151</v>
      </c>
      <c r="C113" s="93" t="s">
        <v>169</v>
      </c>
      <c r="D113" s="93" t="s">
        <v>176</v>
      </c>
      <c r="E113" s="93">
        <v>9113606.0</v>
      </c>
      <c r="F113" s="93" t="s">
        <v>863</v>
      </c>
      <c r="G113" s="93" t="s">
        <v>169</v>
      </c>
      <c r="H113" s="90" t="s">
        <v>793</v>
      </c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</row>
    <row r="114" ht="40.5" customHeight="1">
      <c r="A114" s="90" t="s">
        <v>150</v>
      </c>
      <c r="B114" s="93" t="s">
        <v>151</v>
      </c>
      <c r="C114" s="93" t="s">
        <v>169</v>
      </c>
      <c r="D114" s="93" t="s">
        <v>177</v>
      </c>
      <c r="E114" s="93">
        <v>9113606.0</v>
      </c>
      <c r="F114" s="93" t="s">
        <v>863</v>
      </c>
      <c r="G114" s="93" t="s">
        <v>169</v>
      </c>
      <c r="H114" s="90" t="s">
        <v>793</v>
      </c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</row>
    <row r="115" ht="40.5" customHeight="1">
      <c r="A115" s="90" t="s">
        <v>150</v>
      </c>
      <c r="B115" s="93" t="s">
        <v>151</v>
      </c>
      <c r="C115" s="93" t="s">
        <v>169</v>
      </c>
      <c r="D115" s="93" t="s">
        <v>178</v>
      </c>
      <c r="E115" s="93">
        <v>9113606.0</v>
      </c>
      <c r="F115" s="93" t="s">
        <v>863</v>
      </c>
      <c r="G115" s="93" t="s">
        <v>169</v>
      </c>
      <c r="H115" s="90" t="s">
        <v>793</v>
      </c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</row>
    <row r="116" ht="40.5" customHeight="1">
      <c r="A116" s="90" t="s">
        <v>150</v>
      </c>
      <c r="B116" s="93" t="s">
        <v>151</v>
      </c>
      <c r="C116" s="93" t="s">
        <v>169</v>
      </c>
      <c r="D116" s="93" t="s">
        <v>169</v>
      </c>
      <c r="E116" s="93">
        <v>9113606.0</v>
      </c>
      <c r="F116" s="93" t="s">
        <v>863</v>
      </c>
      <c r="G116" s="93" t="s">
        <v>169</v>
      </c>
      <c r="H116" s="90" t="s">
        <v>793</v>
      </c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</row>
    <row r="117" ht="40.5" customHeight="1">
      <c r="A117" s="90" t="s">
        <v>150</v>
      </c>
      <c r="B117" s="93" t="s">
        <v>151</v>
      </c>
      <c r="C117" s="93" t="s">
        <v>169</v>
      </c>
      <c r="D117" s="93" t="s">
        <v>179</v>
      </c>
      <c r="E117" s="93">
        <v>9113606.0</v>
      </c>
      <c r="F117" s="93" t="s">
        <v>863</v>
      </c>
      <c r="G117" s="93" t="s">
        <v>169</v>
      </c>
      <c r="H117" s="90" t="s">
        <v>793</v>
      </c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</row>
    <row r="118" ht="40.5" customHeight="1">
      <c r="A118" s="90" t="s">
        <v>150</v>
      </c>
      <c r="B118" s="93" t="s">
        <v>151</v>
      </c>
      <c r="C118" s="93" t="s">
        <v>169</v>
      </c>
      <c r="D118" s="93" t="s">
        <v>180</v>
      </c>
      <c r="E118" s="93">
        <v>9113606.0</v>
      </c>
      <c r="F118" s="93" t="s">
        <v>863</v>
      </c>
      <c r="G118" s="93" t="s">
        <v>169</v>
      </c>
      <c r="H118" s="90" t="s">
        <v>793</v>
      </c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</row>
    <row r="119" ht="40.5" customHeight="1">
      <c r="A119" s="90" t="s">
        <v>150</v>
      </c>
      <c r="B119" s="93" t="s">
        <v>151</v>
      </c>
      <c r="C119" s="93" t="s">
        <v>181</v>
      </c>
      <c r="D119" s="93" t="s">
        <v>182</v>
      </c>
      <c r="E119" s="93">
        <v>2039613.0</v>
      </c>
      <c r="F119" s="93" t="s">
        <v>864</v>
      </c>
      <c r="G119" s="93" t="s">
        <v>181</v>
      </c>
      <c r="H119" s="90" t="s">
        <v>793</v>
      </c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</row>
    <row r="120" ht="40.5" customHeight="1">
      <c r="A120" s="90" t="s">
        <v>150</v>
      </c>
      <c r="B120" s="93" t="s">
        <v>151</v>
      </c>
      <c r="C120" s="93" t="s">
        <v>181</v>
      </c>
      <c r="D120" s="93" t="s">
        <v>183</v>
      </c>
      <c r="E120" s="93">
        <v>2039613.0</v>
      </c>
      <c r="F120" s="93" t="s">
        <v>864</v>
      </c>
      <c r="G120" s="93" t="s">
        <v>181</v>
      </c>
      <c r="H120" s="90" t="s">
        <v>793</v>
      </c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</row>
    <row r="121" ht="40.5" customHeight="1">
      <c r="A121" s="90" t="s">
        <v>150</v>
      </c>
      <c r="B121" s="93" t="s">
        <v>151</v>
      </c>
      <c r="C121" s="93" t="s">
        <v>181</v>
      </c>
      <c r="D121" s="93" t="s">
        <v>184</v>
      </c>
      <c r="E121" s="93">
        <v>2039613.0</v>
      </c>
      <c r="F121" s="93" t="s">
        <v>864</v>
      </c>
      <c r="G121" s="93" t="s">
        <v>181</v>
      </c>
      <c r="H121" s="90" t="s">
        <v>793</v>
      </c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</row>
    <row r="122" ht="40.5" customHeight="1">
      <c r="A122" s="90" t="s">
        <v>150</v>
      </c>
      <c r="B122" s="93" t="s">
        <v>151</v>
      </c>
      <c r="C122" s="93" t="s">
        <v>181</v>
      </c>
      <c r="D122" s="93" t="s">
        <v>181</v>
      </c>
      <c r="E122" s="93">
        <v>2039613.0</v>
      </c>
      <c r="F122" s="93" t="s">
        <v>864</v>
      </c>
      <c r="G122" s="93" t="s">
        <v>181</v>
      </c>
      <c r="H122" s="90" t="s">
        <v>793</v>
      </c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</row>
    <row r="123" ht="40.5" customHeight="1">
      <c r="A123" s="90" t="s">
        <v>150</v>
      </c>
      <c r="B123" s="93" t="s">
        <v>151</v>
      </c>
      <c r="C123" s="93" t="s">
        <v>181</v>
      </c>
      <c r="D123" s="93" t="s">
        <v>185</v>
      </c>
      <c r="E123" s="93">
        <v>2039613.0</v>
      </c>
      <c r="F123" s="93" t="s">
        <v>864</v>
      </c>
      <c r="G123" s="93" t="s">
        <v>181</v>
      </c>
      <c r="H123" s="90" t="s">
        <v>793</v>
      </c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</row>
    <row r="124" ht="40.5" customHeight="1">
      <c r="A124" s="90" t="s">
        <v>150</v>
      </c>
      <c r="B124" s="93" t="s">
        <v>151</v>
      </c>
      <c r="C124" s="93" t="s">
        <v>181</v>
      </c>
      <c r="D124" s="93" t="s">
        <v>186</v>
      </c>
      <c r="E124" s="93">
        <v>2039613.0</v>
      </c>
      <c r="F124" s="93" t="s">
        <v>864</v>
      </c>
      <c r="G124" s="93" t="s">
        <v>181</v>
      </c>
      <c r="H124" s="90" t="s">
        <v>793</v>
      </c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</row>
    <row r="125" ht="40.5" customHeight="1">
      <c r="A125" s="90" t="s">
        <v>150</v>
      </c>
      <c r="B125" s="93" t="s">
        <v>151</v>
      </c>
      <c r="C125" s="93" t="s">
        <v>181</v>
      </c>
      <c r="D125" s="93" t="s">
        <v>187</v>
      </c>
      <c r="E125" s="93">
        <v>2039613.0</v>
      </c>
      <c r="F125" s="93" t="s">
        <v>864</v>
      </c>
      <c r="G125" s="93" t="s">
        <v>181</v>
      </c>
      <c r="H125" s="90" t="s">
        <v>793</v>
      </c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</row>
    <row r="126" ht="40.5" customHeight="1">
      <c r="A126" s="90" t="s">
        <v>150</v>
      </c>
      <c r="B126" s="93" t="s">
        <v>151</v>
      </c>
      <c r="C126" s="93" t="s">
        <v>181</v>
      </c>
      <c r="D126" s="93" t="s">
        <v>188</v>
      </c>
      <c r="E126" s="93">
        <v>2039613.0</v>
      </c>
      <c r="F126" s="93" t="s">
        <v>864</v>
      </c>
      <c r="G126" s="93" t="s">
        <v>181</v>
      </c>
      <c r="H126" s="90" t="s">
        <v>793</v>
      </c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</row>
    <row r="127" ht="40.5" customHeight="1">
      <c r="A127" s="90" t="s">
        <v>150</v>
      </c>
      <c r="B127" s="93" t="s">
        <v>151</v>
      </c>
      <c r="C127" s="93" t="s">
        <v>189</v>
      </c>
      <c r="D127" s="93" t="s">
        <v>190</v>
      </c>
      <c r="E127" s="93">
        <v>2748223.0</v>
      </c>
      <c r="F127" s="93" t="s">
        <v>865</v>
      </c>
      <c r="G127" s="93" t="s">
        <v>193</v>
      </c>
      <c r="H127" s="90" t="s">
        <v>793</v>
      </c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</row>
    <row r="128" ht="40.5" customHeight="1">
      <c r="A128" s="90" t="s">
        <v>150</v>
      </c>
      <c r="B128" s="93" t="s">
        <v>151</v>
      </c>
      <c r="C128" s="93" t="s">
        <v>189</v>
      </c>
      <c r="D128" s="93" t="s">
        <v>191</v>
      </c>
      <c r="E128" s="93">
        <v>2748223.0</v>
      </c>
      <c r="F128" s="93" t="s">
        <v>865</v>
      </c>
      <c r="G128" s="93" t="s">
        <v>193</v>
      </c>
      <c r="H128" s="90" t="s">
        <v>793</v>
      </c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</row>
    <row r="129" ht="40.5" customHeight="1">
      <c r="A129" s="90" t="s">
        <v>150</v>
      </c>
      <c r="B129" s="93" t="s">
        <v>151</v>
      </c>
      <c r="C129" s="93" t="s">
        <v>189</v>
      </c>
      <c r="D129" s="93" t="s">
        <v>192</v>
      </c>
      <c r="E129" s="93">
        <v>2748223.0</v>
      </c>
      <c r="F129" s="93" t="s">
        <v>865</v>
      </c>
      <c r="G129" s="93" t="s">
        <v>193</v>
      </c>
      <c r="H129" s="90" t="s">
        <v>793</v>
      </c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</row>
    <row r="130" ht="40.5" customHeight="1">
      <c r="A130" s="90" t="s">
        <v>150</v>
      </c>
      <c r="B130" s="93" t="s">
        <v>151</v>
      </c>
      <c r="C130" s="93" t="s">
        <v>189</v>
      </c>
      <c r="D130" s="93" t="s">
        <v>193</v>
      </c>
      <c r="E130" s="93">
        <v>2748223.0</v>
      </c>
      <c r="F130" s="93" t="s">
        <v>865</v>
      </c>
      <c r="G130" s="93" t="s">
        <v>193</v>
      </c>
      <c r="H130" s="90" t="s">
        <v>793</v>
      </c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</row>
    <row r="131" ht="40.5" customHeight="1">
      <c r="A131" s="90" t="s">
        <v>150</v>
      </c>
      <c r="B131" s="93" t="s">
        <v>151</v>
      </c>
      <c r="C131" s="93" t="s">
        <v>189</v>
      </c>
      <c r="D131" s="93" t="s">
        <v>194</v>
      </c>
      <c r="E131" s="93">
        <v>2748223.0</v>
      </c>
      <c r="F131" s="93" t="s">
        <v>865</v>
      </c>
      <c r="G131" s="93" t="s">
        <v>193</v>
      </c>
      <c r="H131" s="90" t="s">
        <v>793</v>
      </c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</row>
    <row r="132" ht="40.5" customHeight="1">
      <c r="A132" s="90" t="s">
        <v>150</v>
      </c>
      <c r="B132" s="93" t="s">
        <v>151</v>
      </c>
      <c r="C132" s="93" t="s">
        <v>189</v>
      </c>
      <c r="D132" s="93" t="s">
        <v>195</v>
      </c>
      <c r="E132" s="93">
        <v>2748223.0</v>
      </c>
      <c r="F132" s="93" t="s">
        <v>865</v>
      </c>
      <c r="G132" s="93" t="s">
        <v>193</v>
      </c>
      <c r="H132" s="90" t="s">
        <v>793</v>
      </c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</row>
    <row r="133" ht="40.5" customHeight="1">
      <c r="A133" s="90" t="s">
        <v>150</v>
      </c>
      <c r="B133" s="93" t="s">
        <v>151</v>
      </c>
      <c r="C133" s="93" t="s">
        <v>189</v>
      </c>
      <c r="D133" s="93" t="s">
        <v>196</v>
      </c>
      <c r="E133" s="93">
        <v>2748223.0</v>
      </c>
      <c r="F133" s="93" t="s">
        <v>865</v>
      </c>
      <c r="G133" s="93" t="s">
        <v>193</v>
      </c>
      <c r="H133" s="90" t="s">
        <v>793</v>
      </c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</row>
    <row r="134" ht="40.5" customHeight="1">
      <c r="A134" s="90" t="s">
        <v>150</v>
      </c>
      <c r="B134" s="93" t="s">
        <v>151</v>
      </c>
      <c r="C134" s="93" t="s">
        <v>189</v>
      </c>
      <c r="D134" s="93" t="s">
        <v>197</v>
      </c>
      <c r="E134" s="93">
        <v>2748223.0</v>
      </c>
      <c r="F134" s="93" t="s">
        <v>865</v>
      </c>
      <c r="G134" s="93" t="s">
        <v>193</v>
      </c>
      <c r="H134" s="90" t="s">
        <v>793</v>
      </c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</row>
    <row r="135" ht="40.5" customHeight="1">
      <c r="A135" s="90" t="s">
        <v>150</v>
      </c>
      <c r="B135" s="93" t="s">
        <v>151</v>
      </c>
      <c r="C135" s="93" t="s">
        <v>189</v>
      </c>
      <c r="D135" s="93" t="s">
        <v>198</v>
      </c>
      <c r="E135" s="93">
        <v>2748223.0</v>
      </c>
      <c r="F135" s="93" t="s">
        <v>865</v>
      </c>
      <c r="G135" s="93" t="s">
        <v>193</v>
      </c>
      <c r="H135" s="90" t="s">
        <v>793</v>
      </c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</row>
    <row r="136" ht="40.5" customHeight="1">
      <c r="A136" s="90" t="s">
        <v>150</v>
      </c>
      <c r="B136" s="93" t="s">
        <v>151</v>
      </c>
      <c r="C136" s="93" t="s">
        <v>189</v>
      </c>
      <c r="D136" s="93" t="s">
        <v>199</v>
      </c>
      <c r="E136" s="93">
        <v>2748223.0</v>
      </c>
      <c r="F136" s="93" t="s">
        <v>865</v>
      </c>
      <c r="G136" s="93" t="s">
        <v>193</v>
      </c>
      <c r="H136" s="90" t="s">
        <v>793</v>
      </c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</row>
    <row r="137" ht="40.5" customHeight="1">
      <c r="A137" s="90" t="s">
        <v>150</v>
      </c>
      <c r="B137" s="93" t="s">
        <v>151</v>
      </c>
      <c r="C137" s="93" t="s">
        <v>189</v>
      </c>
      <c r="D137" s="93" t="s">
        <v>200</v>
      </c>
      <c r="E137" s="93">
        <v>2748223.0</v>
      </c>
      <c r="F137" s="93" t="s">
        <v>865</v>
      </c>
      <c r="G137" s="93" t="s">
        <v>193</v>
      </c>
      <c r="H137" s="90" t="s">
        <v>793</v>
      </c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</row>
    <row r="138" ht="40.5" customHeight="1">
      <c r="A138" s="90" t="s">
        <v>150</v>
      </c>
      <c r="B138" s="93" t="s">
        <v>151</v>
      </c>
      <c r="C138" s="93" t="s">
        <v>189</v>
      </c>
      <c r="D138" s="93" t="s">
        <v>201</v>
      </c>
      <c r="E138" s="93">
        <v>2748223.0</v>
      </c>
      <c r="F138" s="93" t="s">
        <v>865</v>
      </c>
      <c r="G138" s="93" t="s">
        <v>193</v>
      </c>
      <c r="H138" s="90" t="s">
        <v>793</v>
      </c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</row>
    <row r="139" ht="40.5" customHeight="1">
      <c r="A139" s="90" t="s">
        <v>150</v>
      </c>
      <c r="B139" s="93" t="s">
        <v>151</v>
      </c>
      <c r="C139" s="93" t="s">
        <v>189</v>
      </c>
      <c r="D139" s="93" t="s">
        <v>202</v>
      </c>
      <c r="E139" s="93">
        <v>2748223.0</v>
      </c>
      <c r="F139" s="93" t="s">
        <v>865</v>
      </c>
      <c r="G139" s="93" t="s">
        <v>193</v>
      </c>
      <c r="H139" s="90" t="s">
        <v>793</v>
      </c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</row>
    <row r="140" ht="40.5" customHeight="1">
      <c r="A140" s="90" t="s">
        <v>150</v>
      </c>
      <c r="B140" s="93" t="s">
        <v>151</v>
      </c>
      <c r="C140" s="93" t="s">
        <v>203</v>
      </c>
      <c r="D140" s="93" t="s">
        <v>204</v>
      </c>
      <c r="E140" s="93" t="s">
        <v>866</v>
      </c>
      <c r="F140" s="93" t="s">
        <v>865</v>
      </c>
      <c r="G140" s="93" t="s">
        <v>867</v>
      </c>
      <c r="H140" s="90" t="s">
        <v>793</v>
      </c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</row>
    <row r="141" ht="40.5" customHeight="1">
      <c r="A141" s="90" t="s">
        <v>150</v>
      </c>
      <c r="B141" s="93" t="s">
        <v>151</v>
      </c>
      <c r="C141" s="93" t="s">
        <v>203</v>
      </c>
      <c r="D141" s="93" t="s">
        <v>204</v>
      </c>
      <c r="E141" s="93">
        <v>2831503.0</v>
      </c>
      <c r="F141" s="93" t="s">
        <v>868</v>
      </c>
      <c r="G141" s="93" t="s">
        <v>867</v>
      </c>
      <c r="H141" s="90" t="s">
        <v>793</v>
      </c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</row>
    <row r="142" ht="40.5" customHeight="1">
      <c r="A142" s="90" t="s">
        <v>150</v>
      </c>
      <c r="B142" s="93" t="s">
        <v>151</v>
      </c>
      <c r="C142" s="93" t="s">
        <v>203</v>
      </c>
      <c r="D142" s="93" t="s">
        <v>205</v>
      </c>
      <c r="E142" s="93" t="s">
        <v>866</v>
      </c>
      <c r="F142" s="93" t="s">
        <v>865</v>
      </c>
      <c r="G142" s="93" t="s">
        <v>867</v>
      </c>
      <c r="H142" s="90" t="s">
        <v>793</v>
      </c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</row>
    <row r="143" ht="40.5" customHeight="1">
      <c r="A143" s="90" t="s">
        <v>150</v>
      </c>
      <c r="B143" s="93" t="s">
        <v>151</v>
      </c>
      <c r="C143" s="93" t="s">
        <v>203</v>
      </c>
      <c r="D143" s="93" t="s">
        <v>205</v>
      </c>
      <c r="E143" s="93">
        <v>2831503.0</v>
      </c>
      <c r="F143" s="93" t="s">
        <v>868</v>
      </c>
      <c r="G143" s="93" t="s">
        <v>867</v>
      </c>
      <c r="H143" s="90" t="s">
        <v>793</v>
      </c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</row>
    <row r="144" ht="40.5" customHeight="1">
      <c r="A144" s="90" t="s">
        <v>150</v>
      </c>
      <c r="B144" s="93" t="s">
        <v>151</v>
      </c>
      <c r="C144" s="93" t="s">
        <v>203</v>
      </c>
      <c r="D144" s="93" t="s">
        <v>206</v>
      </c>
      <c r="E144" s="93" t="s">
        <v>866</v>
      </c>
      <c r="F144" s="93" t="s">
        <v>865</v>
      </c>
      <c r="G144" s="93" t="s">
        <v>867</v>
      </c>
      <c r="H144" s="90" t="s">
        <v>793</v>
      </c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</row>
    <row r="145" ht="40.5" customHeight="1">
      <c r="A145" s="90" t="s">
        <v>150</v>
      </c>
      <c r="B145" s="93" t="s">
        <v>151</v>
      </c>
      <c r="C145" s="93" t="s">
        <v>203</v>
      </c>
      <c r="D145" s="93" t="s">
        <v>206</v>
      </c>
      <c r="E145" s="93">
        <v>2831503.0</v>
      </c>
      <c r="F145" s="93" t="s">
        <v>868</v>
      </c>
      <c r="G145" s="93" t="s">
        <v>867</v>
      </c>
      <c r="H145" s="90" t="s">
        <v>793</v>
      </c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</row>
    <row r="146" ht="40.5" customHeight="1">
      <c r="A146" s="90" t="s">
        <v>150</v>
      </c>
      <c r="B146" s="93" t="s">
        <v>151</v>
      </c>
      <c r="C146" s="93" t="s">
        <v>203</v>
      </c>
      <c r="D146" s="93" t="s">
        <v>207</v>
      </c>
      <c r="E146" s="93" t="s">
        <v>866</v>
      </c>
      <c r="F146" s="93" t="s">
        <v>865</v>
      </c>
      <c r="G146" s="93" t="s">
        <v>193</v>
      </c>
      <c r="H146" s="90" t="s">
        <v>793</v>
      </c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</row>
    <row r="147" ht="40.5" customHeight="1">
      <c r="A147" s="90" t="s">
        <v>150</v>
      </c>
      <c r="B147" s="93" t="s">
        <v>151</v>
      </c>
      <c r="C147" s="93" t="s">
        <v>203</v>
      </c>
      <c r="D147" s="93" t="s">
        <v>208</v>
      </c>
      <c r="E147" s="93" t="s">
        <v>866</v>
      </c>
      <c r="F147" s="93" t="s">
        <v>865</v>
      </c>
      <c r="G147" s="93" t="s">
        <v>867</v>
      </c>
      <c r="H147" s="90" t="s">
        <v>793</v>
      </c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</row>
    <row r="148" ht="40.5" customHeight="1">
      <c r="A148" s="90" t="s">
        <v>150</v>
      </c>
      <c r="B148" s="93" t="s">
        <v>151</v>
      </c>
      <c r="C148" s="93" t="s">
        <v>203</v>
      </c>
      <c r="D148" s="93" t="s">
        <v>208</v>
      </c>
      <c r="E148" s="93">
        <v>2831503.0</v>
      </c>
      <c r="F148" s="93" t="s">
        <v>868</v>
      </c>
      <c r="G148" s="93" t="s">
        <v>867</v>
      </c>
      <c r="H148" s="90" t="s">
        <v>793</v>
      </c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</row>
    <row r="149" ht="40.5" customHeight="1">
      <c r="A149" s="90" t="s">
        <v>150</v>
      </c>
      <c r="B149" s="93" t="s">
        <v>151</v>
      </c>
      <c r="C149" s="93" t="s">
        <v>203</v>
      </c>
      <c r="D149" s="93" t="s">
        <v>209</v>
      </c>
      <c r="E149" s="93" t="s">
        <v>866</v>
      </c>
      <c r="F149" s="93" t="s">
        <v>865</v>
      </c>
      <c r="G149" s="93" t="s">
        <v>867</v>
      </c>
      <c r="H149" s="90" t="s">
        <v>793</v>
      </c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</row>
    <row r="150" ht="40.5" customHeight="1">
      <c r="A150" s="90" t="s">
        <v>150</v>
      </c>
      <c r="B150" s="93" t="s">
        <v>151</v>
      </c>
      <c r="C150" s="93" t="s">
        <v>203</v>
      </c>
      <c r="D150" s="93" t="s">
        <v>209</v>
      </c>
      <c r="E150" s="93">
        <v>2831503.0</v>
      </c>
      <c r="F150" s="93" t="s">
        <v>868</v>
      </c>
      <c r="G150" s="93" t="s">
        <v>867</v>
      </c>
      <c r="H150" s="90" t="s">
        <v>793</v>
      </c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</row>
    <row r="151" ht="40.5" customHeight="1">
      <c r="A151" s="90" t="s">
        <v>150</v>
      </c>
      <c r="B151" s="93" t="s">
        <v>151</v>
      </c>
      <c r="C151" s="93" t="s">
        <v>203</v>
      </c>
      <c r="D151" s="93" t="s">
        <v>210</v>
      </c>
      <c r="E151" s="93" t="s">
        <v>866</v>
      </c>
      <c r="F151" s="93" t="s">
        <v>865</v>
      </c>
      <c r="G151" s="93" t="s">
        <v>867</v>
      </c>
      <c r="H151" s="90" t="s">
        <v>793</v>
      </c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</row>
    <row r="152" ht="40.5" customHeight="1">
      <c r="A152" s="90" t="s">
        <v>150</v>
      </c>
      <c r="B152" s="93" t="s">
        <v>151</v>
      </c>
      <c r="C152" s="93" t="s">
        <v>203</v>
      </c>
      <c r="D152" s="93" t="s">
        <v>210</v>
      </c>
      <c r="E152" s="93">
        <v>2831503.0</v>
      </c>
      <c r="F152" s="93" t="s">
        <v>868</v>
      </c>
      <c r="G152" s="93" t="s">
        <v>867</v>
      </c>
      <c r="H152" s="90" t="s">
        <v>793</v>
      </c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</row>
    <row r="153" ht="40.5" customHeight="1">
      <c r="A153" s="90" t="s">
        <v>150</v>
      </c>
      <c r="B153" s="93" t="s">
        <v>151</v>
      </c>
      <c r="C153" s="93" t="s">
        <v>203</v>
      </c>
      <c r="D153" s="93" t="s">
        <v>211</v>
      </c>
      <c r="E153" s="93" t="s">
        <v>866</v>
      </c>
      <c r="F153" s="93" t="s">
        <v>865</v>
      </c>
      <c r="G153" s="93" t="s">
        <v>867</v>
      </c>
      <c r="H153" s="90" t="s">
        <v>793</v>
      </c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</row>
    <row r="154" ht="40.5" customHeight="1">
      <c r="A154" s="90" t="s">
        <v>150</v>
      </c>
      <c r="B154" s="93" t="s">
        <v>151</v>
      </c>
      <c r="C154" s="93" t="s">
        <v>203</v>
      </c>
      <c r="D154" s="93" t="s">
        <v>211</v>
      </c>
      <c r="E154" s="93">
        <v>2831503.0</v>
      </c>
      <c r="F154" s="93" t="s">
        <v>868</v>
      </c>
      <c r="G154" s="93" t="s">
        <v>867</v>
      </c>
      <c r="H154" s="90" t="s">
        <v>793</v>
      </c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</row>
    <row r="155" ht="40.5" customHeight="1">
      <c r="A155" s="90" t="s">
        <v>150</v>
      </c>
      <c r="B155" s="93" t="s">
        <v>151</v>
      </c>
      <c r="C155" s="93" t="s">
        <v>203</v>
      </c>
      <c r="D155" s="93" t="s">
        <v>212</v>
      </c>
      <c r="E155" s="93" t="s">
        <v>866</v>
      </c>
      <c r="F155" s="93" t="s">
        <v>865</v>
      </c>
      <c r="G155" s="93" t="s">
        <v>867</v>
      </c>
      <c r="H155" s="90" t="s">
        <v>793</v>
      </c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</row>
    <row r="156" ht="40.5" customHeight="1">
      <c r="A156" s="90" t="s">
        <v>150</v>
      </c>
      <c r="B156" s="93" t="s">
        <v>151</v>
      </c>
      <c r="C156" s="93" t="s">
        <v>203</v>
      </c>
      <c r="D156" s="93" t="s">
        <v>212</v>
      </c>
      <c r="E156" s="93">
        <v>2831503.0</v>
      </c>
      <c r="F156" s="93" t="s">
        <v>868</v>
      </c>
      <c r="G156" s="93" t="s">
        <v>867</v>
      </c>
      <c r="H156" s="90" t="s">
        <v>793</v>
      </c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</row>
    <row r="157" ht="40.5" customHeight="1">
      <c r="A157" s="90" t="s">
        <v>150</v>
      </c>
      <c r="B157" s="93" t="s">
        <v>151</v>
      </c>
      <c r="C157" s="93" t="s">
        <v>203</v>
      </c>
      <c r="D157" s="93" t="s">
        <v>213</v>
      </c>
      <c r="E157" s="93" t="s">
        <v>866</v>
      </c>
      <c r="F157" s="93" t="s">
        <v>865</v>
      </c>
      <c r="G157" s="93" t="s">
        <v>867</v>
      </c>
      <c r="H157" s="90" t="s">
        <v>793</v>
      </c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</row>
    <row r="158" ht="40.5" customHeight="1">
      <c r="A158" s="90" t="s">
        <v>150</v>
      </c>
      <c r="B158" s="93" t="s">
        <v>151</v>
      </c>
      <c r="C158" s="93" t="s">
        <v>203</v>
      </c>
      <c r="D158" s="93" t="s">
        <v>213</v>
      </c>
      <c r="E158" s="93">
        <v>2831503.0</v>
      </c>
      <c r="F158" s="93" t="s">
        <v>868</v>
      </c>
      <c r="G158" s="93" t="s">
        <v>867</v>
      </c>
      <c r="H158" s="90" t="s">
        <v>793</v>
      </c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</row>
    <row r="159" ht="40.5" customHeight="1">
      <c r="A159" s="90" t="s">
        <v>150</v>
      </c>
      <c r="B159" s="93" t="s">
        <v>151</v>
      </c>
      <c r="C159" s="93" t="s">
        <v>203</v>
      </c>
      <c r="D159" s="93" t="s">
        <v>214</v>
      </c>
      <c r="E159" s="93" t="s">
        <v>866</v>
      </c>
      <c r="F159" s="93" t="s">
        <v>865</v>
      </c>
      <c r="G159" s="93" t="s">
        <v>867</v>
      </c>
      <c r="H159" s="90" t="s">
        <v>793</v>
      </c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</row>
    <row r="160" ht="40.5" customHeight="1">
      <c r="A160" s="90" t="s">
        <v>150</v>
      </c>
      <c r="B160" s="93" t="s">
        <v>151</v>
      </c>
      <c r="C160" s="93" t="s">
        <v>203</v>
      </c>
      <c r="D160" s="93" t="s">
        <v>214</v>
      </c>
      <c r="E160" s="93">
        <v>2831503.0</v>
      </c>
      <c r="F160" s="93" t="s">
        <v>868</v>
      </c>
      <c r="G160" s="93" t="s">
        <v>867</v>
      </c>
      <c r="H160" s="90" t="s">
        <v>793</v>
      </c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</row>
    <row r="161" ht="40.5" customHeight="1">
      <c r="A161" s="90" t="s">
        <v>150</v>
      </c>
      <c r="B161" s="93" t="s">
        <v>151</v>
      </c>
      <c r="C161" s="93" t="s">
        <v>203</v>
      </c>
      <c r="D161" s="93" t="s">
        <v>215</v>
      </c>
      <c r="E161" s="93" t="s">
        <v>866</v>
      </c>
      <c r="F161" s="93" t="s">
        <v>865</v>
      </c>
      <c r="G161" s="93" t="s">
        <v>867</v>
      </c>
      <c r="H161" s="90" t="s">
        <v>793</v>
      </c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</row>
    <row r="162" ht="40.5" customHeight="1">
      <c r="A162" s="90" t="s">
        <v>150</v>
      </c>
      <c r="B162" s="93" t="s">
        <v>151</v>
      </c>
      <c r="C162" s="93" t="s">
        <v>203</v>
      </c>
      <c r="D162" s="93" t="s">
        <v>215</v>
      </c>
      <c r="E162" s="93">
        <v>2831503.0</v>
      </c>
      <c r="F162" s="93" t="s">
        <v>868</v>
      </c>
      <c r="G162" s="93" t="s">
        <v>867</v>
      </c>
      <c r="H162" s="90" t="s">
        <v>793</v>
      </c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</row>
    <row r="163" ht="40.5" customHeight="1">
      <c r="A163" s="90" t="s">
        <v>150</v>
      </c>
      <c r="B163" s="93" t="s">
        <v>151</v>
      </c>
      <c r="C163" s="93" t="s">
        <v>203</v>
      </c>
      <c r="D163" s="93" t="s">
        <v>216</v>
      </c>
      <c r="E163" s="93" t="s">
        <v>866</v>
      </c>
      <c r="F163" s="93" t="s">
        <v>865</v>
      </c>
      <c r="G163" s="93" t="s">
        <v>867</v>
      </c>
      <c r="H163" s="90" t="s">
        <v>793</v>
      </c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</row>
    <row r="164" ht="40.5" customHeight="1">
      <c r="A164" s="90" t="s">
        <v>150</v>
      </c>
      <c r="B164" s="93" t="s">
        <v>151</v>
      </c>
      <c r="C164" s="93" t="s">
        <v>203</v>
      </c>
      <c r="D164" s="93" t="s">
        <v>216</v>
      </c>
      <c r="E164" s="93">
        <v>2831503.0</v>
      </c>
      <c r="F164" s="93" t="s">
        <v>868</v>
      </c>
      <c r="G164" s="93" t="s">
        <v>867</v>
      </c>
      <c r="H164" s="90" t="s">
        <v>793</v>
      </c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</row>
    <row r="165" ht="40.5" customHeight="1">
      <c r="A165" s="90" t="s">
        <v>150</v>
      </c>
      <c r="B165" s="93" t="s">
        <v>151</v>
      </c>
      <c r="C165" s="93" t="s">
        <v>203</v>
      </c>
      <c r="D165" s="93" t="s">
        <v>217</v>
      </c>
      <c r="E165" s="93" t="s">
        <v>866</v>
      </c>
      <c r="F165" s="93" t="s">
        <v>865</v>
      </c>
      <c r="G165" s="93" t="s">
        <v>867</v>
      </c>
      <c r="H165" s="90" t="s">
        <v>793</v>
      </c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</row>
    <row r="166" ht="40.5" customHeight="1">
      <c r="A166" s="90" t="s">
        <v>150</v>
      </c>
      <c r="B166" s="93" t="s">
        <v>151</v>
      </c>
      <c r="C166" s="93" t="s">
        <v>203</v>
      </c>
      <c r="D166" s="93" t="s">
        <v>217</v>
      </c>
      <c r="E166" s="93">
        <v>2831503.0</v>
      </c>
      <c r="F166" s="93" t="s">
        <v>868</v>
      </c>
      <c r="G166" s="93" t="s">
        <v>867</v>
      </c>
      <c r="H166" s="90" t="s">
        <v>793</v>
      </c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</row>
    <row r="167" ht="40.5" customHeight="1">
      <c r="A167" s="90" t="s">
        <v>150</v>
      </c>
      <c r="B167" s="93" t="s">
        <v>151</v>
      </c>
      <c r="C167" s="93" t="s">
        <v>203</v>
      </c>
      <c r="D167" s="93" t="s">
        <v>218</v>
      </c>
      <c r="E167" s="93" t="s">
        <v>866</v>
      </c>
      <c r="F167" s="93" t="s">
        <v>865</v>
      </c>
      <c r="G167" s="93" t="s">
        <v>867</v>
      </c>
      <c r="H167" s="90" t="s">
        <v>793</v>
      </c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</row>
    <row r="168" ht="40.5" customHeight="1">
      <c r="A168" s="90" t="s">
        <v>150</v>
      </c>
      <c r="B168" s="93" t="s">
        <v>151</v>
      </c>
      <c r="C168" s="93" t="s">
        <v>203</v>
      </c>
      <c r="D168" s="93" t="s">
        <v>218</v>
      </c>
      <c r="E168" s="93">
        <v>2831503.0</v>
      </c>
      <c r="F168" s="93" t="s">
        <v>868</v>
      </c>
      <c r="G168" s="93" t="s">
        <v>867</v>
      </c>
      <c r="H168" s="90" t="s">
        <v>793</v>
      </c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</row>
    <row r="169" ht="40.5" customHeight="1">
      <c r="A169" s="90" t="s">
        <v>150</v>
      </c>
      <c r="B169" s="93" t="s">
        <v>151</v>
      </c>
      <c r="C169" s="93" t="s">
        <v>203</v>
      </c>
      <c r="D169" s="93" t="s">
        <v>219</v>
      </c>
      <c r="E169" s="93" t="s">
        <v>866</v>
      </c>
      <c r="F169" s="93" t="s">
        <v>865</v>
      </c>
      <c r="G169" s="93" t="s">
        <v>867</v>
      </c>
      <c r="H169" s="90" t="s">
        <v>793</v>
      </c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</row>
    <row r="170" ht="40.5" customHeight="1">
      <c r="A170" s="90" t="s">
        <v>150</v>
      </c>
      <c r="B170" s="93" t="s">
        <v>151</v>
      </c>
      <c r="C170" s="93" t="s">
        <v>203</v>
      </c>
      <c r="D170" s="93" t="s">
        <v>219</v>
      </c>
      <c r="E170" s="93">
        <v>2831503.0</v>
      </c>
      <c r="F170" s="93" t="s">
        <v>868</v>
      </c>
      <c r="G170" s="93" t="s">
        <v>867</v>
      </c>
      <c r="H170" s="90" t="s">
        <v>793</v>
      </c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</row>
    <row r="171" ht="40.5" customHeight="1">
      <c r="A171" s="90" t="s">
        <v>150</v>
      </c>
      <c r="B171" s="93" t="s">
        <v>151</v>
      </c>
      <c r="C171" s="93" t="s">
        <v>203</v>
      </c>
      <c r="D171" s="93" t="s">
        <v>220</v>
      </c>
      <c r="E171" s="93" t="s">
        <v>866</v>
      </c>
      <c r="F171" s="93" t="s">
        <v>865</v>
      </c>
      <c r="G171" s="93" t="s">
        <v>867</v>
      </c>
      <c r="H171" s="90" t="s">
        <v>793</v>
      </c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</row>
    <row r="172" ht="40.5" customHeight="1">
      <c r="A172" s="90" t="s">
        <v>150</v>
      </c>
      <c r="B172" s="93" t="s">
        <v>151</v>
      </c>
      <c r="C172" s="93" t="s">
        <v>203</v>
      </c>
      <c r="D172" s="93" t="s">
        <v>220</v>
      </c>
      <c r="E172" s="93">
        <v>2831503.0</v>
      </c>
      <c r="F172" s="93" t="s">
        <v>868</v>
      </c>
      <c r="G172" s="93" t="s">
        <v>867</v>
      </c>
      <c r="H172" s="90" t="s">
        <v>793</v>
      </c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</row>
    <row r="173" ht="40.5" customHeight="1">
      <c r="A173" s="90" t="s">
        <v>221</v>
      </c>
      <c r="B173" s="93" t="s">
        <v>222</v>
      </c>
      <c r="C173" s="93" t="s">
        <v>223</v>
      </c>
      <c r="D173" s="93" t="s">
        <v>223</v>
      </c>
      <c r="E173" s="93">
        <v>2025507.0</v>
      </c>
      <c r="F173" s="93" t="s">
        <v>869</v>
      </c>
      <c r="G173" s="93" t="s">
        <v>222</v>
      </c>
      <c r="H173" s="90" t="s">
        <v>793</v>
      </c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</row>
    <row r="174" ht="40.5" customHeight="1">
      <c r="A174" s="90" t="s">
        <v>221</v>
      </c>
      <c r="B174" s="93" t="s">
        <v>222</v>
      </c>
      <c r="C174" s="93" t="s">
        <v>223</v>
      </c>
      <c r="D174" s="93" t="s">
        <v>224</v>
      </c>
      <c r="E174" s="93">
        <v>2025507.0</v>
      </c>
      <c r="F174" s="93" t="s">
        <v>869</v>
      </c>
      <c r="G174" s="93" t="s">
        <v>222</v>
      </c>
      <c r="H174" s="90" t="s">
        <v>793</v>
      </c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</row>
    <row r="175" ht="40.5" customHeight="1">
      <c r="A175" s="90" t="s">
        <v>221</v>
      </c>
      <c r="B175" s="93" t="s">
        <v>222</v>
      </c>
      <c r="C175" s="93" t="s">
        <v>223</v>
      </c>
      <c r="D175" s="93" t="s">
        <v>225</v>
      </c>
      <c r="E175" s="93">
        <v>2025507.0</v>
      </c>
      <c r="F175" s="93" t="s">
        <v>869</v>
      </c>
      <c r="G175" s="93" t="s">
        <v>222</v>
      </c>
      <c r="H175" s="90" t="s">
        <v>793</v>
      </c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</row>
    <row r="176" ht="40.5" customHeight="1">
      <c r="A176" s="90" t="s">
        <v>221</v>
      </c>
      <c r="B176" s="93" t="s">
        <v>222</v>
      </c>
      <c r="C176" s="93" t="s">
        <v>223</v>
      </c>
      <c r="D176" s="93" t="s">
        <v>226</v>
      </c>
      <c r="E176" s="93">
        <v>2025507.0</v>
      </c>
      <c r="F176" s="93" t="s">
        <v>869</v>
      </c>
      <c r="G176" s="93" t="s">
        <v>222</v>
      </c>
      <c r="H176" s="90" t="s">
        <v>793</v>
      </c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</row>
    <row r="177" ht="40.5" customHeight="1">
      <c r="A177" s="90" t="s">
        <v>221</v>
      </c>
      <c r="B177" s="93" t="s">
        <v>222</v>
      </c>
      <c r="C177" s="93" t="s">
        <v>223</v>
      </c>
      <c r="D177" s="93" t="s">
        <v>227</v>
      </c>
      <c r="E177" s="93">
        <v>2025507.0</v>
      </c>
      <c r="F177" s="93" t="s">
        <v>869</v>
      </c>
      <c r="G177" s="93" t="s">
        <v>222</v>
      </c>
      <c r="H177" s="90" t="s">
        <v>793</v>
      </c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</row>
    <row r="178" ht="40.5" customHeight="1">
      <c r="A178" s="90" t="s">
        <v>221</v>
      </c>
      <c r="B178" s="93" t="s">
        <v>222</v>
      </c>
      <c r="C178" s="93" t="s">
        <v>223</v>
      </c>
      <c r="D178" s="93" t="s">
        <v>228</v>
      </c>
      <c r="E178" s="93">
        <v>2025507.0</v>
      </c>
      <c r="F178" s="93" t="s">
        <v>869</v>
      </c>
      <c r="G178" s="93" t="s">
        <v>222</v>
      </c>
      <c r="H178" s="90" t="s">
        <v>793</v>
      </c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</row>
    <row r="179" ht="40.5" customHeight="1">
      <c r="A179" s="90" t="s">
        <v>221</v>
      </c>
      <c r="B179" s="93" t="s">
        <v>222</v>
      </c>
      <c r="C179" s="93" t="s">
        <v>223</v>
      </c>
      <c r="D179" s="93" t="s">
        <v>229</v>
      </c>
      <c r="E179" s="93">
        <v>2025507.0</v>
      </c>
      <c r="F179" s="93" t="s">
        <v>869</v>
      </c>
      <c r="G179" s="93" t="s">
        <v>222</v>
      </c>
      <c r="H179" s="90" t="s">
        <v>793</v>
      </c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</row>
    <row r="180" ht="40.5" customHeight="1">
      <c r="A180" s="90" t="s">
        <v>221</v>
      </c>
      <c r="B180" s="93" t="s">
        <v>222</v>
      </c>
      <c r="C180" s="93" t="s">
        <v>223</v>
      </c>
      <c r="D180" s="93" t="s">
        <v>230</v>
      </c>
      <c r="E180" s="93">
        <v>2025507.0</v>
      </c>
      <c r="F180" s="93" t="s">
        <v>869</v>
      </c>
      <c r="G180" s="93" t="s">
        <v>222</v>
      </c>
      <c r="H180" s="90" t="s">
        <v>793</v>
      </c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</row>
    <row r="181" ht="40.5" customHeight="1">
      <c r="A181" s="90" t="s">
        <v>221</v>
      </c>
      <c r="B181" s="93" t="s">
        <v>222</v>
      </c>
      <c r="C181" s="93" t="s">
        <v>223</v>
      </c>
      <c r="D181" s="93" t="s">
        <v>231</v>
      </c>
      <c r="E181" s="93">
        <v>2025507.0</v>
      </c>
      <c r="F181" s="93" t="s">
        <v>869</v>
      </c>
      <c r="G181" s="93" t="s">
        <v>222</v>
      </c>
      <c r="H181" s="90" t="s">
        <v>793</v>
      </c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</row>
    <row r="182" ht="40.5" customHeight="1">
      <c r="A182" s="90" t="s">
        <v>221</v>
      </c>
      <c r="B182" s="93" t="s">
        <v>222</v>
      </c>
      <c r="C182" s="93" t="s">
        <v>223</v>
      </c>
      <c r="D182" s="93" t="s">
        <v>232</v>
      </c>
      <c r="E182" s="93">
        <v>2025507.0</v>
      </c>
      <c r="F182" s="93" t="s">
        <v>869</v>
      </c>
      <c r="G182" s="93" t="s">
        <v>222</v>
      </c>
      <c r="H182" s="90" t="s">
        <v>793</v>
      </c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</row>
    <row r="183" ht="40.5" customHeight="1">
      <c r="A183" s="90" t="s">
        <v>221</v>
      </c>
      <c r="B183" s="93" t="s">
        <v>222</v>
      </c>
      <c r="C183" s="93" t="s">
        <v>233</v>
      </c>
      <c r="D183" s="93" t="s">
        <v>233</v>
      </c>
      <c r="E183" s="93">
        <v>2083094.0</v>
      </c>
      <c r="F183" s="93" t="s">
        <v>870</v>
      </c>
      <c r="G183" s="93" t="s">
        <v>233</v>
      </c>
      <c r="H183" s="90" t="s">
        <v>793</v>
      </c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</row>
    <row r="184" ht="40.5" customHeight="1">
      <c r="A184" s="90" t="s">
        <v>221</v>
      </c>
      <c r="B184" s="93" t="s">
        <v>222</v>
      </c>
      <c r="C184" s="93" t="s">
        <v>233</v>
      </c>
      <c r="D184" s="93" t="s">
        <v>234</v>
      </c>
      <c r="E184" s="93">
        <v>2083094.0</v>
      </c>
      <c r="F184" s="93" t="s">
        <v>870</v>
      </c>
      <c r="G184" s="93" t="s">
        <v>233</v>
      </c>
      <c r="H184" s="90" t="s">
        <v>793</v>
      </c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</row>
    <row r="185" ht="40.5" customHeight="1">
      <c r="A185" s="90" t="s">
        <v>221</v>
      </c>
      <c r="B185" s="93" t="s">
        <v>222</v>
      </c>
      <c r="C185" s="93" t="s">
        <v>233</v>
      </c>
      <c r="D185" s="93" t="s">
        <v>235</v>
      </c>
      <c r="E185" s="93">
        <v>2083094.0</v>
      </c>
      <c r="F185" s="93" t="s">
        <v>870</v>
      </c>
      <c r="G185" s="93" t="s">
        <v>233</v>
      </c>
      <c r="H185" s="90" t="s">
        <v>793</v>
      </c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</row>
    <row r="186" ht="40.5" customHeight="1">
      <c r="A186" s="90" t="s">
        <v>221</v>
      </c>
      <c r="B186" s="93" t="s">
        <v>222</v>
      </c>
      <c r="C186" s="93" t="s">
        <v>233</v>
      </c>
      <c r="D186" s="93" t="s">
        <v>236</v>
      </c>
      <c r="E186" s="93">
        <v>2083094.0</v>
      </c>
      <c r="F186" s="93" t="s">
        <v>870</v>
      </c>
      <c r="G186" s="93" t="s">
        <v>233</v>
      </c>
      <c r="H186" s="90" t="s">
        <v>793</v>
      </c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</row>
    <row r="187" ht="40.5" customHeight="1">
      <c r="A187" s="90" t="s">
        <v>221</v>
      </c>
      <c r="B187" s="93" t="s">
        <v>222</v>
      </c>
      <c r="C187" s="93" t="s">
        <v>233</v>
      </c>
      <c r="D187" s="93" t="s">
        <v>237</v>
      </c>
      <c r="E187" s="93">
        <v>2083094.0</v>
      </c>
      <c r="F187" s="93" t="s">
        <v>870</v>
      </c>
      <c r="G187" s="93" t="s">
        <v>233</v>
      </c>
      <c r="H187" s="90" t="s">
        <v>793</v>
      </c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</row>
    <row r="188" ht="40.5" customHeight="1">
      <c r="A188" s="90" t="s">
        <v>221</v>
      </c>
      <c r="B188" s="93" t="s">
        <v>222</v>
      </c>
      <c r="C188" s="93" t="s">
        <v>233</v>
      </c>
      <c r="D188" s="93" t="s">
        <v>238</v>
      </c>
      <c r="E188" s="93">
        <v>2083094.0</v>
      </c>
      <c r="F188" s="93" t="s">
        <v>870</v>
      </c>
      <c r="G188" s="93" t="s">
        <v>233</v>
      </c>
      <c r="H188" s="90" t="s">
        <v>793</v>
      </c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</row>
    <row r="189" ht="40.5" customHeight="1">
      <c r="A189" s="90" t="s">
        <v>221</v>
      </c>
      <c r="B189" s="93" t="s">
        <v>222</v>
      </c>
      <c r="C189" s="93" t="s">
        <v>233</v>
      </c>
      <c r="D189" s="93" t="s">
        <v>239</v>
      </c>
      <c r="E189" s="93">
        <v>2083094.0</v>
      </c>
      <c r="F189" s="93" t="s">
        <v>870</v>
      </c>
      <c r="G189" s="93" t="s">
        <v>233</v>
      </c>
      <c r="H189" s="90" t="s">
        <v>793</v>
      </c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</row>
    <row r="190" ht="40.5" customHeight="1">
      <c r="A190" s="90" t="s">
        <v>221</v>
      </c>
      <c r="B190" s="93" t="s">
        <v>222</v>
      </c>
      <c r="C190" s="93" t="s">
        <v>233</v>
      </c>
      <c r="D190" s="93" t="s">
        <v>240</v>
      </c>
      <c r="E190" s="93">
        <v>2083094.0</v>
      </c>
      <c r="F190" s="93" t="s">
        <v>870</v>
      </c>
      <c r="G190" s="93" t="s">
        <v>233</v>
      </c>
      <c r="H190" s="90" t="s">
        <v>793</v>
      </c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</row>
    <row r="191" ht="40.5" customHeight="1">
      <c r="A191" s="90" t="s">
        <v>221</v>
      </c>
      <c r="B191" s="93" t="s">
        <v>222</v>
      </c>
      <c r="C191" s="93" t="s">
        <v>233</v>
      </c>
      <c r="D191" s="93" t="s">
        <v>241</v>
      </c>
      <c r="E191" s="93">
        <v>2083094.0</v>
      </c>
      <c r="F191" s="93" t="s">
        <v>870</v>
      </c>
      <c r="G191" s="93" t="s">
        <v>233</v>
      </c>
      <c r="H191" s="90" t="s">
        <v>793</v>
      </c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</row>
    <row r="192" ht="40.5" customHeight="1">
      <c r="A192" s="90" t="s">
        <v>221</v>
      </c>
      <c r="B192" s="93" t="s">
        <v>222</v>
      </c>
      <c r="C192" s="93" t="s">
        <v>233</v>
      </c>
      <c r="D192" s="93" t="s">
        <v>242</v>
      </c>
      <c r="E192" s="93">
        <v>2083094.0</v>
      </c>
      <c r="F192" s="93" t="s">
        <v>870</v>
      </c>
      <c r="G192" s="93" t="s">
        <v>233</v>
      </c>
      <c r="H192" s="90" t="s">
        <v>793</v>
      </c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</row>
    <row r="193" ht="40.5" customHeight="1">
      <c r="A193" s="90" t="s">
        <v>221</v>
      </c>
      <c r="B193" s="93" t="s">
        <v>222</v>
      </c>
      <c r="C193" s="93" t="s">
        <v>233</v>
      </c>
      <c r="D193" s="93" t="s">
        <v>243</v>
      </c>
      <c r="E193" s="93">
        <v>2083094.0</v>
      </c>
      <c r="F193" s="93" t="s">
        <v>870</v>
      </c>
      <c r="G193" s="93" t="s">
        <v>233</v>
      </c>
      <c r="H193" s="90" t="s">
        <v>793</v>
      </c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</row>
    <row r="194" ht="40.5" customHeight="1">
      <c r="A194" s="90" t="s">
        <v>221</v>
      </c>
      <c r="B194" s="93" t="s">
        <v>222</v>
      </c>
      <c r="C194" s="93" t="s">
        <v>233</v>
      </c>
      <c r="D194" s="93" t="s">
        <v>244</v>
      </c>
      <c r="E194" s="93">
        <v>2083094.0</v>
      </c>
      <c r="F194" s="93" t="s">
        <v>870</v>
      </c>
      <c r="G194" s="93" t="s">
        <v>233</v>
      </c>
      <c r="H194" s="90" t="s">
        <v>793</v>
      </c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</row>
    <row r="195" ht="40.5" customHeight="1">
      <c r="A195" s="90" t="s">
        <v>221</v>
      </c>
      <c r="B195" s="93" t="s">
        <v>222</v>
      </c>
      <c r="C195" s="93" t="s">
        <v>222</v>
      </c>
      <c r="D195" s="93" t="s">
        <v>245</v>
      </c>
      <c r="E195" s="93">
        <v>2025507.0</v>
      </c>
      <c r="F195" s="93" t="s">
        <v>869</v>
      </c>
      <c r="G195" s="93" t="s">
        <v>222</v>
      </c>
      <c r="H195" s="90" t="s">
        <v>793</v>
      </c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</row>
    <row r="196" ht="40.5" customHeight="1">
      <c r="A196" s="90" t="s">
        <v>221</v>
      </c>
      <c r="B196" s="93" t="s">
        <v>222</v>
      </c>
      <c r="C196" s="93" t="s">
        <v>222</v>
      </c>
      <c r="D196" s="93" t="s">
        <v>246</v>
      </c>
      <c r="E196" s="93">
        <v>2025507.0</v>
      </c>
      <c r="F196" s="93" t="s">
        <v>869</v>
      </c>
      <c r="G196" s="93" t="s">
        <v>222</v>
      </c>
      <c r="H196" s="90" t="s">
        <v>793</v>
      </c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</row>
    <row r="197" ht="40.5" customHeight="1">
      <c r="A197" s="90" t="s">
        <v>221</v>
      </c>
      <c r="B197" s="93" t="s">
        <v>222</v>
      </c>
      <c r="C197" s="93" t="s">
        <v>222</v>
      </c>
      <c r="D197" s="93" t="s">
        <v>247</v>
      </c>
      <c r="E197" s="93">
        <v>2025507.0</v>
      </c>
      <c r="F197" s="93" t="s">
        <v>869</v>
      </c>
      <c r="G197" s="93" t="s">
        <v>222</v>
      </c>
      <c r="H197" s="90" t="s">
        <v>793</v>
      </c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</row>
    <row r="198" ht="40.5" customHeight="1">
      <c r="A198" s="90" t="s">
        <v>221</v>
      </c>
      <c r="B198" s="93" t="s">
        <v>222</v>
      </c>
      <c r="C198" s="93" t="s">
        <v>222</v>
      </c>
      <c r="D198" s="93" t="s">
        <v>248</v>
      </c>
      <c r="E198" s="93">
        <v>2025507.0</v>
      </c>
      <c r="F198" s="93" t="s">
        <v>869</v>
      </c>
      <c r="G198" s="93" t="s">
        <v>222</v>
      </c>
      <c r="H198" s="90" t="s">
        <v>793</v>
      </c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</row>
    <row r="199" ht="40.5" customHeight="1">
      <c r="A199" s="90" t="s">
        <v>221</v>
      </c>
      <c r="B199" s="93" t="s">
        <v>222</v>
      </c>
      <c r="C199" s="93" t="s">
        <v>222</v>
      </c>
      <c r="D199" s="93" t="s">
        <v>249</v>
      </c>
      <c r="E199" s="93">
        <v>2025507.0</v>
      </c>
      <c r="F199" s="93" t="s">
        <v>869</v>
      </c>
      <c r="G199" s="93" t="s">
        <v>222</v>
      </c>
      <c r="H199" s="90" t="s">
        <v>793</v>
      </c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</row>
    <row r="200" ht="40.5" customHeight="1">
      <c r="A200" s="90" t="s">
        <v>221</v>
      </c>
      <c r="B200" s="93" t="s">
        <v>222</v>
      </c>
      <c r="C200" s="93" t="s">
        <v>222</v>
      </c>
      <c r="D200" s="93" t="s">
        <v>250</v>
      </c>
      <c r="E200" s="93">
        <v>2025507.0</v>
      </c>
      <c r="F200" s="93" t="s">
        <v>869</v>
      </c>
      <c r="G200" s="93" t="s">
        <v>222</v>
      </c>
      <c r="H200" s="90" t="s">
        <v>793</v>
      </c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</row>
    <row r="201" ht="40.5" customHeight="1">
      <c r="A201" s="90" t="s">
        <v>221</v>
      </c>
      <c r="B201" s="93" t="s">
        <v>222</v>
      </c>
      <c r="C201" s="93" t="s">
        <v>222</v>
      </c>
      <c r="D201" s="93" t="s">
        <v>251</v>
      </c>
      <c r="E201" s="93">
        <v>2025507.0</v>
      </c>
      <c r="F201" s="93" t="s">
        <v>869</v>
      </c>
      <c r="G201" s="93" t="s">
        <v>222</v>
      </c>
      <c r="H201" s="90" t="s">
        <v>793</v>
      </c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</row>
    <row r="202" ht="40.5" customHeight="1">
      <c r="A202" s="90" t="s">
        <v>221</v>
      </c>
      <c r="B202" s="93" t="s">
        <v>222</v>
      </c>
      <c r="C202" s="93" t="s">
        <v>222</v>
      </c>
      <c r="D202" s="93" t="s">
        <v>252</v>
      </c>
      <c r="E202" s="93">
        <v>2025507.0</v>
      </c>
      <c r="F202" s="93" t="s">
        <v>869</v>
      </c>
      <c r="G202" s="93" t="s">
        <v>222</v>
      </c>
      <c r="H202" s="90" t="s">
        <v>793</v>
      </c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</row>
    <row r="203" ht="40.5" customHeight="1">
      <c r="A203" s="90" t="s">
        <v>221</v>
      </c>
      <c r="B203" s="93" t="s">
        <v>222</v>
      </c>
      <c r="C203" s="93" t="s">
        <v>222</v>
      </c>
      <c r="D203" s="93" t="s">
        <v>253</v>
      </c>
      <c r="E203" s="93">
        <v>2025507.0</v>
      </c>
      <c r="F203" s="93" t="s">
        <v>869</v>
      </c>
      <c r="G203" s="93" t="s">
        <v>222</v>
      </c>
      <c r="H203" s="90" t="s">
        <v>793</v>
      </c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</row>
    <row r="204" ht="40.5" customHeight="1">
      <c r="A204" s="90" t="s">
        <v>221</v>
      </c>
      <c r="B204" s="93" t="s">
        <v>222</v>
      </c>
      <c r="C204" s="93" t="s">
        <v>222</v>
      </c>
      <c r="D204" s="93" t="s">
        <v>254</v>
      </c>
      <c r="E204" s="93">
        <v>2025507.0</v>
      </c>
      <c r="F204" s="93" t="s">
        <v>869</v>
      </c>
      <c r="G204" s="93" t="s">
        <v>222</v>
      </c>
      <c r="H204" s="90" t="s">
        <v>793</v>
      </c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</row>
    <row r="205" ht="40.5" customHeight="1">
      <c r="A205" s="90" t="s">
        <v>221</v>
      </c>
      <c r="B205" s="93" t="s">
        <v>222</v>
      </c>
      <c r="C205" s="93" t="s">
        <v>222</v>
      </c>
      <c r="D205" s="93" t="s">
        <v>255</v>
      </c>
      <c r="E205" s="93">
        <v>2025507.0</v>
      </c>
      <c r="F205" s="93" t="s">
        <v>869</v>
      </c>
      <c r="G205" s="93" t="s">
        <v>222</v>
      </c>
      <c r="H205" s="90" t="s">
        <v>793</v>
      </c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</row>
    <row r="206" ht="40.5" customHeight="1">
      <c r="A206" s="90" t="s">
        <v>221</v>
      </c>
      <c r="B206" s="93" t="s">
        <v>222</v>
      </c>
      <c r="C206" s="93" t="s">
        <v>222</v>
      </c>
      <c r="D206" s="93" t="s">
        <v>222</v>
      </c>
      <c r="E206" s="93">
        <v>2025507.0</v>
      </c>
      <c r="F206" s="93" t="s">
        <v>869</v>
      </c>
      <c r="G206" s="93" t="s">
        <v>222</v>
      </c>
      <c r="H206" s="90" t="s">
        <v>793</v>
      </c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</row>
    <row r="207" ht="40.5" customHeight="1">
      <c r="A207" s="90" t="s">
        <v>221</v>
      </c>
      <c r="B207" s="93" t="s">
        <v>222</v>
      </c>
      <c r="C207" s="93" t="s">
        <v>222</v>
      </c>
      <c r="D207" s="93" t="s">
        <v>256</v>
      </c>
      <c r="E207" s="93">
        <v>2025507.0</v>
      </c>
      <c r="F207" s="93" t="s">
        <v>869</v>
      </c>
      <c r="G207" s="93" t="s">
        <v>222</v>
      </c>
      <c r="H207" s="90" t="s">
        <v>793</v>
      </c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</row>
    <row r="208" ht="40.5" customHeight="1">
      <c r="A208" s="90" t="s">
        <v>221</v>
      </c>
      <c r="B208" s="93" t="s">
        <v>222</v>
      </c>
      <c r="C208" s="93" t="s">
        <v>222</v>
      </c>
      <c r="D208" s="93" t="s">
        <v>257</v>
      </c>
      <c r="E208" s="93">
        <v>2025507.0</v>
      </c>
      <c r="F208" s="93" t="s">
        <v>869</v>
      </c>
      <c r="G208" s="93" t="s">
        <v>222</v>
      </c>
      <c r="H208" s="90" t="s">
        <v>793</v>
      </c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</row>
    <row r="209" ht="40.5" customHeight="1">
      <c r="A209" s="90" t="s">
        <v>221</v>
      </c>
      <c r="B209" s="93" t="s">
        <v>222</v>
      </c>
      <c r="C209" s="93" t="s">
        <v>222</v>
      </c>
      <c r="D209" s="93" t="s">
        <v>258</v>
      </c>
      <c r="E209" s="93">
        <v>2025507.0</v>
      </c>
      <c r="F209" s="93" t="s">
        <v>869</v>
      </c>
      <c r="G209" s="93" t="s">
        <v>222</v>
      </c>
      <c r="H209" s="90" t="s">
        <v>793</v>
      </c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</row>
    <row r="210" ht="40.5" customHeight="1">
      <c r="A210" s="90" t="s">
        <v>221</v>
      </c>
      <c r="B210" s="93" t="s">
        <v>222</v>
      </c>
      <c r="C210" s="93" t="s">
        <v>222</v>
      </c>
      <c r="D210" s="93" t="s">
        <v>259</v>
      </c>
      <c r="E210" s="93">
        <v>2025507.0</v>
      </c>
      <c r="F210" s="93" t="s">
        <v>869</v>
      </c>
      <c r="G210" s="93" t="s">
        <v>222</v>
      </c>
      <c r="H210" s="90" t="s">
        <v>793</v>
      </c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</row>
    <row r="211" ht="40.5" customHeight="1">
      <c r="A211" s="90" t="s">
        <v>221</v>
      </c>
      <c r="B211" s="93" t="s">
        <v>222</v>
      </c>
      <c r="C211" s="93" t="s">
        <v>222</v>
      </c>
      <c r="D211" s="93" t="s">
        <v>260</v>
      </c>
      <c r="E211" s="93">
        <v>2025507.0</v>
      </c>
      <c r="F211" s="93" t="s">
        <v>869</v>
      </c>
      <c r="G211" s="93" t="s">
        <v>222</v>
      </c>
      <c r="H211" s="90" t="s">
        <v>793</v>
      </c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</row>
    <row r="212" ht="40.5" customHeight="1">
      <c r="A212" s="90" t="s">
        <v>221</v>
      </c>
      <c r="B212" s="93" t="s">
        <v>222</v>
      </c>
      <c r="C212" s="93" t="s">
        <v>222</v>
      </c>
      <c r="D212" s="93" t="s">
        <v>261</v>
      </c>
      <c r="E212" s="93">
        <v>2025507.0</v>
      </c>
      <c r="F212" s="93" t="s">
        <v>869</v>
      </c>
      <c r="G212" s="93" t="s">
        <v>222</v>
      </c>
      <c r="H212" s="90" t="s">
        <v>793</v>
      </c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</row>
    <row r="213" ht="40.5" customHeight="1">
      <c r="A213" s="90" t="s">
        <v>221</v>
      </c>
      <c r="B213" s="93" t="s">
        <v>222</v>
      </c>
      <c r="C213" s="93" t="s">
        <v>222</v>
      </c>
      <c r="D213" s="93" t="s">
        <v>262</v>
      </c>
      <c r="E213" s="93">
        <v>2025507.0</v>
      </c>
      <c r="F213" s="93" t="s">
        <v>869</v>
      </c>
      <c r="G213" s="93" t="s">
        <v>222</v>
      </c>
      <c r="H213" s="90" t="s">
        <v>793</v>
      </c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</row>
    <row r="214" ht="40.5" customHeight="1">
      <c r="A214" s="90" t="s">
        <v>221</v>
      </c>
      <c r="B214" s="93" t="s">
        <v>222</v>
      </c>
      <c r="C214" s="93" t="s">
        <v>263</v>
      </c>
      <c r="D214" s="93" t="s">
        <v>264</v>
      </c>
      <c r="E214" s="93">
        <v>2083094.0</v>
      </c>
      <c r="F214" s="93" t="s">
        <v>870</v>
      </c>
      <c r="G214" s="93" t="s">
        <v>233</v>
      </c>
      <c r="H214" s="90" t="s">
        <v>793</v>
      </c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</row>
    <row r="215" ht="40.5" customHeight="1">
      <c r="A215" s="90" t="s">
        <v>221</v>
      </c>
      <c r="B215" s="93" t="s">
        <v>222</v>
      </c>
      <c r="C215" s="93" t="s">
        <v>263</v>
      </c>
      <c r="D215" s="93" t="s">
        <v>265</v>
      </c>
      <c r="E215" s="93">
        <v>2083094.0</v>
      </c>
      <c r="F215" s="93" t="s">
        <v>870</v>
      </c>
      <c r="G215" s="93" t="s">
        <v>233</v>
      </c>
      <c r="H215" s="90" t="s">
        <v>793</v>
      </c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</row>
    <row r="216" ht="40.5" customHeight="1">
      <c r="A216" s="90" t="s">
        <v>221</v>
      </c>
      <c r="B216" s="93" t="s">
        <v>222</v>
      </c>
      <c r="C216" s="93" t="s">
        <v>263</v>
      </c>
      <c r="D216" s="93" t="s">
        <v>266</v>
      </c>
      <c r="E216" s="93">
        <v>2083094.0</v>
      </c>
      <c r="F216" s="93" t="s">
        <v>870</v>
      </c>
      <c r="G216" s="93" t="s">
        <v>233</v>
      </c>
      <c r="H216" s="90" t="s">
        <v>793</v>
      </c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</row>
    <row r="217" ht="40.5" customHeight="1">
      <c r="A217" s="90" t="s">
        <v>221</v>
      </c>
      <c r="B217" s="93" t="s">
        <v>222</v>
      </c>
      <c r="C217" s="93" t="s">
        <v>263</v>
      </c>
      <c r="D217" s="93" t="s">
        <v>267</v>
      </c>
      <c r="E217" s="93">
        <v>2083094.0</v>
      </c>
      <c r="F217" s="93" t="s">
        <v>870</v>
      </c>
      <c r="G217" s="93" t="s">
        <v>233</v>
      </c>
      <c r="H217" s="90" t="s">
        <v>793</v>
      </c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</row>
    <row r="218" ht="40.5" customHeight="1">
      <c r="A218" s="90" t="s">
        <v>221</v>
      </c>
      <c r="B218" s="93" t="s">
        <v>222</v>
      </c>
      <c r="C218" s="93" t="s">
        <v>263</v>
      </c>
      <c r="D218" s="93" t="s">
        <v>268</v>
      </c>
      <c r="E218" s="93">
        <v>2083094.0</v>
      </c>
      <c r="F218" s="93" t="s">
        <v>870</v>
      </c>
      <c r="G218" s="93" t="s">
        <v>233</v>
      </c>
      <c r="H218" s="90" t="s">
        <v>793</v>
      </c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</row>
    <row r="219" ht="40.5" customHeight="1">
      <c r="A219" s="90" t="s">
        <v>221</v>
      </c>
      <c r="B219" s="93" t="s">
        <v>222</v>
      </c>
      <c r="C219" s="93" t="s">
        <v>263</v>
      </c>
      <c r="D219" s="93" t="s">
        <v>269</v>
      </c>
      <c r="E219" s="93">
        <v>2083094.0</v>
      </c>
      <c r="F219" s="93" t="s">
        <v>870</v>
      </c>
      <c r="G219" s="93" t="s">
        <v>233</v>
      </c>
      <c r="H219" s="90" t="s">
        <v>793</v>
      </c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</row>
    <row r="220" ht="40.5" customHeight="1">
      <c r="A220" s="90" t="s">
        <v>221</v>
      </c>
      <c r="B220" s="93" t="s">
        <v>222</v>
      </c>
      <c r="C220" s="93" t="s">
        <v>263</v>
      </c>
      <c r="D220" s="93" t="s">
        <v>270</v>
      </c>
      <c r="E220" s="93">
        <v>2083094.0</v>
      </c>
      <c r="F220" s="93" t="s">
        <v>870</v>
      </c>
      <c r="G220" s="93" t="s">
        <v>233</v>
      </c>
      <c r="H220" s="90" t="s">
        <v>793</v>
      </c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</row>
    <row r="221" ht="40.5" customHeight="1">
      <c r="A221" s="90" t="s">
        <v>221</v>
      </c>
      <c r="B221" s="93" t="s">
        <v>222</v>
      </c>
      <c r="C221" s="93" t="s">
        <v>263</v>
      </c>
      <c r="D221" s="93" t="s">
        <v>263</v>
      </c>
      <c r="E221" s="93">
        <v>2083094.0</v>
      </c>
      <c r="F221" s="93" t="s">
        <v>870</v>
      </c>
      <c r="G221" s="93" t="s">
        <v>233</v>
      </c>
      <c r="H221" s="90" t="s">
        <v>793</v>
      </c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</row>
    <row r="222" ht="40.5" customHeight="1">
      <c r="A222" s="90" t="s">
        <v>221</v>
      </c>
      <c r="B222" s="93" t="s">
        <v>222</v>
      </c>
      <c r="C222" s="93" t="s">
        <v>263</v>
      </c>
      <c r="D222" s="93" t="s">
        <v>271</v>
      </c>
      <c r="E222" s="93">
        <v>2083094.0</v>
      </c>
      <c r="F222" s="93" t="s">
        <v>870</v>
      </c>
      <c r="G222" s="93" t="s">
        <v>233</v>
      </c>
      <c r="H222" s="90" t="s">
        <v>793</v>
      </c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</row>
    <row r="223" ht="40.5" customHeight="1">
      <c r="A223" s="90" t="s">
        <v>221</v>
      </c>
      <c r="B223" s="93" t="s">
        <v>222</v>
      </c>
      <c r="C223" s="93" t="s">
        <v>263</v>
      </c>
      <c r="D223" s="93" t="s">
        <v>272</v>
      </c>
      <c r="E223" s="93">
        <v>2083094.0</v>
      </c>
      <c r="F223" s="93" t="s">
        <v>870</v>
      </c>
      <c r="G223" s="93" t="s">
        <v>233</v>
      </c>
      <c r="H223" s="90" t="s">
        <v>793</v>
      </c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</row>
    <row r="224" ht="40.5" customHeight="1">
      <c r="A224" s="90" t="s">
        <v>221</v>
      </c>
      <c r="B224" s="93" t="s">
        <v>222</v>
      </c>
      <c r="C224" s="93" t="s">
        <v>263</v>
      </c>
      <c r="D224" s="93" t="s">
        <v>273</v>
      </c>
      <c r="E224" s="93">
        <v>2083094.0</v>
      </c>
      <c r="F224" s="93" t="s">
        <v>870</v>
      </c>
      <c r="G224" s="93" t="s">
        <v>233</v>
      </c>
      <c r="H224" s="90" t="s">
        <v>793</v>
      </c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</row>
    <row r="225" ht="40.5" customHeight="1">
      <c r="A225" s="90" t="s">
        <v>221</v>
      </c>
      <c r="B225" s="93" t="s">
        <v>222</v>
      </c>
      <c r="C225" s="93" t="s">
        <v>263</v>
      </c>
      <c r="D225" s="93" t="s">
        <v>274</v>
      </c>
      <c r="E225" s="93">
        <v>2083094.0</v>
      </c>
      <c r="F225" s="93" t="s">
        <v>870</v>
      </c>
      <c r="G225" s="93" t="s">
        <v>233</v>
      </c>
      <c r="H225" s="90" t="s">
        <v>793</v>
      </c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</row>
    <row r="226" ht="40.5" customHeight="1">
      <c r="A226" s="90" t="s">
        <v>221</v>
      </c>
      <c r="B226" s="93" t="s">
        <v>222</v>
      </c>
      <c r="C226" s="93" t="s">
        <v>263</v>
      </c>
      <c r="D226" s="93" t="s">
        <v>275</v>
      </c>
      <c r="E226" s="93">
        <v>2083094.0</v>
      </c>
      <c r="F226" s="93" t="s">
        <v>870</v>
      </c>
      <c r="G226" s="93" t="s">
        <v>233</v>
      </c>
      <c r="H226" s="90" t="s">
        <v>793</v>
      </c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</row>
    <row r="227" ht="40.5" customHeight="1">
      <c r="A227" s="90" t="s">
        <v>221</v>
      </c>
      <c r="B227" s="93" t="s">
        <v>222</v>
      </c>
      <c r="C227" s="93" t="s">
        <v>276</v>
      </c>
      <c r="D227" s="93" t="s">
        <v>277</v>
      </c>
      <c r="E227" s="93">
        <v>2025507.0</v>
      </c>
      <c r="F227" s="93" t="s">
        <v>869</v>
      </c>
      <c r="G227" s="93" t="s">
        <v>222</v>
      </c>
      <c r="H227" s="90" t="s">
        <v>793</v>
      </c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</row>
    <row r="228" ht="40.5" customHeight="1">
      <c r="A228" s="90" t="s">
        <v>221</v>
      </c>
      <c r="B228" s="93" t="s">
        <v>222</v>
      </c>
      <c r="C228" s="93" t="s">
        <v>276</v>
      </c>
      <c r="D228" s="93" t="s">
        <v>278</v>
      </c>
      <c r="E228" s="93">
        <v>2025507.0</v>
      </c>
      <c r="F228" s="93" t="s">
        <v>869</v>
      </c>
      <c r="G228" s="93" t="s">
        <v>222</v>
      </c>
      <c r="H228" s="90" t="s">
        <v>793</v>
      </c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</row>
    <row r="229" ht="40.5" customHeight="1">
      <c r="A229" s="90" t="s">
        <v>221</v>
      </c>
      <c r="B229" s="93" t="s">
        <v>222</v>
      </c>
      <c r="C229" s="93" t="s">
        <v>276</v>
      </c>
      <c r="D229" s="93" t="s">
        <v>279</v>
      </c>
      <c r="E229" s="93">
        <v>2025507.0</v>
      </c>
      <c r="F229" s="93" t="s">
        <v>869</v>
      </c>
      <c r="G229" s="93" t="s">
        <v>222</v>
      </c>
      <c r="H229" s="90" t="s">
        <v>793</v>
      </c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</row>
    <row r="230" ht="40.5" customHeight="1">
      <c r="A230" s="90" t="s">
        <v>221</v>
      </c>
      <c r="B230" s="93" t="s">
        <v>222</v>
      </c>
      <c r="C230" s="93" t="s">
        <v>276</v>
      </c>
      <c r="D230" s="93" t="s">
        <v>280</v>
      </c>
      <c r="E230" s="93">
        <v>2025507.0</v>
      </c>
      <c r="F230" s="93" t="s">
        <v>869</v>
      </c>
      <c r="G230" s="93" t="s">
        <v>222</v>
      </c>
      <c r="H230" s="90" t="s">
        <v>793</v>
      </c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</row>
    <row r="231" ht="40.5" customHeight="1">
      <c r="A231" s="90" t="s">
        <v>221</v>
      </c>
      <c r="B231" s="93" t="s">
        <v>222</v>
      </c>
      <c r="C231" s="93" t="s">
        <v>276</v>
      </c>
      <c r="D231" s="93" t="s">
        <v>281</v>
      </c>
      <c r="E231" s="93">
        <v>2025507.0</v>
      </c>
      <c r="F231" s="93" t="s">
        <v>869</v>
      </c>
      <c r="G231" s="93" t="s">
        <v>222</v>
      </c>
      <c r="H231" s="90" t="s">
        <v>793</v>
      </c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</row>
    <row r="232" ht="40.5" customHeight="1">
      <c r="A232" s="90" t="s">
        <v>221</v>
      </c>
      <c r="B232" s="93" t="s">
        <v>222</v>
      </c>
      <c r="C232" s="93" t="s">
        <v>276</v>
      </c>
      <c r="D232" s="93" t="s">
        <v>282</v>
      </c>
      <c r="E232" s="93">
        <v>2025507.0</v>
      </c>
      <c r="F232" s="93" t="s">
        <v>869</v>
      </c>
      <c r="G232" s="93" t="s">
        <v>222</v>
      </c>
      <c r="H232" s="90" t="s">
        <v>793</v>
      </c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</row>
    <row r="233" ht="40.5" customHeight="1">
      <c r="A233" s="90" t="s">
        <v>221</v>
      </c>
      <c r="B233" s="93" t="s">
        <v>222</v>
      </c>
      <c r="C233" s="93" t="s">
        <v>276</v>
      </c>
      <c r="D233" s="93" t="s">
        <v>283</v>
      </c>
      <c r="E233" s="93">
        <v>2025507.0</v>
      </c>
      <c r="F233" s="93" t="s">
        <v>869</v>
      </c>
      <c r="G233" s="93" t="s">
        <v>222</v>
      </c>
      <c r="H233" s="90" t="s">
        <v>793</v>
      </c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</row>
    <row r="234" ht="40.5" customHeight="1">
      <c r="A234" s="90" t="s">
        <v>221</v>
      </c>
      <c r="B234" s="93" t="s">
        <v>222</v>
      </c>
      <c r="C234" s="93" t="s">
        <v>276</v>
      </c>
      <c r="D234" s="93" t="s">
        <v>276</v>
      </c>
      <c r="E234" s="93">
        <v>2025507.0</v>
      </c>
      <c r="F234" s="93" t="s">
        <v>869</v>
      </c>
      <c r="G234" s="93" t="s">
        <v>222</v>
      </c>
      <c r="H234" s="90" t="s">
        <v>793</v>
      </c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</row>
    <row r="235" ht="40.5" customHeight="1">
      <c r="A235" s="90" t="s">
        <v>284</v>
      </c>
      <c r="B235" s="42" t="s">
        <v>285</v>
      </c>
      <c r="C235" s="42" t="s">
        <v>286</v>
      </c>
      <c r="D235" s="42" t="s">
        <v>287</v>
      </c>
      <c r="E235" s="42">
        <v>6335497.0</v>
      </c>
      <c r="F235" s="42" t="s">
        <v>871</v>
      </c>
      <c r="G235" s="42" t="s">
        <v>287</v>
      </c>
      <c r="H235" s="90" t="s">
        <v>793</v>
      </c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</row>
    <row r="236" ht="40.5" customHeight="1">
      <c r="A236" s="90" t="s">
        <v>284</v>
      </c>
      <c r="B236" s="42" t="s">
        <v>285</v>
      </c>
      <c r="C236" s="42" t="s">
        <v>286</v>
      </c>
      <c r="D236" s="42" t="s">
        <v>288</v>
      </c>
      <c r="E236" s="42">
        <v>6335497.0</v>
      </c>
      <c r="F236" s="42" t="s">
        <v>871</v>
      </c>
      <c r="G236" s="42" t="s">
        <v>287</v>
      </c>
      <c r="H236" s="90" t="s">
        <v>793</v>
      </c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</row>
    <row r="237" ht="40.5" customHeight="1">
      <c r="A237" s="90" t="s">
        <v>284</v>
      </c>
      <c r="B237" s="42" t="s">
        <v>285</v>
      </c>
      <c r="C237" s="42" t="s">
        <v>286</v>
      </c>
      <c r="D237" s="42" t="s">
        <v>289</v>
      </c>
      <c r="E237" s="42">
        <v>6335497.0</v>
      </c>
      <c r="F237" s="42" t="s">
        <v>871</v>
      </c>
      <c r="G237" s="42" t="s">
        <v>287</v>
      </c>
      <c r="H237" s="90" t="s">
        <v>793</v>
      </c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</row>
    <row r="238" ht="40.5" customHeight="1">
      <c r="A238" s="90" t="s">
        <v>284</v>
      </c>
      <c r="B238" s="42" t="s">
        <v>285</v>
      </c>
      <c r="C238" s="42" t="s">
        <v>286</v>
      </c>
      <c r="D238" s="42" t="s">
        <v>290</v>
      </c>
      <c r="E238" s="42">
        <v>6335497.0</v>
      </c>
      <c r="F238" s="42" t="s">
        <v>871</v>
      </c>
      <c r="G238" s="42" t="s">
        <v>287</v>
      </c>
      <c r="H238" s="90" t="s">
        <v>793</v>
      </c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</row>
    <row r="239" ht="40.5" customHeight="1">
      <c r="A239" s="90" t="s">
        <v>284</v>
      </c>
      <c r="B239" s="42" t="s">
        <v>285</v>
      </c>
      <c r="C239" s="42" t="s">
        <v>286</v>
      </c>
      <c r="D239" s="42" t="s">
        <v>291</v>
      </c>
      <c r="E239" s="42">
        <v>6335497.0</v>
      </c>
      <c r="F239" s="42" t="s">
        <v>871</v>
      </c>
      <c r="G239" s="42" t="s">
        <v>287</v>
      </c>
      <c r="H239" s="90" t="s">
        <v>793</v>
      </c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</row>
    <row r="240" ht="40.5" customHeight="1">
      <c r="A240" s="90" t="s">
        <v>284</v>
      </c>
      <c r="B240" s="42" t="s">
        <v>285</v>
      </c>
      <c r="C240" s="42" t="s">
        <v>286</v>
      </c>
      <c r="D240" s="42" t="s">
        <v>292</v>
      </c>
      <c r="E240" s="42">
        <v>6335497.0</v>
      </c>
      <c r="F240" s="42" t="s">
        <v>871</v>
      </c>
      <c r="G240" s="42" t="s">
        <v>287</v>
      </c>
      <c r="H240" s="90" t="s">
        <v>793</v>
      </c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</row>
    <row r="241" ht="40.5" customHeight="1">
      <c r="A241" s="90" t="s">
        <v>284</v>
      </c>
      <c r="B241" s="42" t="s">
        <v>285</v>
      </c>
      <c r="C241" s="42" t="s">
        <v>286</v>
      </c>
      <c r="D241" s="42" t="s">
        <v>293</v>
      </c>
      <c r="E241" s="42">
        <v>6335497.0</v>
      </c>
      <c r="F241" s="42" t="s">
        <v>871</v>
      </c>
      <c r="G241" s="42" t="s">
        <v>287</v>
      </c>
      <c r="H241" s="90" t="s">
        <v>793</v>
      </c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</row>
    <row r="242" ht="40.5" customHeight="1">
      <c r="A242" s="90" t="s">
        <v>284</v>
      </c>
      <c r="B242" s="42" t="s">
        <v>285</v>
      </c>
      <c r="C242" s="42" t="s">
        <v>286</v>
      </c>
      <c r="D242" s="42" t="s">
        <v>294</v>
      </c>
      <c r="E242" s="42">
        <v>6335497.0</v>
      </c>
      <c r="F242" s="42" t="s">
        <v>871</v>
      </c>
      <c r="G242" s="42" t="s">
        <v>287</v>
      </c>
      <c r="H242" s="90" t="s">
        <v>793</v>
      </c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</row>
    <row r="243" ht="40.5" customHeight="1">
      <c r="A243" s="90" t="s">
        <v>284</v>
      </c>
      <c r="B243" s="42" t="s">
        <v>285</v>
      </c>
      <c r="C243" s="42" t="s">
        <v>286</v>
      </c>
      <c r="D243" s="42" t="s">
        <v>295</v>
      </c>
      <c r="E243" s="42">
        <v>6335497.0</v>
      </c>
      <c r="F243" s="42" t="s">
        <v>871</v>
      </c>
      <c r="G243" s="42" t="s">
        <v>287</v>
      </c>
      <c r="H243" s="90" t="s">
        <v>793</v>
      </c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</row>
    <row r="244" ht="40.5" customHeight="1">
      <c r="A244" s="90" t="s">
        <v>284</v>
      </c>
      <c r="B244" s="42" t="s">
        <v>285</v>
      </c>
      <c r="C244" s="42" t="s">
        <v>286</v>
      </c>
      <c r="D244" s="42" t="s">
        <v>296</v>
      </c>
      <c r="E244" s="42">
        <v>6335497.0</v>
      </c>
      <c r="F244" s="42" t="s">
        <v>871</v>
      </c>
      <c r="G244" s="42" t="s">
        <v>287</v>
      </c>
      <c r="H244" s="90" t="s">
        <v>793</v>
      </c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</row>
    <row r="245" ht="40.5" customHeight="1">
      <c r="A245" s="90" t="s">
        <v>284</v>
      </c>
      <c r="B245" s="42" t="s">
        <v>285</v>
      </c>
      <c r="C245" s="42" t="s">
        <v>286</v>
      </c>
      <c r="D245" s="42" t="s">
        <v>297</v>
      </c>
      <c r="E245" s="42">
        <v>6335497.0</v>
      </c>
      <c r="F245" s="42" t="s">
        <v>871</v>
      </c>
      <c r="G245" s="42" t="s">
        <v>287</v>
      </c>
      <c r="H245" s="90" t="s">
        <v>793</v>
      </c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</row>
    <row r="246" ht="40.5" customHeight="1">
      <c r="A246" s="90" t="s">
        <v>284</v>
      </c>
      <c r="B246" s="42" t="s">
        <v>285</v>
      </c>
      <c r="C246" s="42" t="s">
        <v>286</v>
      </c>
      <c r="D246" s="42" t="s">
        <v>298</v>
      </c>
      <c r="E246" s="42">
        <v>6335497.0</v>
      </c>
      <c r="F246" s="42" t="s">
        <v>871</v>
      </c>
      <c r="G246" s="42" t="s">
        <v>287</v>
      </c>
      <c r="H246" s="90" t="s">
        <v>793</v>
      </c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</row>
    <row r="247" ht="40.5" customHeight="1">
      <c r="A247" s="90" t="s">
        <v>284</v>
      </c>
      <c r="B247" s="42" t="s">
        <v>285</v>
      </c>
      <c r="C247" s="42" t="s">
        <v>299</v>
      </c>
      <c r="D247" s="42" t="s">
        <v>300</v>
      </c>
      <c r="E247" s="42">
        <v>2750511.0</v>
      </c>
      <c r="F247" s="42" t="s">
        <v>872</v>
      </c>
      <c r="G247" s="42" t="s">
        <v>285</v>
      </c>
      <c r="H247" s="90" t="s">
        <v>793</v>
      </c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</row>
    <row r="248" ht="40.5" customHeight="1">
      <c r="A248" s="90" t="s">
        <v>284</v>
      </c>
      <c r="B248" s="42" t="s">
        <v>285</v>
      </c>
      <c r="C248" s="42" t="s">
        <v>299</v>
      </c>
      <c r="D248" s="42" t="s">
        <v>301</v>
      </c>
      <c r="E248" s="42">
        <v>2750511.0</v>
      </c>
      <c r="F248" s="42" t="s">
        <v>872</v>
      </c>
      <c r="G248" s="42" t="s">
        <v>285</v>
      </c>
      <c r="H248" s="90" t="s">
        <v>793</v>
      </c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</row>
    <row r="249" ht="40.5" customHeight="1">
      <c r="A249" s="90" t="s">
        <v>284</v>
      </c>
      <c r="B249" s="42" t="s">
        <v>285</v>
      </c>
      <c r="C249" s="42" t="s">
        <v>299</v>
      </c>
      <c r="D249" s="42" t="s">
        <v>302</v>
      </c>
      <c r="E249" s="42">
        <v>2750511.0</v>
      </c>
      <c r="F249" s="42" t="s">
        <v>872</v>
      </c>
      <c r="G249" s="42" t="s">
        <v>285</v>
      </c>
      <c r="H249" s="90" t="s">
        <v>793</v>
      </c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</row>
    <row r="250" ht="40.5" customHeight="1">
      <c r="A250" s="90" t="s">
        <v>284</v>
      </c>
      <c r="B250" s="42" t="s">
        <v>285</v>
      </c>
      <c r="C250" s="42" t="s">
        <v>299</v>
      </c>
      <c r="D250" s="42" t="s">
        <v>303</v>
      </c>
      <c r="E250" s="42">
        <v>2750511.0</v>
      </c>
      <c r="F250" s="42" t="s">
        <v>872</v>
      </c>
      <c r="G250" s="42" t="s">
        <v>285</v>
      </c>
      <c r="H250" s="90" t="s">
        <v>793</v>
      </c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</row>
    <row r="251" ht="40.5" customHeight="1">
      <c r="A251" s="90" t="s">
        <v>284</v>
      </c>
      <c r="B251" s="42" t="s">
        <v>285</v>
      </c>
      <c r="C251" s="42" t="s">
        <v>299</v>
      </c>
      <c r="D251" s="42" t="s">
        <v>304</v>
      </c>
      <c r="E251" s="42">
        <v>2750511.0</v>
      </c>
      <c r="F251" s="42" t="s">
        <v>872</v>
      </c>
      <c r="G251" s="42" t="s">
        <v>285</v>
      </c>
      <c r="H251" s="90" t="s">
        <v>793</v>
      </c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</row>
    <row r="252" ht="40.5" customHeight="1">
      <c r="A252" s="90" t="s">
        <v>284</v>
      </c>
      <c r="B252" s="42" t="s">
        <v>285</v>
      </c>
      <c r="C252" s="42" t="s">
        <v>299</v>
      </c>
      <c r="D252" s="42" t="s">
        <v>305</v>
      </c>
      <c r="E252" s="42">
        <v>2750511.0</v>
      </c>
      <c r="F252" s="42" t="s">
        <v>872</v>
      </c>
      <c r="G252" s="42" t="s">
        <v>285</v>
      </c>
      <c r="H252" s="90" t="s">
        <v>793</v>
      </c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</row>
    <row r="253" ht="40.5" customHeight="1">
      <c r="A253" s="90" t="s">
        <v>284</v>
      </c>
      <c r="B253" s="42" t="s">
        <v>285</v>
      </c>
      <c r="C253" s="42" t="s">
        <v>299</v>
      </c>
      <c r="D253" s="42" t="s">
        <v>306</v>
      </c>
      <c r="E253" s="42">
        <v>2750511.0</v>
      </c>
      <c r="F253" s="42" t="s">
        <v>872</v>
      </c>
      <c r="G253" s="42" t="s">
        <v>285</v>
      </c>
      <c r="H253" s="90" t="s">
        <v>793</v>
      </c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</row>
    <row r="254" ht="40.5" customHeight="1">
      <c r="A254" s="90" t="s">
        <v>284</v>
      </c>
      <c r="B254" s="42" t="s">
        <v>285</v>
      </c>
      <c r="C254" s="42" t="s">
        <v>299</v>
      </c>
      <c r="D254" s="42" t="s">
        <v>307</v>
      </c>
      <c r="E254" s="42">
        <v>2750511.0</v>
      </c>
      <c r="F254" s="42" t="s">
        <v>872</v>
      </c>
      <c r="G254" s="42" t="s">
        <v>285</v>
      </c>
      <c r="H254" s="90" t="s">
        <v>793</v>
      </c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</row>
    <row r="255" ht="40.5" customHeight="1">
      <c r="A255" s="90" t="s">
        <v>284</v>
      </c>
      <c r="B255" s="42" t="s">
        <v>285</v>
      </c>
      <c r="C255" s="42" t="s">
        <v>299</v>
      </c>
      <c r="D255" s="42" t="s">
        <v>308</v>
      </c>
      <c r="E255" s="42">
        <v>2750511.0</v>
      </c>
      <c r="F255" s="42" t="s">
        <v>872</v>
      </c>
      <c r="G255" s="42" t="s">
        <v>285</v>
      </c>
      <c r="H255" s="90" t="s">
        <v>793</v>
      </c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</row>
    <row r="256" ht="40.5" customHeight="1">
      <c r="A256" s="90" t="s">
        <v>284</v>
      </c>
      <c r="B256" s="42" t="s">
        <v>285</v>
      </c>
      <c r="C256" s="42" t="s">
        <v>299</v>
      </c>
      <c r="D256" s="42" t="s">
        <v>309</v>
      </c>
      <c r="E256" s="42">
        <v>2750511.0</v>
      </c>
      <c r="F256" s="42" t="s">
        <v>872</v>
      </c>
      <c r="G256" s="42" t="s">
        <v>285</v>
      </c>
      <c r="H256" s="90" t="s">
        <v>793</v>
      </c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</row>
    <row r="257" ht="40.5" customHeight="1">
      <c r="A257" s="90" t="s">
        <v>284</v>
      </c>
      <c r="B257" s="42" t="s">
        <v>285</v>
      </c>
      <c r="C257" s="42" t="s">
        <v>299</v>
      </c>
      <c r="D257" s="42" t="s">
        <v>310</v>
      </c>
      <c r="E257" s="42">
        <v>2750511.0</v>
      </c>
      <c r="F257" s="42" t="s">
        <v>872</v>
      </c>
      <c r="G257" s="42" t="s">
        <v>285</v>
      </c>
      <c r="H257" s="90" t="s">
        <v>793</v>
      </c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</row>
    <row r="258" ht="40.5" customHeight="1">
      <c r="A258" s="90" t="s">
        <v>284</v>
      </c>
      <c r="B258" s="42" t="s">
        <v>285</v>
      </c>
      <c r="C258" s="42" t="s">
        <v>299</v>
      </c>
      <c r="D258" s="42" t="s">
        <v>285</v>
      </c>
      <c r="E258" s="42">
        <v>2750511.0</v>
      </c>
      <c r="F258" s="42" t="s">
        <v>872</v>
      </c>
      <c r="G258" s="42" t="s">
        <v>285</v>
      </c>
      <c r="H258" s="90" t="s">
        <v>793</v>
      </c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</row>
    <row r="259" ht="40.5" customHeight="1">
      <c r="A259" s="90" t="s">
        <v>284</v>
      </c>
      <c r="B259" s="42" t="s">
        <v>285</v>
      </c>
      <c r="C259" s="42" t="s">
        <v>299</v>
      </c>
      <c r="D259" s="42" t="s">
        <v>311</v>
      </c>
      <c r="E259" s="42">
        <v>2750511.0</v>
      </c>
      <c r="F259" s="42" t="s">
        <v>872</v>
      </c>
      <c r="G259" s="42" t="s">
        <v>285</v>
      </c>
      <c r="H259" s="90" t="s">
        <v>793</v>
      </c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</row>
    <row r="260" ht="40.5" customHeight="1">
      <c r="A260" s="90" t="s">
        <v>284</v>
      </c>
      <c r="B260" s="42" t="s">
        <v>285</v>
      </c>
      <c r="C260" s="42" t="s">
        <v>299</v>
      </c>
      <c r="D260" s="42" t="s">
        <v>312</v>
      </c>
      <c r="E260" s="42">
        <v>2750511.0</v>
      </c>
      <c r="F260" s="42" t="s">
        <v>872</v>
      </c>
      <c r="G260" s="42" t="s">
        <v>285</v>
      </c>
      <c r="H260" s="90" t="s">
        <v>793</v>
      </c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</row>
    <row r="261" ht="40.5" customHeight="1">
      <c r="A261" s="90" t="s">
        <v>284</v>
      </c>
      <c r="B261" s="42" t="s">
        <v>285</v>
      </c>
      <c r="C261" s="42" t="s">
        <v>299</v>
      </c>
      <c r="D261" s="42" t="s">
        <v>313</v>
      </c>
      <c r="E261" s="42">
        <v>2750511.0</v>
      </c>
      <c r="F261" s="42" t="s">
        <v>872</v>
      </c>
      <c r="G261" s="42" t="s">
        <v>285</v>
      </c>
      <c r="H261" s="90" t="s">
        <v>793</v>
      </c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</row>
    <row r="262" ht="40.5" customHeight="1">
      <c r="A262" s="90" t="s">
        <v>284</v>
      </c>
      <c r="B262" s="42" t="s">
        <v>285</v>
      </c>
      <c r="C262" s="42" t="s">
        <v>299</v>
      </c>
      <c r="D262" s="42" t="s">
        <v>314</v>
      </c>
      <c r="E262" s="42">
        <v>2750511.0</v>
      </c>
      <c r="F262" s="42" t="s">
        <v>872</v>
      </c>
      <c r="G262" s="42" t="s">
        <v>285</v>
      </c>
      <c r="H262" s="90" t="s">
        <v>793</v>
      </c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</row>
    <row r="263" ht="40.5" customHeight="1">
      <c r="A263" s="90" t="s">
        <v>284</v>
      </c>
      <c r="B263" s="42" t="s">
        <v>285</v>
      </c>
      <c r="C263" s="42" t="s">
        <v>299</v>
      </c>
      <c r="D263" s="42" t="s">
        <v>315</v>
      </c>
      <c r="E263" s="42">
        <v>2750511.0</v>
      </c>
      <c r="F263" s="42" t="s">
        <v>872</v>
      </c>
      <c r="G263" s="42" t="s">
        <v>285</v>
      </c>
      <c r="H263" s="90" t="s">
        <v>793</v>
      </c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</row>
    <row r="264" ht="40.5" customHeight="1">
      <c r="A264" s="90" t="s">
        <v>284</v>
      </c>
      <c r="B264" s="42" t="s">
        <v>285</v>
      </c>
      <c r="C264" s="42" t="s">
        <v>299</v>
      </c>
      <c r="D264" s="42" t="s">
        <v>316</v>
      </c>
      <c r="E264" s="42">
        <v>2750511.0</v>
      </c>
      <c r="F264" s="42" t="s">
        <v>872</v>
      </c>
      <c r="G264" s="42" t="s">
        <v>285</v>
      </c>
      <c r="H264" s="90" t="s">
        <v>793</v>
      </c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</row>
    <row r="265" ht="40.5" customHeight="1">
      <c r="A265" s="90" t="s">
        <v>284</v>
      </c>
      <c r="B265" s="42" t="s">
        <v>285</v>
      </c>
      <c r="C265" s="42" t="s">
        <v>299</v>
      </c>
      <c r="D265" s="42" t="s">
        <v>317</v>
      </c>
      <c r="E265" s="42">
        <v>2750511.0</v>
      </c>
      <c r="F265" s="42" t="s">
        <v>872</v>
      </c>
      <c r="G265" s="42" t="s">
        <v>285</v>
      </c>
      <c r="H265" s="90" t="s">
        <v>793</v>
      </c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</row>
    <row r="266" ht="40.5" customHeight="1">
      <c r="A266" s="90" t="s">
        <v>284</v>
      </c>
      <c r="B266" s="42" t="s">
        <v>285</v>
      </c>
      <c r="C266" s="42" t="s">
        <v>318</v>
      </c>
      <c r="D266" s="42" t="s">
        <v>319</v>
      </c>
      <c r="E266" s="42">
        <v>2750511.0</v>
      </c>
      <c r="F266" s="42" t="s">
        <v>872</v>
      </c>
      <c r="G266" s="42" t="s">
        <v>285</v>
      </c>
      <c r="H266" s="90" t="s">
        <v>793</v>
      </c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</row>
    <row r="267" ht="40.5" customHeight="1">
      <c r="A267" s="90" t="s">
        <v>284</v>
      </c>
      <c r="B267" s="42" t="s">
        <v>285</v>
      </c>
      <c r="C267" s="42" t="s">
        <v>318</v>
      </c>
      <c r="D267" s="42" t="s">
        <v>320</v>
      </c>
      <c r="E267" s="42">
        <v>2750511.0</v>
      </c>
      <c r="F267" s="42" t="s">
        <v>872</v>
      </c>
      <c r="G267" s="42" t="s">
        <v>285</v>
      </c>
      <c r="H267" s="90" t="s">
        <v>793</v>
      </c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</row>
    <row r="268" ht="40.5" customHeight="1">
      <c r="A268" s="90" t="s">
        <v>284</v>
      </c>
      <c r="B268" s="42" t="s">
        <v>285</v>
      </c>
      <c r="C268" s="42" t="s">
        <v>318</v>
      </c>
      <c r="D268" s="42" t="s">
        <v>321</v>
      </c>
      <c r="E268" s="42">
        <v>2750511.0</v>
      </c>
      <c r="F268" s="42" t="s">
        <v>872</v>
      </c>
      <c r="G268" s="42" t="s">
        <v>285</v>
      </c>
      <c r="H268" s="90" t="s">
        <v>793</v>
      </c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</row>
    <row r="269" ht="40.5" customHeight="1">
      <c r="A269" s="90" t="s">
        <v>284</v>
      </c>
      <c r="B269" s="42" t="s">
        <v>285</v>
      </c>
      <c r="C269" s="42" t="s">
        <v>318</v>
      </c>
      <c r="D269" s="42" t="s">
        <v>322</v>
      </c>
      <c r="E269" s="42">
        <v>2750511.0</v>
      </c>
      <c r="F269" s="42" t="s">
        <v>872</v>
      </c>
      <c r="G269" s="42" t="s">
        <v>285</v>
      </c>
      <c r="H269" s="90" t="s">
        <v>793</v>
      </c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</row>
    <row r="270" ht="40.5" customHeight="1">
      <c r="A270" s="90" t="s">
        <v>284</v>
      </c>
      <c r="B270" s="42" t="s">
        <v>285</v>
      </c>
      <c r="C270" s="42" t="s">
        <v>318</v>
      </c>
      <c r="D270" s="42" t="s">
        <v>323</v>
      </c>
      <c r="E270" s="42">
        <v>2750511.0</v>
      </c>
      <c r="F270" s="42" t="s">
        <v>872</v>
      </c>
      <c r="G270" s="42" t="s">
        <v>285</v>
      </c>
      <c r="H270" s="90" t="s">
        <v>793</v>
      </c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</row>
    <row r="271" ht="40.5" customHeight="1">
      <c r="A271" s="90" t="s">
        <v>284</v>
      </c>
      <c r="B271" s="42" t="s">
        <v>285</v>
      </c>
      <c r="C271" s="42" t="s">
        <v>324</v>
      </c>
      <c r="D271" s="42" t="s">
        <v>325</v>
      </c>
      <c r="E271" s="42">
        <v>2755130.0</v>
      </c>
      <c r="F271" s="42" t="s">
        <v>873</v>
      </c>
      <c r="G271" s="42" t="s">
        <v>285</v>
      </c>
      <c r="H271" s="90" t="s">
        <v>793</v>
      </c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</row>
    <row r="272" ht="40.5" customHeight="1">
      <c r="A272" s="90" t="s">
        <v>284</v>
      </c>
      <c r="B272" s="42" t="s">
        <v>285</v>
      </c>
      <c r="C272" s="42" t="s">
        <v>324</v>
      </c>
      <c r="D272" s="42" t="s">
        <v>326</v>
      </c>
      <c r="E272" s="42">
        <v>2755130.0</v>
      </c>
      <c r="F272" s="42" t="s">
        <v>873</v>
      </c>
      <c r="G272" s="42" t="s">
        <v>285</v>
      </c>
      <c r="H272" s="90" t="s">
        <v>793</v>
      </c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</row>
    <row r="273" ht="40.5" customHeight="1">
      <c r="A273" s="90" t="s">
        <v>284</v>
      </c>
      <c r="B273" s="42" t="s">
        <v>285</v>
      </c>
      <c r="C273" s="42" t="s">
        <v>324</v>
      </c>
      <c r="D273" s="42" t="s">
        <v>327</v>
      </c>
      <c r="E273" s="42">
        <v>2755130.0</v>
      </c>
      <c r="F273" s="42" t="s">
        <v>873</v>
      </c>
      <c r="G273" s="42" t="s">
        <v>285</v>
      </c>
      <c r="H273" s="90" t="s">
        <v>793</v>
      </c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</row>
    <row r="274" ht="40.5" customHeight="1">
      <c r="A274" s="90" t="s">
        <v>284</v>
      </c>
      <c r="B274" s="42" t="s">
        <v>285</v>
      </c>
      <c r="C274" s="42" t="s">
        <v>324</v>
      </c>
      <c r="D274" s="42" t="s">
        <v>328</v>
      </c>
      <c r="E274" s="42">
        <v>2755130.0</v>
      </c>
      <c r="F274" s="42" t="s">
        <v>873</v>
      </c>
      <c r="G274" s="42" t="s">
        <v>285</v>
      </c>
      <c r="H274" s="90" t="s">
        <v>793</v>
      </c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</row>
    <row r="275" ht="40.5" customHeight="1">
      <c r="A275" s="90" t="s">
        <v>284</v>
      </c>
      <c r="B275" s="42" t="s">
        <v>285</v>
      </c>
      <c r="C275" s="42" t="s">
        <v>324</v>
      </c>
      <c r="D275" s="42" t="s">
        <v>329</v>
      </c>
      <c r="E275" s="42">
        <v>2755130.0</v>
      </c>
      <c r="F275" s="42" t="s">
        <v>873</v>
      </c>
      <c r="G275" s="42" t="s">
        <v>285</v>
      </c>
      <c r="H275" s="90" t="s">
        <v>793</v>
      </c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</row>
    <row r="276" ht="40.5" customHeight="1">
      <c r="A276" s="90" t="s">
        <v>284</v>
      </c>
      <c r="B276" s="42" t="s">
        <v>285</v>
      </c>
      <c r="C276" s="42" t="s">
        <v>330</v>
      </c>
      <c r="D276" s="42" t="s">
        <v>331</v>
      </c>
      <c r="E276" s="42">
        <v>2755130.0</v>
      </c>
      <c r="F276" s="42" t="s">
        <v>873</v>
      </c>
      <c r="G276" s="42" t="s">
        <v>285</v>
      </c>
      <c r="H276" s="90" t="s">
        <v>793</v>
      </c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</row>
    <row r="277" ht="40.5" customHeight="1">
      <c r="A277" s="90" t="s">
        <v>284</v>
      </c>
      <c r="B277" s="42" t="s">
        <v>285</v>
      </c>
      <c r="C277" s="42" t="s">
        <v>330</v>
      </c>
      <c r="D277" s="42" t="s">
        <v>332</v>
      </c>
      <c r="E277" s="42">
        <v>2750511.0</v>
      </c>
      <c r="F277" s="42" t="s">
        <v>872</v>
      </c>
      <c r="G277" s="42" t="s">
        <v>285</v>
      </c>
      <c r="H277" s="90" t="s">
        <v>793</v>
      </c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</row>
    <row r="278" ht="40.5" customHeight="1">
      <c r="A278" s="90" t="s">
        <v>284</v>
      </c>
      <c r="B278" s="42" t="s">
        <v>285</v>
      </c>
      <c r="C278" s="42" t="s">
        <v>330</v>
      </c>
      <c r="D278" s="42" t="s">
        <v>333</v>
      </c>
      <c r="E278" s="42">
        <v>2755130.0</v>
      </c>
      <c r="F278" s="42" t="s">
        <v>873</v>
      </c>
      <c r="G278" s="42" t="s">
        <v>285</v>
      </c>
      <c r="H278" s="90" t="s">
        <v>793</v>
      </c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</row>
    <row r="279" ht="40.5" customHeight="1">
      <c r="A279" s="90" t="s">
        <v>284</v>
      </c>
      <c r="B279" s="42" t="s">
        <v>285</v>
      </c>
      <c r="C279" s="42" t="s">
        <v>330</v>
      </c>
      <c r="D279" s="42" t="s">
        <v>334</v>
      </c>
      <c r="E279" s="42">
        <v>2755130.0</v>
      </c>
      <c r="F279" s="42" t="s">
        <v>873</v>
      </c>
      <c r="G279" s="42" t="s">
        <v>285</v>
      </c>
      <c r="H279" s="90" t="s">
        <v>793</v>
      </c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</row>
    <row r="280" ht="40.5" customHeight="1">
      <c r="A280" s="90" t="s">
        <v>335</v>
      </c>
      <c r="B280" s="42" t="s">
        <v>336</v>
      </c>
      <c r="C280" s="42" t="s">
        <v>337</v>
      </c>
      <c r="D280" s="42" t="s">
        <v>336</v>
      </c>
      <c r="E280" s="94">
        <v>6572367.0</v>
      </c>
      <c r="F280" s="94" t="s">
        <v>874</v>
      </c>
      <c r="G280" s="94" t="s">
        <v>875</v>
      </c>
      <c r="H280" s="90" t="s">
        <v>793</v>
      </c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</row>
    <row r="281" ht="40.5" customHeight="1">
      <c r="A281" s="90" t="s">
        <v>335</v>
      </c>
      <c r="B281" s="82" t="s">
        <v>336</v>
      </c>
      <c r="C281" s="82" t="s">
        <v>337</v>
      </c>
      <c r="D281" s="82" t="s">
        <v>338</v>
      </c>
      <c r="E281" s="95">
        <v>6572367.0</v>
      </c>
      <c r="F281" s="95" t="s">
        <v>874</v>
      </c>
      <c r="G281" s="95" t="s">
        <v>876</v>
      </c>
      <c r="H281" s="90" t="s">
        <v>793</v>
      </c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</row>
    <row r="282" ht="40.5" customHeight="1">
      <c r="A282" s="90" t="s">
        <v>335</v>
      </c>
      <c r="B282" s="82" t="s">
        <v>336</v>
      </c>
      <c r="C282" s="82" t="s">
        <v>337</v>
      </c>
      <c r="D282" s="82" t="s">
        <v>339</v>
      </c>
      <c r="E282" s="95">
        <v>6572367.0</v>
      </c>
      <c r="F282" s="95" t="s">
        <v>874</v>
      </c>
      <c r="G282" s="95" t="s">
        <v>877</v>
      </c>
      <c r="H282" s="90" t="s">
        <v>793</v>
      </c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</row>
    <row r="283" ht="40.5" customHeight="1">
      <c r="A283" s="90" t="s">
        <v>335</v>
      </c>
      <c r="B283" s="82" t="s">
        <v>336</v>
      </c>
      <c r="C283" s="82" t="s">
        <v>337</v>
      </c>
      <c r="D283" s="82" t="s">
        <v>340</v>
      </c>
      <c r="E283" s="95">
        <v>6572367.0</v>
      </c>
      <c r="F283" s="95" t="s">
        <v>874</v>
      </c>
      <c r="G283" s="95" t="s">
        <v>878</v>
      </c>
      <c r="H283" s="90" t="s">
        <v>793</v>
      </c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</row>
    <row r="284" ht="40.5" customHeight="1">
      <c r="A284" s="90" t="s">
        <v>335</v>
      </c>
      <c r="B284" s="82" t="s">
        <v>336</v>
      </c>
      <c r="C284" s="82" t="s">
        <v>337</v>
      </c>
      <c r="D284" s="82" t="s">
        <v>341</v>
      </c>
      <c r="E284" s="95">
        <v>6572367.0</v>
      </c>
      <c r="F284" s="95" t="s">
        <v>874</v>
      </c>
      <c r="G284" s="95" t="s">
        <v>879</v>
      </c>
      <c r="H284" s="90" t="s">
        <v>793</v>
      </c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</row>
    <row r="285" ht="40.5" customHeight="1">
      <c r="A285" s="90" t="s">
        <v>335</v>
      </c>
      <c r="B285" s="82" t="s">
        <v>336</v>
      </c>
      <c r="C285" s="82" t="s">
        <v>337</v>
      </c>
      <c r="D285" s="82" t="s">
        <v>342</v>
      </c>
      <c r="E285" s="95">
        <v>6572367.0</v>
      </c>
      <c r="F285" s="95" t="s">
        <v>874</v>
      </c>
      <c r="G285" s="95" t="s">
        <v>880</v>
      </c>
      <c r="H285" s="90" t="s">
        <v>793</v>
      </c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</row>
    <row r="286" ht="40.5" customHeight="1">
      <c r="A286" s="90" t="s">
        <v>335</v>
      </c>
      <c r="B286" s="82" t="s">
        <v>336</v>
      </c>
      <c r="C286" s="82" t="s">
        <v>337</v>
      </c>
      <c r="D286" s="82" t="s">
        <v>343</v>
      </c>
      <c r="E286" s="95">
        <v>6572367.0</v>
      </c>
      <c r="F286" s="95" t="s">
        <v>874</v>
      </c>
      <c r="G286" s="95" t="s">
        <v>881</v>
      </c>
      <c r="H286" s="90" t="s">
        <v>793</v>
      </c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</row>
    <row r="287" ht="40.5" customHeight="1">
      <c r="A287" s="90" t="s">
        <v>335</v>
      </c>
      <c r="B287" s="82" t="s">
        <v>336</v>
      </c>
      <c r="C287" s="82" t="s">
        <v>337</v>
      </c>
      <c r="D287" s="82" t="s">
        <v>344</v>
      </c>
      <c r="E287" s="95">
        <v>6572367.0</v>
      </c>
      <c r="F287" s="95" t="s">
        <v>874</v>
      </c>
      <c r="G287" s="95" t="s">
        <v>882</v>
      </c>
      <c r="H287" s="90" t="s">
        <v>793</v>
      </c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</row>
    <row r="288" ht="40.5" customHeight="1">
      <c r="A288" s="90" t="s">
        <v>335</v>
      </c>
      <c r="B288" s="82" t="s">
        <v>336</v>
      </c>
      <c r="C288" s="82" t="s">
        <v>337</v>
      </c>
      <c r="D288" s="82" t="s">
        <v>345</v>
      </c>
      <c r="E288" s="95">
        <v>6572367.0</v>
      </c>
      <c r="F288" s="95" t="s">
        <v>874</v>
      </c>
      <c r="G288" s="95" t="s">
        <v>883</v>
      </c>
      <c r="H288" s="90" t="s">
        <v>793</v>
      </c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</row>
    <row r="289" ht="40.5" customHeight="1">
      <c r="A289" s="90" t="s">
        <v>335</v>
      </c>
      <c r="B289" s="82" t="s">
        <v>336</v>
      </c>
      <c r="C289" s="82" t="s">
        <v>337</v>
      </c>
      <c r="D289" s="82" t="s">
        <v>346</v>
      </c>
      <c r="E289" s="95">
        <v>6572367.0</v>
      </c>
      <c r="F289" s="95" t="s">
        <v>874</v>
      </c>
      <c r="G289" s="95" t="s">
        <v>884</v>
      </c>
      <c r="H289" s="90" t="s">
        <v>793</v>
      </c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</row>
    <row r="290" ht="40.5" customHeight="1">
      <c r="A290" s="90" t="s">
        <v>335</v>
      </c>
      <c r="B290" s="82" t="s">
        <v>336</v>
      </c>
      <c r="C290" s="82" t="s">
        <v>337</v>
      </c>
      <c r="D290" s="82" t="s">
        <v>347</v>
      </c>
      <c r="E290" s="95">
        <v>6572367.0</v>
      </c>
      <c r="F290" s="95" t="s">
        <v>874</v>
      </c>
      <c r="G290" s="95" t="s">
        <v>885</v>
      </c>
      <c r="H290" s="90" t="s">
        <v>793</v>
      </c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</row>
    <row r="291" ht="40.5" customHeight="1">
      <c r="A291" s="90" t="s">
        <v>335</v>
      </c>
      <c r="B291" s="82" t="s">
        <v>336</v>
      </c>
      <c r="C291" s="82" t="s">
        <v>348</v>
      </c>
      <c r="D291" s="82" t="s">
        <v>349</v>
      </c>
      <c r="E291" s="95">
        <v>6568971.0</v>
      </c>
      <c r="F291" s="95" t="s">
        <v>886</v>
      </c>
      <c r="G291" s="82" t="s">
        <v>349</v>
      </c>
      <c r="H291" s="90" t="s">
        <v>793</v>
      </c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</row>
    <row r="292" ht="40.5" customHeight="1">
      <c r="A292" s="90" t="s">
        <v>335</v>
      </c>
      <c r="B292" s="82" t="s">
        <v>336</v>
      </c>
      <c r="C292" s="82" t="s">
        <v>348</v>
      </c>
      <c r="D292" s="82" t="s">
        <v>350</v>
      </c>
      <c r="E292" s="95">
        <v>6568971.0</v>
      </c>
      <c r="F292" s="95" t="s">
        <v>886</v>
      </c>
      <c r="G292" s="82" t="s">
        <v>349</v>
      </c>
      <c r="H292" s="90" t="s">
        <v>793</v>
      </c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</row>
    <row r="293" ht="40.5" customHeight="1">
      <c r="A293" s="90" t="s">
        <v>335</v>
      </c>
      <c r="B293" s="82" t="s">
        <v>336</v>
      </c>
      <c r="C293" s="82" t="s">
        <v>348</v>
      </c>
      <c r="D293" s="82" t="s">
        <v>351</v>
      </c>
      <c r="E293" s="95">
        <v>6568971.0</v>
      </c>
      <c r="F293" s="95" t="s">
        <v>886</v>
      </c>
      <c r="G293" s="82" t="s">
        <v>349</v>
      </c>
      <c r="H293" s="90" t="s">
        <v>793</v>
      </c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</row>
    <row r="294" ht="40.5" customHeight="1">
      <c r="A294" s="90" t="s">
        <v>335</v>
      </c>
      <c r="B294" s="82" t="s">
        <v>336</v>
      </c>
      <c r="C294" s="82" t="s">
        <v>348</v>
      </c>
      <c r="D294" s="82" t="s">
        <v>352</v>
      </c>
      <c r="E294" s="95">
        <v>6568971.0</v>
      </c>
      <c r="F294" s="95" t="s">
        <v>886</v>
      </c>
      <c r="G294" s="82" t="s">
        <v>349</v>
      </c>
      <c r="H294" s="90" t="s">
        <v>793</v>
      </c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</row>
    <row r="295" ht="40.5" customHeight="1">
      <c r="A295" s="90" t="s">
        <v>335</v>
      </c>
      <c r="B295" s="82" t="s">
        <v>336</v>
      </c>
      <c r="C295" s="82" t="s">
        <v>348</v>
      </c>
      <c r="D295" s="82" t="s">
        <v>353</v>
      </c>
      <c r="E295" s="95">
        <v>6568971.0</v>
      </c>
      <c r="F295" s="95" t="s">
        <v>886</v>
      </c>
      <c r="G295" s="82" t="s">
        <v>349</v>
      </c>
      <c r="H295" s="90" t="s">
        <v>793</v>
      </c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</row>
    <row r="296" ht="40.5" customHeight="1">
      <c r="A296" s="90" t="s">
        <v>335</v>
      </c>
      <c r="B296" s="82" t="s">
        <v>336</v>
      </c>
      <c r="C296" s="82" t="s">
        <v>348</v>
      </c>
      <c r="D296" s="82" t="s">
        <v>354</v>
      </c>
      <c r="E296" s="95">
        <v>6568971.0</v>
      </c>
      <c r="F296" s="95" t="s">
        <v>886</v>
      </c>
      <c r="G296" s="82" t="s">
        <v>349</v>
      </c>
      <c r="H296" s="90" t="s">
        <v>793</v>
      </c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</row>
    <row r="297" ht="40.5" customHeight="1">
      <c r="A297" s="90" t="s">
        <v>335</v>
      </c>
      <c r="B297" s="82" t="s">
        <v>336</v>
      </c>
      <c r="C297" s="82" t="s">
        <v>348</v>
      </c>
      <c r="D297" s="82" t="s">
        <v>355</v>
      </c>
      <c r="E297" s="95">
        <v>6568971.0</v>
      </c>
      <c r="F297" s="95" t="s">
        <v>886</v>
      </c>
      <c r="G297" s="82" t="s">
        <v>349</v>
      </c>
      <c r="H297" s="90" t="s">
        <v>793</v>
      </c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</row>
    <row r="298" ht="40.5" customHeight="1">
      <c r="A298" s="90" t="s">
        <v>335</v>
      </c>
      <c r="B298" s="82" t="s">
        <v>336</v>
      </c>
      <c r="C298" s="82" t="s">
        <v>348</v>
      </c>
      <c r="D298" s="82" t="s">
        <v>356</v>
      </c>
      <c r="E298" s="95">
        <v>6568971.0</v>
      </c>
      <c r="F298" s="95" t="s">
        <v>886</v>
      </c>
      <c r="G298" s="82" t="s">
        <v>349</v>
      </c>
      <c r="H298" s="90" t="s">
        <v>793</v>
      </c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</row>
    <row r="299" ht="40.5" customHeight="1">
      <c r="A299" s="90" t="s">
        <v>335</v>
      </c>
      <c r="B299" s="82" t="s">
        <v>336</v>
      </c>
      <c r="C299" s="82" t="s">
        <v>348</v>
      </c>
      <c r="D299" s="82" t="s">
        <v>357</v>
      </c>
      <c r="E299" s="95">
        <v>6568971.0</v>
      </c>
      <c r="F299" s="95" t="s">
        <v>886</v>
      </c>
      <c r="G299" s="82" t="s">
        <v>349</v>
      </c>
      <c r="H299" s="90" t="s">
        <v>793</v>
      </c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</row>
    <row r="300" ht="40.5" customHeight="1">
      <c r="A300" s="90" t="s">
        <v>335</v>
      </c>
      <c r="B300" s="82" t="s">
        <v>336</v>
      </c>
      <c r="C300" s="82" t="s">
        <v>348</v>
      </c>
      <c r="D300" s="82" t="s">
        <v>358</v>
      </c>
      <c r="E300" s="95">
        <v>6568971.0</v>
      </c>
      <c r="F300" s="95" t="s">
        <v>886</v>
      </c>
      <c r="G300" s="82" t="s">
        <v>349</v>
      </c>
      <c r="H300" s="90" t="s">
        <v>793</v>
      </c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</row>
    <row r="301" ht="40.5" customHeight="1">
      <c r="A301" s="90" t="s">
        <v>335</v>
      </c>
      <c r="B301" s="82" t="s">
        <v>336</v>
      </c>
      <c r="C301" s="82" t="s">
        <v>348</v>
      </c>
      <c r="D301" s="82" t="s">
        <v>359</v>
      </c>
      <c r="E301" s="95">
        <v>6568971.0</v>
      </c>
      <c r="F301" s="95" t="s">
        <v>886</v>
      </c>
      <c r="G301" s="82" t="s">
        <v>349</v>
      </c>
      <c r="H301" s="90" t="s">
        <v>793</v>
      </c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</row>
    <row r="302" ht="40.5" customHeight="1">
      <c r="A302" s="90" t="s">
        <v>335</v>
      </c>
      <c r="B302" s="82" t="s">
        <v>336</v>
      </c>
      <c r="C302" s="82" t="s">
        <v>348</v>
      </c>
      <c r="D302" s="82" t="s">
        <v>360</v>
      </c>
      <c r="E302" s="95">
        <v>6568971.0</v>
      </c>
      <c r="F302" s="95" t="s">
        <v>886</v>
      </c>
      <c r="G302" s="82" t="s">
        <v>349</v>
      </c>
      <c r="H302" s="90" t="s">
        <v>793</v>
      </c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</row>
    <row r="303" ht="40.5" customHeight="1">
      <c r="A303" s="90" t="s">
        <v>335</v>
      </c>
      <c r="B303" s="82" t="s">
        <v>336</v>
      </c>
      <c r="C303" s="82" t="s">
        <v>361</v>
      </c>
      <c r="D303" s="82" t="s">
        <v>362</v>
      </c>
      <c r="E303" s="95">
        <v>6572367.0</v>
      </c>
      <c r="F303" s="95" t="s">
        <v>874</v>
      </c>
      <c r="G303" s="95" t="s">
        <v>887</v>
      </c>
      <c r="H303" s="90" t="s">
        <v>793</v>
      </c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</row>
    <row r="304" ht="40.5" customHeight="1">
      <c r="A304" s="90" t="s">
        <v>335</v>
      </c>
      <c r="B304" s="82" t="s">
        <v>336</v>
      </c>
      <c r="C304" s="82" t="s">
        <v>361</v>
      </c>
      <c r="D304" s="82" t="s">
        <v>363</v>
      </c>
      <c r="E304" s="95">
        <v>6572367.0</v>
      </c>
      <c r="F304" s="95" t="s">
        <v>874</v>
      </c>
      <c r="G304" s="95" t="s">
        <v>888</v>
      </c>
      <c r="H304" s="90" t="s">
        <v>793</v>
      </c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</row>
    <row r="305" ht="40.5" customHeight="1">
      <c r="A305" s="90" t="s">
        <v>335</v>
      </c>
      <c r="B305" s="82" t="s">
        <v>336</v>
      </c>
      <c r="C305" s="82" t="s">
        <v>361</v>
      </c>
      <c r="D305" s="82" t="s">
        <v>364</v>
      </c>
      <c r="E305" s="95">
        <v>6572367.0</v>
      </c>
      <c r="F305" s="95" t="s">
        <v>874</v>
      </c>
      <c r="G305" s="95" t="s">
        <v>889</v>
      </c>
      <c r="H305" s="90" t="s">
        <v>793</v>
      </c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</row>
    <row r="306" ht="40.5" customHeight="1">
      <c r="A306" s="90" t="s">
        <v>335</v>
      </c>
      <c r="B306" s="82" t="s">
        <v>336</v>
      </c>
      <c r="C306" s="82" t="s">
        <v>361</v>
      </c>
      <c r="D306" s="82" t="s">
        <v>365</v>
      </c>
      <c r="E306" s="95">
        <v>6572367.0</v>
      </c>
      <c r="F306" s="95" t="s">
        <v>874</v>
      </c>
      <c r="G306" s="95" t="s">
        <v>890</v>
      </c>
      <c r="H306" s="90" t="s">
        <v>793</v>
      </c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</row>
    <row r="307" ht="40.5" customHeight="1">
      <c r="A307" s="90" t="s">
        <v>335</v>
      </c>
      <c r="B307" s="82" t="s">
        <v>336</v>
      </c>
      <c r="C307" s="82" t="s">
        <v>361</v>
      </c>
      <c r="D307" s="82" t="s">
        <v>366</v>
      </c>
      <c r="E307" s="95">
        <v>6572367.0</v>
      </c>
      <c r="F307" s="95" t="s">
        <v>874</v>
      </c>
      <c r="G307" s="95" t="s">
        <v>891</v>
      </c>
      <c r="H307" s="90" t="s">
        <v>793</v>
      </c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</row>
    <row r="308" ht="40.5" customHeight="1">
      <c r="A308" s="90" t="s">
        <v>335</v>
      </c>
      <c r="B308" s="82" t="s">
        <v>336</v>
      </c>
      <c r="C308" s="82" t="s">
        <v>361</v>
      </c>
      <c r="D308" s="82" t="s">
        <v>367</v>
      </c>
      <c r="E308" s="95">
        <v>6572367.0</v>
      </c>
      <c r="F308" s="95" t="s">
        <v>874</v>
      </c>
      <c r="G308" s="95" t="s">
        <v>892</v>
      </c>
      <c r="H308" s="90" t="s">
        <v>793</v>
      </c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</row>
    <row r="309" ht="40.5" customHeight="1">
      <c r="A309" s="90" t="s">
        <v>335</v>
      </c>
      <c r="B309" s="82" t="s">
        <v>336</v>
      </c>
      <c r="C309" s="82" t="s">
        <v>361</v>
      </c>
      <c r="D309" s="82" t="s">
        <v>368</v>
      </c>
      <c r="E309" s="95">
        <v>6572367.0</v>
      </c>
      <c r="F309" s="95" t="s">
        <v>874</v>
      </c>
      <c r="G309" s="95" t="s">
        <v>893</v>
      </c>
      <c r="H309" s="90" t="s">
        <v>793</v>
      </c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</row>
    <row r="310" ht="40.5" customHeight="1">
      <c r="A310" s="90" t="s">
        <v>335</v>
      </c>
      <c r="B310" s="82" t="s">
        <v>336</v>
      </c>
      <c r="C310" s="82" t="s">
        <v>361</v>
      </c>
      <c r="D310" s="82" t="s">
        <v>369</v>
      </c>
      <c r="E310" s="95">
        <v>6572367.0</v>
      </c>
      <c r="F310" s="95" t="s">
        <v>874</v>
      </c>
      <c r="G310" s="95" t="s">
        <v>894</v>
      </c>
      <c r="H310" s="90" t="s">
        <v>793</v>
      </c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</row>
    <row r="311" ht="40.5" customHeight="1">
      <c r="A311" s="90" t="s">
        <v>335</v>
      </c>
      <c r="B311" s="82" t="s">
        <v>336</v>
      </c>
      <c r="C311" s="82" t="s">
        <v>361</v>
      </c>
      <c r="D311" s="82" t="s">
        <v>370</v>
      </c>
      <c r="E311" s="95">
        <v>6572367.0</v>
      </c>
      <c r="F311" s="95" t="s">
        <v>874</v>
      </c>
      <c r="G311" s="95" t="s">
        <v>895</v>
      </c>
      <c r="H311" s="90" t="s">
        <v>793</v>
      </c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</row>
    <row r="312" ht="40.5" customHeight="1">
      <c r="A312" s="90" t="s">
        <v>335</v>
      </c>
      <c r="B312" s="82" t="s">
        <v>336</v>
      </c>
      <c r="C312" s="82" t="s">
        <v>361</v>
      </c>
      <c r="D312" s="82" t="s">
        <v>371</v>
      </c>
      <c r="E312" s="95">
        <v>6572367.0</v>
      </c>
      <c r="F312" s="95" t="s">
        <v>874</v>
      </c>
      <c r="G312" s="95" t="s">
        <v>896</v>
      </c>
      <c r="H312" s="90" t="s">
        <v>793</v>
      </c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</row>
    <row r="313" ht="40.5" customHeight="1">
      <c r="A313" s="90" t="s">
        <v>335</v>
      </c>
      <c r="B313" s="82" t="s">
        <v>336</v>
      </c>
      <c r="C313" s="82" t="s">
        <v>361</v>
      </c>
      <c r="D313" s="82" t="s">
        <v>372</v>
      </c>
      <c r="E313" s="95">
        <v>6572367.0</v>
      </c>
      <c r="F313" s="95" t="s">
        <v>874</v>
      </c>
      <c r="G313" s="95" t="s">
        <v>897</v>
      </c>
      <c r="H313" s="90" t="s">
        <v>793</v>
      </c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</row>
    <row r="314" ht="40.5" customHeight="1">
      <c r="A314" s="90" t="s">
        <v>335</v>
      </c>
      <c r="B314" s="82" t="s">
        <v>336</v>
      </c>
      <c r="C314" s="82" t="s">
        <v>361</v>
      </c>
      <c r="D314" s="82" t="s">
        <v>373</v>
      </c>
      <c r="E314" s="95">
        <v>6572367.0</v>
      </c>
      <c r="F314" s="95" t="s">
        <v>874</v>
      </c>
      <c r="G314" s="95" t="s">
        <v>898</v>
      </c>
      <c r="H314" s="90" t="s">
        <v>793</v>
      </c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</row>
    <row r="315" ht="40.5" customHeight="1">
      <c r="A315" s="90" t="s">
        <v>335</v>
      </c>
      <c r="B315" s="82" t="s">
        <v>336</v>
      </c>
      <c r="C315" s="82" t="s">
        <v>361</v>
      </c>
      <c r="D315" s="82" t="s">
        <v>374</v>
      </c>
      <c r="E315" s="95">
        <v>6572367.0</v>
      </c>
      <c r="F315" s="95" t="s">
        <v>874</v>
      </c>
      <c r="G315" s="95" t="s">
        <v>899</v>
      </c>
      <c r="H315" s="90" t="s">
        <v>793</v>
      </c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</row>
    <row r="316" ht="40.5" customHeight="1">
      <c r="A316" s="90" t="s">
        <v>335</v>
      </c>
      <c r="B316" s="82" t="s">
        <v>336</v>
      </c>
      <c r="C316" s="82" t="s">
        <v>361</v>
      </c>
      <c r="D316" s="82" t="s">
        <v>375</v>
      </c>
      <c r="E316" s="95">
        <v>6572367.0</v>
      </c>
      <c r="F316" s="95" t="s">
        <v>874</v>
      </c>
      <c r="G316" s="95" t="s">
        <v>900</v>
      </c>
      <c r="H316" s="90" t="s">
        <v>793</v>
      </c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</row>
    <row r="317" ht="40.5" customHeight="1">
      <c r="A317" s="90" t="s">
        <v>335</v>
      </c>
      <c r="B317" s="82" t="s">
        <v>336</v>
      </c>
      <c r="C317" s="82" t="s">
        <v>361</v>
      </c>
      <c r="D317" s="82" t="s">
        <v>376</v>
      </c>
      <c r="E317" s="95">
        <v>6572367.0</v>
      </c>
      <c r="F317" s="95" t="s">
        <v>874</v>
      </c>
      <c r="G317" s="95" t="s">
        <v>901</v>
      </c>
      <c r="H317" s="90" t="s">
        <v>793</v>
      </c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</row>
    <row r="318" ht="40.5" customHeight="1">
      <c r="A318" s="90" t="s">
        <v>335</v>
      </c>
      <c r="B318" s="82" t="s">
        <v>336</v>
      </c>
      <c r="C318" s="82" t="s">
        <v>361</v>
      </c>
      <c r="D318" s="82" t="s">
        <v>377</v>
      </c>
      <c r="E318" s="95">
        <v>6572367.0</v>
      </c>
      <c r="F318" s="95" t="s">
        <v>874</v>
      </c>
      <c r="G318" s="95" t="s">
        <v>902</v>
      </c>
      <c r="H318" s="90" t="s">
        <v>793</v>
      </c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</row>
    <row r="319" ht="40.5" customHeight="1">
      <c r="A319" s="90" t="s">
        <v>335</v>
      </c>
      <c r="B319" s="82" t="s">
        <v>336</v>
      </c>
      <c r="C319" s="82" t="s">
        <v>361</v>
      </c>
      <c r="D319" s="82" t="s">
        <v>378</v>
      </c>
      <c r="E319" s="95">
        <v>6572367.0</v>
      </c>
      <c r="F319" s="95" t="s">
        <v>874</v>
      </c>
      <c r="G319" s="95" t="s">
        <v>903</v>
      </c>
      <c r="H319" s="90" t="s">
        <v>793</v>
      </c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</row>
    <row r="320" ht="40.5" customHeight="1">
      <c r="A320" s="90" t="s">
        <v>335</v>
      </c>
      <c r="B320" s="96" t="s">
        <v>379</v>
      </c>
      <c r="C320" s="97" t="s">
        <v>380</v>
      </c>
      <c r="D320" s="97" t="s">
        <v>381</v>
      </c>
      <c r="E320" s="97">
        <v>2089327.0</v>
      </c>
      <c r="F320" s="97" t="s">
        <v>904</v>
      </c>
      <c r="G320" s="97" t="s">
        <v>380</v>
      </c>
      <c r="H320" s="90" t="s">
        <v>793</v>
      </c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</row>
    <row r="321" ht="40.5" customHeight="1">
      <c r="A321" s="90" t="s">
        <v>335</v>
      </c>
      <c r="B321" s="96" t="s">
        <v>379</v>
      </c>
      <c r="C321" s="97" t="s">
        <v>380</v>
      </c>
      <c r="D321" s="97" t="s">
        <v>380</v>
      </c>
      <c r="E321" s="97">
        <v>2089327.0</v>
      </c>
      <c r="F321" s="97" t="s">
        <v>904</v>
      </c>
      <c r="G321" s="97" t="s">
        <v>380</v>
      </c>
      <c r="H321" s="90" t="s">
        <v>793</v>
      </c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</row>
    <row r="322" ht="40.5" customHeight="1">
      <c r="A322" s="90" t="s">
        <v>335</v>
      </c>
      <c r="B322" s="96" t="s">
        <v>379</v>
      </c>
      <c r="C322" s="97" t="s">
        <v>380</v>
      </c>
      <c r="D322" s="97" t="s">
        <v>382</v>
      </c>
      <c r="E322" s="97">
        <v>2089327.0</v>
      </c>
      <c r="F322" s="97" t="s">
        <v>904</v>
      </c>
      <c r="G322" s="97" t="s">
        <v>380</v>
      </c>
      <c r="H322" s="90" t="s">
        <v>793</v>
      </c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</row>
    <row r="323" ht="40.5" customHeight="1">
      <c r="A323" s="90" t="s">
        <v>335</v>
      </c>
      <c r="B323" s="96" t="s">
        <v>379</v>
      </c>
      <c r="C323" s="97" t="s">
        <v>380</v>
      </c>
      <c r="D323" s="97" t="s">
        <v>383</v>
      </c>
      <c r="E323" s="97">
        <v>2089327.0</v>
      </c>
      <c r="F323" s="97" t="s">
        <v>904</v>
      </c>
      <c r="G323" s="97" t="s">
        <v>380</v>
      </c>
      <c r="H323" s="90" t="s">
        <v>793</v>
      </c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</row>
    <row r="324" ht="40.5" customHeight="1">
      <c r="A324" s="90" t="s">
        <v>335</v>
      </c>
      <c r="B324" s="96" t="s">
        <v>379</v>
      </c>
      <c r="C324" s="97" t="s">
        <v>380</v>
      </c>
      <c r="D324" s="97" t="s">
        <v>384</v>
      </c>
      <c r="E324" s="97">
        <v>2089327.0</v>
      </c>
      <c r="F324" s="97" t="s">
        <v>904</v>
      </c>
      <c r="G324" s="97" t="s">
        <v>380</v>
      </c>
      <c r="H324" s="90" t="s">
        <v>793</v>
      </c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</row>
    <row r="325" ht="40.5" customHeight="1">
      <c r="A325" s="90" t="s">
        <v>335</v>
      </c>
      <c r="B325" s="96" t="s">
        <v>379</v>
      </c>
      <c r="C325" s="97" t="s">
        <v>380</v>
      </c>
      <c r="D325" s="97" t="s">
        <v>385</v>
      </c>
      <c r="E325" s="97">
        <v>2089327.0</v>
      </c>
      <c r="F325" s="97" t="s">
        <v>904</v>
      </c>
      <c r="G325" s="97" t="s">
        <v>380</v>
      </c>
      <c r="H325" s="90" t="s">
        <v>793</v>
      </c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</row>
    <row r="326" ht="40.5" customHeight="1">
      <c r="A326" s="90" t="s">
        <v>335</v>
      </c>
      <c r="B326" s="96" t="s">
        <v>379</v>
      </c>
      <c r="C326" s="97" t="s">
        <v>380</v>
      </c>
      <c r="D326" s="97" t="s">
        <v>386</v>
      </c>
      <c r="E326" s="97">
        <v>2089327.0</v>
      </c>
      <c r="F326" s="97" t="s">
        <v>904</v>
      </c>
      <c r="G326" s="97" t="s">
        <v>380</v>
      </c>
      <c r="H326" s="90" t="s">
        <v>793</v>
      </c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</row>
    <row r="327" ht="40.5" customHeight="1">
      <c r="A327" s="90" t="s">
        <v>335</v>
      </c>
      <c r="B327" s="96" t="s">
        <v>379</v>
      </c>
      <c r="C327" s="97" t="s">
        <v>380</v>
      </c>
      <c r="D327" s="97" t="s">
        <v>387</v>
      </c>
      <c r="E327" s="97">
        <v>2089327.0</v>
      </c>
      <c r="F327" s="97" t="s">
        <v>904</v>
      </c>
      <c r="G327" s="97" t="s">
        <v>380</v>
      </c>
      <c r="H327" s="90" t="s">
        <v>793</v>
      </c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</row>
    <row r="328" ht="40.5" customHeight="1">
      <c r="A328" s="90" t="s">
        <v>335</v>
      </c>
      <c r="B328" s="96" t="s">
        <v>379</v>
      </c>
      <c r="C328" s="97" t="s">
        <v>380</v>
      </c>
      <c r="D328" s="97" t="s">
        <v>388</v>
      </c>
      <c r="E328" s="97">
        <v>2089327.0</v>
      </c>
      <c r="F328" s="97" t="s">
        <v>904</v>
      </c>
      <c r="G328" s="97" t="s">
        <v>380</v>
      </c>
      <c r="H328" s="90" t="s">
        <v>793</v>
      </c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</row>
    <row r="329" ht="40.5" customHeight="1">
      <c r="A329" s="90" t="s">
        <v>335</v>
      </c>
      <c r="B329" s="96" t="s">
        <v>379</v>
      </c>
      <c r="C329" s="97" t="s">
        <v>380</v>
      </c>
      <c r="D329" s="97" t="s">
        <v>389</v>
      </c>
      <c r="E329" s="97">
        <v>2089327.0</v>
      </c>
      <c r="F329" s="97" t="s">
        <v>904</v>
      </c>
      <c r="G329" s="97" t="s">
        <v>380</v>
      </c>
      <c r="H329" s="90" t="s">
        <v>793</v>
      </c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</row>
    <row r="330" ht="40.5" customHeight="1">
      <c r="A330" s="90" t="s">
        <v>335</v>
      </c>
      <c r="B330" s="96" t="s">
        <v>379</v>
      </c>
      <c r="C330" s="97" t="s">
        <v>380</v>
      </c>
      <c r="D330" s="97" t="s">
        <v>390</v>
      </c>
      <c r="E330" s="97">
        <v>2089327.0</v>
      </c>
      <c r="F330" s="97" t="s">
        <v>904</v>
      </c>
      <c r="G330" s="97" t="s">
        <v>380</v>
      </c>
      <c r="H330" s="90" t="s">
        <v>793</v>
      </c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</row>
    <row r="331" ht="40.5" customHeight="1">
      <c r="A331" s="90" t="s">
        <v>335</v>
      </c>
      <c r="B331" s="96" t="s">
        <v>379</v>
      </c>
      <c r="C331" s="97" t="s">
        <v>380</v>
      </c>
      <c r="D331" s="97" t="s">
        <v>391</v>
      </c>
      <c r="E331" s="97">
        <v>2089327.0</v>
      </c>
      <c r="F331" s="97" t="s">
        <v>904</v>
      </c>
      <c r="G331" s="97" t="s">
        <v>380</v>
      </c>
      <c r="H331" s="90" t="s">
        <v>793</v>
      </c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</row>
    <row r="332" ht="40.5" customHeight="1">
      <c r="A332" s="90" t="s">
        <v>335</v>
      </c>
      <c r="B332" s="96" t="s">
        <v>379</v>
      </c>
      <c r="C332" s="97" t="s">
        <v>380</v>
      </c>
      <c r="D332" s="97" t="s">
        <v>392</v>
      </c>
      <c r="E332" s="97">
        <v>2089327.0</v>
      </c>
      <c r="F332" s="97" t="s">
        <v>904</v>
      </c>
      <c r="G332" s="97" t="s">
        <v>380</v>
      </c>
      <c r="H332" s="90" t="s">
        <v>793</v>
      </c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</row>
    <row r="333" ht="40.5" customHeight="1">
      <c r="A333" s="90" t="s">
        <v>335</v>
      </c>
      <c r="B333" s="96" t="s">
        <v>379</v>
      </c>
      <c r="C333" s="97" t="s">
        <v>380</v>
      </c>
      <c r="D333" s="97" t="s">
        <v>393</v>
      </c>
      <c r="E333" s="97">
        <v>2089327.0</v>
      </c>
      <c r="F333" s="97" t="s">
        <v>904</v>
      </c>
      <c r="G333" s="97" t="s">
        <v>380</v>
      </c>
      <c r="H333" s="90" t="s">
        <v>793</v>
      </c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</row>
    <row r="334" ht="40.5" customHeight="1">
      <c r="A334" s="90" t="s">
        <v>335</v>
      </c>
      <c r="B334" s="96" t="s">
        <v>379</v>
      </c>
      <c r="C334" s="97" t="s">
        <v>380</v>
      </c>
      <c r="D334" s="97" t="s">
        <v>394</v>
      </c>
      <c r="E334" s="97">
        <v>2089327.0</v>
      </c>
      <c r="F334" s="97" t="s">
        <v>904</v>
      </c>
      <c r="G334" s="97" t="s">
        <v>380</v>
      </c>
      <c r="H334" s="90" t="s">
        <v>793</v>
      </c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</row>
    <row r="335" ht="40.5" customHeight="1">
      <c r="A335" s="90" t="s">
        <v>335</v>
      </c>
      <c r="B335" s="96" t="s">
        <v>379</v>
      </c>
      <c r="C335" s="97" t="s">
        <v>380</v>
      </c>
      <c r="D335" s="97" t="s">
        <v>395</v>
      </c>
      <c r="E335" s="97">
        <v>2089327.0</v>
      </c>
      <c r="F335" s="97" t="s">
        <v>904</v>
      </c>
      <c r="G335" s="97" t="s">
        <v>380</v>
      </c>
      <c r="H335" s="90" t="s">
        <v>793</v>
      </c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</row>
    <row r="336" ht="40.5" customHeight="1">
      <c r="A336" s="90" t="s">
        <v>335</v>
      </c>
      <c r="B336" s="96" t="s">
        <v>379</v>
      </c>
      <c r="C336" s="97" t="s">
        <v>380</v>
      </c>
      <c r="D336" s="97" t="s">
        <v>396</v>
      </c>
      <c r="E336" s="97">
        <v>2089327.0</v>
      </c>
      <c r="F336" s="97" t="s">
        <v>904</v>
      </c>
      <c r="G336" s="97" t="s">
        <v>380</v>
      </c>
      <c r="H336" s="90" t="s">
        <v>793</v>
      </c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</row>
    <row r="337" ht="40.5" customHeight="1">
      <c r="A337" s="90" t="s">
        <v>335</v>
      </c>
      <c r="B337" s="96" t="s">
        <v>379</v>
      </c>
      <c r="C337" s="97" t="s">
        <v>380</v>
      </c>
      <c r="D337" s="97" t="s">
        <v>397</v>
      </c>
      <c r="E337" s="97">
        <v>2089327.0</v>
      </c>
      <c r="F337" s="97" t="s">
        <v>904</v>
      </c>
      <c r="G337" s="97" t="s">
        <v>380</v>
      </c>
      <c r="H337" s="90" t="s">
        <v>793</v>
      </c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</row>
    <row r="338" ht="40.5" customHeight="1">
      <c r="A338" s="90" t="s">
        <v>335</v>
      </c>
      <c r="B338" s="96" t="s">
        <v>379</v>
      </c>
      <c r="C338" s="97" t="s">
        <v>380</v>
      </c>
      <c r="D338" s="97" t="s">
        <v>398</v>
      </c>
      <c r="E338" s="97">
        <v>2089327.0</v>
      </c>
      <c r="F338" s="97" t="s">
        <v>904</v>
      </c>
      <c r="G338" s="97" t="s">
        <v>380</v>
      </c>
      <c r="H338" s="90" t="s">
        <v>793</v>
      </c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</row>
    <row r="339" ht="40.5" customHeight="1">
      <c r="A339" s="90" t="s">
        <v>335</v>
      </c>
      <c r="B339" s="96" t="s">
        <v>379</v>
      </c>
      <c r="C339" s="97" t="s">
        <v>399</v>
      </c>
      <c r="D339" s="97" t="s">
        <v>400</v>
      </c>
      <c r="E339" s="97">
        <v>2077396.0</v>
      </c>
      <c r="F339" s="97" t="s">
        <v>905</v>
      </c>
      <c r="G339" s="96" t="s">
        <v>379</v>
      </c>
      <c r="H339" s="90" t="s">
        <v>793</v>
      </c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</row>
    <row r="340" ht="40.5" customHeight="1">
      <c r="A340" s="90" t="s">
        <v>335</v>
      </c>
      <c r="B340" s="96" t="s">
        <v>379</v>
      </c>
      <c r="C340" s="97" t="s">
        <v>399</v>
      </c>
      <c r="D340" s="97" t="s">
        <v>401</v>
      </c>
      <c r="E340" s="97">
        <v>2077396.0</v>
      </c>
      <c r="F340" s="97" t="s">
        <v>905</v>
      </c>
      <c r="G340" s="96" t="s">
        <v>379</v>
      </c>
      <c r="H340" s="90" t="s">
        <v>793</v>
      </c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</row>
    <row r="341" ht="40.5" customHeight="1">
      <c r="A341" s="90" t="s">
        <v>335</v>
      </c>
      <c r="B341" s="96" t="s">
        <v>379</v>
      </c>
      <c r="C341" s="97" t="s">
        <v>399</v>
      </c>
      <c r="D341" s="97" t="s">
        <v>402</v>
      </c>
      <c r="E341" s="97">
        <v>2077396.0</v>
      </c>
      <c r="F341" s="97" t="s">
        <v>905</v>
      </c>
      <c r="G341" s="96" t="s">
        <v>379</v>
      </c>
      <c r="H341" s="90" t="s">
        <v>793</v>
      </c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</row>
    <row r="342" ht="40.5" customHeight="1">
      <c r="A342" s="90" t="s">
        <v>335</v>
      </c>
      <c r="B342" s="96" t="s">
        <v>379</v>
      </c>
      <c r="C342" s="97" t="s">
        <v>399</v>
      </c>
      <c r="D342" s="97" t="s">
        <v>399</v>
      </c>
      <c r="E342" s="97">
        <v>2077396.0</v>
      </c>
      <c r="F342" s="97" t="s">
        <v>905</v>
      </c>
      <c r="G342" s="96" t="s">
        <v>379</v>
      </c>
      <c r="H342" s="90" t="s">
        <v>793</v>
      </c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</row>
    <row r="343" ht="40.5" customHeight="1">
      <c r="A343" s="90" t="s">
        <v>335</v>
      </c>
      <c r="B343" s="96" t="s">
        <v>379</v>
      </c>
      <c r="C343" s="97" t="s">
        <v>399</v>
      </c>
      <c r="D343" s="97" t="s">
        <v>403</v>
      </c>
      <c r="E343" s="97">
        <v>2077396.0</v>
      </c>
      <c r="F343" s="97" t="s">
        <v>905</v>
      </c>
      <c r="G343" s="96" t="s">
        <v>379</v>
      </c>
      <c r="H343" s="90" t="s">
        <v>793</v>
      </c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</row>
    <row r="344" ht="40.5" customHeight="1">
      <c r="A344" s="90" t="s">
        <v>335</v>
      </c>
      <c r="B344" s="96" t="s">
        <v>379</v>
      </c>
      <c r="C344" s="97" t="s">
        <v>399</v>
      </c>
      <c r="D344" s="97" t="s">
        <v>404</v>
      </c>
      <c r="E344" s="97">
        <v>2077396.0</v>
      </c>
      <c r="F344" s="97" t="s">
        <v>905</v>
      </c>
      <c r="G344" s="96" t="s">
        <v>379</v>
      </c>
      <c r="H344" s="90" t="s">
        <v>793</v>
      </c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</row>
    <row r="345" ht="40.5" customHeight="1">
      <c r="A345" s="90" t="s">
        <v>335</v>
      </c>
      <c r="B345" s="96" t="s">
        <v>379</v>
      </c>
      <c r="C345" s="97" t="s">
        <v>405</v>
      </c>
      <c r="D345" s="97" t="s">
        <v>406</v>
      </c>
      <c r="E345" s="97">
        <v>2077396.0</v>
      </c>
      <c r="F345" s="97" t="s">
        <v>905</v>
      </c>
      <c r="G345" s="96" t="s">
        <v>379</v>
      </c>
      <c r="H345" s="90" t="s">
        <v>793</v>
      </c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</row>
    <row r="346" ht="40.5" customHeight="1">
      <c r="A346" s="90" t="s">
        <v>335</v>
      </c>
      <c r="B346" s="96" t="s">
        <v>379</v>
      </c>
      <c r="C346" s="97" t="s">
        <v>405</v>
      </c>
      <c r="D346" s="97" t="s">
        <v>407</v>
      </c>
      <c r="E346" s="97">
        <v>2077396.0</v>
      </c>
      <c r="F346" s="97" t="s">
        <v>905</v>
      </c>
      <c r="G346" s="96" t="s">
        <v>379</v>
      </c>
      <c r="H346" s="90" t="s">
        <v>793</v>
      </c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</row>
    <row r="347" ht="40.5" customHeight="1">
      <c r="A347" s="90" t="s">
        <v>335</v>
      </c>
      <c r="B347" s="96" t="s">
        <v>379</v>
      </c>
      <c r="C347" s="97" t="s">
        <v>405</v>
      </c>
      <c r="D347" s="97" t="s">
        <v>408</v>
      </c>
      <c r="E347" s="97">
        <v>2077396.0</v>
      </c>
      <c r="F347" s="97" t="s">
        <v>905</v>
      </c>
      <c r="G347" s="96" t="s">
        <v>379</v>
      </c>
      <c r="H347" s="90" t="s">
        <v>793</v>
      </c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</row>
    <row r="348" ht="40.5" customHeight="1">
      <c r="A348" s="90" t="s">
        <v>335</v>
      </c>
      <c r="B348" s="96" t="s">
        <v>379</v>
      </c>
      <c r="C348" s="97" t="s">
        <v>405</v>
      </c>
      <c r="D348" s="97" t="s">
        <v>409</v>
      </c>
      <c r="E348" s="97">
        <v>2077396.0</v>
      </c>
      <c r="F348" s="97" t="s">
        <v>905</v>
      </c>
      <c r="G348" s="96" t="s">
        <v>379</v>
      </c>
      <c r="H348" s="90" t="s">
        <v>793</v>
      </c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</row>
    <row r="349" ht="40.5" customHeight="1">
      <c r="A349" s="90" t="s">
        <v>335</v>
      </c>
      <c r="B349" s="96" t="s">
        <v>379</v>
      </c>
      <c r="C349" s="97" t="s">
        <v>405</v>
      </c>
      <c r="D349" s="97" t="s">
        <v>405</v>
      </c>
      <c r="E349" s="97">
        <v>2077396.0</v>
      </c>
      <c r="F349" s="97" t="s">
        <v>905</v>
      </c>
      <c r="G349" s="96" t="s">
        <v>379</v>
      </c>
      <c r="H349" s="90" t="s">
        <v>793</v>
      </c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</row>
    <row r="350" ht="40.5" customHeight="1">
      <c r="A350" s="90" t="s">
        <v>335</v>
      </c>
      <c r="B350" s="96" t="s">
        <v>379</v>
      </c>
      <c r="C350" s="97" t="s">
        <v>405</v>
      </c>
      <c r="D350" s="97" t="s">
        <v>410</v>
      </c>
      <c r="E350" s="97">
        <v>2077396.0</v>
      </c>
      <c r="F350" s="97" t="s">
        <v>905</v>
      </c>
      <c r="G350" s="96" t="s">
        <v>379</v>
      </c>
      <c r="H350" s="90" t="s">
        <v>793</v>
      </c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</row>
    <row r="351" ht="40.5" customHeight="1">
      <c r="A351" s="90" t="s">
        <v>335</v>
      </c>
      <c r="B351" s="96" t="s">
        <v>379</v>
      </c>
      <c r="C351" s="97" t="s">
        <v>405</v>
      </c>
      <c r="D351" s="97" t="s">
        <v>411</v>
      </c>
      <c r="E351" s="97">
        <v>2077396.0</v>
      </c>
      <c r="F351" s="97" t="s">
        <v>905</v>
      </c>
      <c r="G351" s="96" t="s">
        <v>379</v>
      </c>
      <c r="H351" s="90" t="s">
        <v>793</v>
      </c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</row>
    <row r="352" ht="40.5" customHeight="1">
      <c r="A352" s="90" t="s">
        <v>335</v>
      </c>
      <c r="B352" s="96" t="s">
        <v>379</v>
      </c>
      <c r="C352" s="97" t="s">
        <v>405</v>
      </c>
      <c r="D352" s="97" t="s">
        <v>412</v>
      </c>
      <c r="E352" s="97">
        <v>2077396.0</v>
      </c>
      <c r="F352" s="97" t="s">
        <v>905</v>
      </c>
      <c r="G352" s="96" t="s">
        <v>379</v>
      </c>
      <c r="H352" s="90" t="s">
        <v>793</v>
      </c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</row>
    <row r="353" ht="40.5" customHeight="1">
      <c r="A353" s="90" t="s">
        <v>335</v>
      </c>
      <c r="B353" s="96" t="s">
        <v>379</v>
      </c>
      <c r="C353" s="97" t="s">
        <v>405</v>
      </c>
      <c r="D353" s="97" t="s">
        <v>413</v>
      </c>
      <c r="E353" s="97">
        <v>2077396.0</v>
      </c>
      <c r="F353" s="97" t="s">
        <v>905</v>
      </c>
      <c r="G353" s="96" t="s">
        <v>379</v>
      </c>
      <c r="H353" s="90" t="s">
        <v>793</v>
      </c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</row>
    <row r="354" ht="40.5" customHeight="1">
      <c r="A354" s="90" t="s">
        <v>335</v>
      </c>
      <c r="B354" s="96" t="s">
        <v>379</v>
      </c>
      <c r="C354" s="97" t="s">
        <v>405</v>
      </c>
      <c r="D354" s="97" t="s">
        <v>414</v>
      </c>
      <c r="E354" s="97">
        <v>2077396.0</v>
      </c>
      <c r="F354" s="97" t="s">
        <v>905</v>
      </c>
      <c r="G354" s="96" t="s">
        <v>379</v>
      </c>
      <c r="H354" s="90" t="s">
        <v>793</v>
      </c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</row>
    <row r="355" ht="40.5" customHeight="1">
      <c r="A355" s="90" t="s">
        <v>335</v>
      </c>
      <c r="B355" s="96" t="s">
        <v>379</v>
      </c>
      <c r="C355" s="97" t="s">
        <v>405</v>
      </c>
      <c r="D355" s="97" t="s">
        <v>415</v>
      </c>
      <c r="E355" s="97">
        <v>2077396.0</v>
      </c>
      <c r="F355" s="97" t="s">
        <v>905</v>
      </c>
      <c r="G355" s="96" t="s">
        <v>379</v>
      </c>
      <c r="H355" s="90" t="s">
        <v>793</v>
      </c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</row>
    <row r="356" ht="40.5" customHeight="1">
      <c r="A356" s="90" t="s">
        <v>335</v>
      </c>
      <c r="B356" s="96" t="s">
        <v>379</v>
      </c>
      <c r="C356" s="97" t="s">
        <v>405</v>
      </c>
      <c r="D356" s="97" t="s">
        <v>416</v>
      </c>
      <c r="E356" s="97">
        <v>2077396.0</v>
      </c>
      <c r="F356" s="97" t="s">
        <v>905</v>
      </c>
      <c r="G356" s="96" t="s">
        <v>379</v>
      </c>
      <c r="H356" s="90" t="s">
        <v>793</v>
      </c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</row>
    <row r="357" ht="40.5" customHeight="1">
      <c r="A357" s="90" t="s">
        <v>335</v>
      </c>
      <c r="B357" s="96" t="s">
        <v>379</v>
      </c>
      <c r="C357" s="97" t="s">
        <v>405</v>
      </c>
      <c r="D357" s="97" t="s">
        <v>417</v>
      </c>
      <c r="E357" s="97">
        <v>2077396.0</v>
      </c>
      <c r="F357" s="97" t="s">
        <v>905</v>
      </c>
      <c r="G357" s="96" t="s">
        <v>379</v>
      </c>
      <c r="H357" s="90" t="s">
        <v>793</v>
      </c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</row>
    <row r="358" ht="40.5" customHeight="1">
      <c r="A358" s="90" t="s">
        <v>335</v>
      </c>
      <c r="B358" s="96" t="s">
        <v>379</v>
      </c>
      <c r="C358" s="97" t="s">
        <v>405</v>
      </c>
      <c r="D358" s="97" t="s">
        <v>418</v>
      </c>
      <c r="E358" s="97">
        <v>2077396.0</v>
      </c>
      <c r="F358" s="97" t="s">
        <v>905</v>
      </c>
      <c r="G358" s="96" t="s">
        <v>379</v>
      </c>
      <c r="H358" s="90" t="s">
        <v>793</v>
      </c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</row>
    <row r="359" ht="40.5" customHeight="1">
      <c r="A359" s="90" t="s">
        <v>335</v>
      </c>
      <c r="B359" s="96" t="s">
        <v>379</v>
      </c>
      <c r="C359" s="97" t="s">
        <v>405</v>
      </c>
      <c r="D359" s="97" t="s">
        <v>419</v>
      </c>
      <c r="E359" s="97">
        <v>2077396.0</v>
      </c>
      <c r="F359" s="97" t="s">
        <v>905</v>
      </c>
      <c r="G359" s="96" t="s">
        <v>379</v>
      </c>
      <c r="H359" s="90" t="s">
        <v>793</v>
      </c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</row>
    <row r="360" ht="40.5" customHeight="1">
      <c r="A360" s="90" t="s">
        <v>335</v>
      </c>
      <c r="B360" s="96" t="s">
        <v>379</v>
      </c>
      <c r="C360" s="97" t="s">
        <v>405</v>
      </c>
      <c r="D360" s="97" t="s">
        <v>420</v>
      </c>
      <c r="E360" s="97">
        <v>2077396.0</v>
      </c>
      <c r="F360" s="97" t="s">
        <v>905</v>
      </c>
      <c r="G360" s="96" t="s">
        <v>379</v>
      </c>
      <c r="H360" s="90" t="s">
        <v>793</v>
      </c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</row>
    <row r="361" ht="40.5" customHeight="1">
      <c r="A361" s="90" t="s">
        <v>335</v>
      </c>
      <c r="B361" s="96" t="s">
        <v>379</v>
      </c>
      <c r="C361" s="97" t="s">
        <v>421</v>
      </c>
      <c r="D361" s="97" t="s">
        <v>422</v>
      </c>
      <c r="E361" s="97">
        <v>2077396.0</v>
      </c>
      <c r="F361" s="97" t="s">
        <v>905</v>
      </c>
      <c r="G361" s="96" t="s">
        <v>379</v>
      </c>
      <c r="H361" s="90" t="s">
        <v>793</v>
      </c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</row>
    <row r="362" ht="40.5" customHeight="1">
      <c r="A362" s="90" t="s">
        <v>335</v>
      </c>
      <c r="B362" s="96" t="s">
        <v>379</v>
      </c>
      <c r="C362" s="97" t="s">
        <v>421</v>
      </c>
      <c r="D362" s="97" t="s">
        <v>421</v>
      </c>
      <c r="E362" s="97">
        <v>2077396.0</v>
      </c>
      <c r="F362" s="97" t="s">
        <v>905</v>
      </c>
      <c r="G362" s="96" t="s">
        <v>379</v>
      </c>
      <c r="H362" s="90" t="s">
        <v>793</v>
      </c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</row>
    <row r="363" ht="40.5" customHeight="1">
      <c r="A363" s="90" t="s">
        <v>335</v>
      </c>
      <c r="B363" s="96" t="s">
        <v>379</v>
      </c>
      <c r="C363" s="97" t="s">
        <v>421</v>
      </c>
      <c r="D363" s="97" t="s">
        <v>423</v>
      </c>
      <c r="E363" s="97">
        <v>2077396.0</v>
      </c>
      <c r="F363" s="97" t="s">
        <v>905</v>
      </c>
      <c r="G363" s="96" t="s">
        <v>379</v>
      </c>
      <c r="H363" s="90" t="s">
        <v>793</v>
      </c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</row>
    <row r="364" ht="40.5" customHeight="1">
      <c r="A364" s="90" t="s">
        <v>335</v>
      </c>
      <c r="B364" s="96" t="s">
        <v>379</v>
      </c>
      <c r="C364" s="97" t="s">
        <v>421</v>
      </c>
      <c r="D364" s="97" t="s">
        <v>424</v>
      </c>
      <c r="E364" s="97">
        <v>2077396.0</v>
      </c>
      <c r="F364" s="97" t="s">
        <v>905</v>
      </c>
      <c r="G364" s="96" t="s">
        <v>379</v>
      </c>
      <c r="H364" s="90" t="s">
        <v>793</v>
      </c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</row>
    <row r="365" ht="40.5" customHeight="1">
      <c r="A365" s="90" t="s">
        <v>335</v>
      </c>
      <c r="B365" s="96" t="s">
        <v>379</v>
      </c>
      <c r="C365" s="97" t="s">
        <v>421</v>
      </c>
      <c r="D365" s="97" t="s">
        <v>425</v>
      </c>
      <c r="E365" s="97">
        <v>2077396.0</v>
      </c>
      <c r="F365" s="97" t="s">
        <v>905</v>
      </c>
      <c r="G365" s="96" t="s">
        <v>379</v>
      </c>
      <c r="H365" s="90" t="s">
        <v>793</v>
      </c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</row>
    <row r="366" ht="40.5" customHeight="1">
      <c r="A366" s="90" t="s">
        <v>335</v>
      </c>
      <c r="B366" s="96" t="s">
        <v>379</v>
      </c>
      <c r="C366" s="97" t="s">
        <v>421</v>
      </c>
      <c r="D366" s="97" t="s">
        <v>426</v>
      </c>
      <c r="E366" s="97">
        <v>2077396.0</v>
      </c>
      <c r="F366" s="97" t="s">
        <v>905</v>
      </c>
      <c r="G366" s="96" t="s">
        <v>379</v>
      </c>
      <c r="H366" s="90" t="s">
        <v>793</v>
      </c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</row>
    <row r="367" ht="40.5" customHeight="1">
      <c r="A367" s="90" t="s">
        <v>335</v>
      </c>
      <c r="B367" s="96" t="s">
        <v>379</v>
      </c>
      <c r="C367" s="97" t="s">
        <v>421</v>
      </c>
      <c r="D367" s="97" t="s">
        <v>427</v>
      </c>
      <c r="E367" s="97">
        <v>2077396.0</v>
      </c>
      <c r="F367" s="97" t="s">
        <v>905</v>
      </c>
      <c r="G367" s="96" t="s">
        <v>379</v>
      </c>
      <c r="H367" s="90" t="s">
        <v>793</v>
      </c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</row>
    <row r="368" ht="40.5" customHeight="1">
      <c r="A368" s="90" t="s">
        <v>335</v>
      </c>
      <c r="B368" s="96" t="s">
        <v>379</v>
      </c>
      <c r="C368" s="97" t="s">
        <v>421</v>
      </c>
      <c r="D368" s="97" t="s">
        <v>428</v>
      </c>
      <c r="E368" s="97">
        <v>2077396.0</v>
      </c>
      <c r="F368" s="97" t="s">
        <v>905</v>
      </c>
      <c r="G368" s="96" t="s">
        <v>379</v>
      </c>
      <c r="H368" s="90" t="s">
        <v>793</v>
      </c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</row>
    <row r="369" ht="40.5" customHeight="1">
      <c r="A369" s="90" t="s">
        <v>335</v>
      </c>
      <c r="B369" s="96" t="s">
        <v>379</v>
      </c>
      <c r="C369" s="97" t="s">
        <v>421</v>
      </c>
      <c r="D369" s="97" t="s">
        <v>429</v>
      </c>
      <c r="E369" s="97">
        <v>2077396.0</v>
      </c>
      <c r="F369" s="97" t="s">
        <v>905</v>
      </c>
      <c r="G369" s="96" t="s">
        <v>379</v>
      </c>
      <c r="H369" s="90" t="s">
        <v>793</v>
      </c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</row>
    <row r="370" ht="40.5" customHeight="1">
      <c r="A370" s="90" t="s">
        <v>335</v>
      </c>
      <c r="B370" s="96" t="s">
        <v>379</v>
      </c>
      <c r="C370" s="97" t="s">
        <v>421</v>
      </c>
      <c r="D370" s="97" t="s">
        <v>430</v>
      </c>
      <c r="E370" s="97">
        <v>2077396.0</v>
      </c>
      <c r="F370" s="97" t="s">
        <v>905</v>
      </c>
      <c r="G370" s="96" t="s">
        <v>379</v>
      </c>
      <c r="H370" s="90" t="s">
        <v>793</v>
      </c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</row>
    <row r="371" ht="40.5" customHeight="1">
      <c r="A371" s="90" t="s">
        <v>335</v>
      </c>
      <c r="B371" s="96" t="s">
        <v>379</v>
      </c>
      <c r="C371" s="97" t="s">
        <v>421</v>
      </c>
      <c r="D371" s="97" t="s">
        <v>431</v>
      </c>
      <c r="E371" s="97">
        <v>2077396.0</v>
      </c>
      <c r="F371" s="97" t="s">
        <v>905</v>
      </c>
      <c r="G371" s="96" t="s">
        <v>379</v>
      </c>
      <c r="H371" s="90" t="s">
        <v>793</v>
      </c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</row>
    <row r="372" ht="40.5" customHeight="1">
      <c r="A372" s="90" t="s">
        <v>335</v>
      </c>
      <c r="B372" s="96" t="s">
        <v>379</v>
      </c>
      <c r="C372" s="97" t="s">
        <v>421</v>
      </c>
      <c r="D372" s="97" t="s">
        <v>432</v>
      </c>
      <c r="E372" s="97">
        <v>2077396.0</v>
      </c>
      <c r="F372" s="97" t="s">
        <v>905</v>
      </c>
      <c r="G372" s="96" t="s">
        <v>379</v>
      </c>
      <c r="H372" s="90" t="s">
        <v>793</v>
      </c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</row>
    <row r="373" ht="40.5" customHeight="1">
      <c r="A373" s="90" t="s">
        <v>335</v>
      </c>
      <c r="B373" s="96" t="s">
        <v>379</v>
      </c>
      <c r="C373" s="97" t="s">
        <v>421</v>
      </c>
      <c r="D373" s="97" t="s">
        <v>433</v>
      </c>
      <c r="E373" s="97">
        <v>2077396.0</v>
      </c>
      <c r="F373" s="97" t="s">
        <v>905</v>
      </c>
      <c r="G373" s="96" t="s">
        <v>379</v>
      </c>
      <c r="H373" s="90" t="s">
        <v>793</v>
      </c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</row>
    <row r="374" ht="40.5" customHeight="1">
      <c r="A374" s="90" t="s">
        <v>335</v>
      </c>
      <c r="B374" s="96" t="s">
        <v>379</v>
      </c>
      <c r="C374" s="97" t="s">
        <v>434</v>
      </c>
      <c r="D374" s="97" t="s">
        <v>435</v>
      </c>
      <c r="E374" s="97">
        <v>2077396.0</v>
      </c>
      <c r="F374" s="97" t="s">
        <v>905</v>
      </c>
      <c r="G374" s="96" t="s">
        <v>379</v>
      </c>
      <c r="H374" s="90" t="s">
        <v>793</v>
      </c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</row>
    <row r="375" ht="40.5" customHeight="1">
      <c r="A375" s="90" t="s">
        <v>335</v>
      </c>
      <c r="B375" s="96" t="s">
        <v>379</v>
      </c>
      <c r="C375" s="97" t="s">
        <v>434</v>
      </c>
      <c r="D375" s="97" t="s">
        <v>436</v>
      </c>
      <c r="E375" s="97">
        <v>2077396.0</v>
      </c>
      <c r="F375" s="97" t="s">
        <v>905</v>
      </c>
      <c r="G375" s="96" t="s">
        <v>379</v>
      </c>
      <c r="H375" s="90" t="s">
        <v>793</v>
      </c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</row>
    <row r="376" ht="40.5" customHeight="1">
      <c r="A376" s="90" t="s">
        <v>335</v>
      </c>
      <c r="B376" s="96" t="s">
        <v>379</v>
      </c>
      <c r="C376" s="97" t="s">
        <v>434</v>
      </c>
      <c r="D376" s="97" t="s">
        <v>437</v>
      </c>
      <c r="E376" s="97">
        <v>2077396.0</v>
      </c>
      <c r="F376" s="97" t="s">
        <v>905</v>
      </c>
      <c r="G376" s="96" t="s">
        <v>379</v>
      </c>
      <c r="H376" s="90" t="s">
        <v>793</v>
      </c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</row>
    <row r="377" ht="40.5" customHeight="1">
      <c r="A377" s="90" t="s">
        <v>335</v>
      </c>
      <c r="B377" s="96" t="s">
        <v>379</v>
      </c>
      <c r="C377" s="97" t="s">
        <v>434</v>
      </c>
      <c r="D377" s="97" t="s">
        <v>438</v>
      </c>
      <c r="E377" s="97">
        <v>2077396.0</v>
      </c>
      <c r="F377" s="97" t="s">
        <v>905</v>
      </c>
      <c r="G377" s="96" t="s">
        <v>379</v>
      </c>
      <c r="H377" s="90" t="s">
        <v>793</v>
      </c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</row>
    <row r="378" ht="40.5" customHeight="1">
      <c r="A378" s="90" t="s">
        <v>335</v>
      </c>
      <c r="B378" s="96" t="s">
        <v>379</v>
      </c>
      <c r="C378" s="97" t="s">
        <v>434</v>
      </c>
      <c r="D378" s="97" t="s">
        <v>439</v>
      </c>
      <c r="E378" s="97">
        <v>2077396.0</v>
      </c>
      <c r="F378" s="97" t="s">
        <v>905</v>
      </c>
      <c r="G378" s="96" t="s">
        <v>379</v>
      </c>
      <c r="H378" s="90" t="s">
        <v>793</v>
      </c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</row>
    <row r="379" ht="40.5" customHeight="1">
      <c r="A379" s="90" t="s">
        <v>335</v>
      </c>
      <c r="B379" s="96" t="s">
        <v>379</v>
      </c>
      <c r="C379" s="97" t="s">
        <v>434</v>
      </c>
      <c r="D379" s="97" t="s">
        <v>440</v>
      </c>
      <c r="E379" s="97">
        <v>2077396.0</v>
      </c>
      <c r="F379" s="97" t="s">
        <v>905</v>
      </c>
      <c r="G379" s="96" t="s">
        <v>379</v>
      </c>
      <c r="H379" s="90" t="s">
        <v>793</v>
      </c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</row>
    <row r="380" ht="40.5" customHeight="1">
      <c r="A380" s="90" t="s">
        <v>335</v>
      </c>
      <c r="B380" s="96" t="s">
        <v>379</v>
      </c>
      <c r="C380" s="97" t="s">
        <v>434</v>
      </c>
      <c r="D380" s="97" t="s">
        <v>441</v>
      </c>
      <c r="E380" s="97">
        <v>2077396.0</v>
      </c>
      <c r="F380" s="97" t="s">
        <v>905</v>
      </c>
      <c r="G380" s="96" t="s">
        <v>379</v>
      </c>
      <c r="H380" s="90" t="s">
        <v>793</v>
      </c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</row>
    <row r="381" ht="40.5" customHeight="1">
      <c r="A381" s="90" t="s">
        <v>335</v>
      </c>
      <c r="B381" s="96" t="s">
        <v>379</v>
      </c>
      <c r="C381" s="97" t="s">
        <v>434</v>
      </c>
      <c r="D381" s="97" t="s">
        <v>442</v>
      </c>
      <c r="E381" s="97">
        <v>2077396.0</v>
      </c>
      <c r="F381" s="97" t="s">
        <v>905</v>
      </c>
      <c r="G381" s="96" t="s">
        <v>379</v>
      </c>
      <c r="H381" s="90" t="s">
        <v>793</v>
      </c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</row>
    <row r="382" ht="40.5" customHeight="1">
      <c r="A382" s="90" t="s">
        <v>335</v>
      </c>
      <c r="B382" s="96" t="s">
        <v>379</v>
      </c>
      <c r="C382" s="97" t="s">
        <v>434</v>
      </c>
      <c r="D382" s="97" t="s">
        <v>443</v>
      </c>
      <c r="E382" s="97">
        <v>2077396.0</v>
      </c>
      <c r="F382" s="97" t="s">
        <v>905</v>
      </c>
      <c r="G382" s="96" t="s">
        <v>379</v>
      </c>
      <c r="H382" s="90" t="s">
        <v>793</v>
      </c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</row>
    <row r="383" ht="40.5" customHeight="1">
      <c r="A383" s="90" t="s">
        <v>335</v>
      </c>
      <c r="B383" s="96" t="s">
        <v>379</v>
      </c>
      <c r="C383" s="97" t="s">
        <v>434</v>
      </c>
      <c r="D383" s="97" t="s">
        <v>444</v>
      </c>
      <c r="E383" s="97">
        <v>2077396.0</v>
      </c>
      <c r="F383" s="97" t="s">
        <v>905</v>
      </c>
      <c r="G383" s="96" t="s">
        <v>379</v>
      </c>
      <c r="H383" s="90" t="s">
        <v>793</v>
      </c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</row>
    <row r="384" ht="40.5" customHeight="1">
      <c r="A384" s="90" t="s">
        <v>335</v>
      </c>
      <c r="B384" s="96" t="s">
        <v>379</v>
      </c>
      <c r="C384" s="97" t="s">
        <v>434</v>
      </c>
      <c r="D384" s="97" t="s">
        <v>445</v>
      </c>
      <c r="E384" s="97">
        <v>2077396.0</v>
      </c>
      <c r="F384" s="97" t="s">
        <v>905</v>
      </c>
      <c r="G384" s="96" t="s">
        <v>379</v>
      </c>
      <c r="H384" s="90" t="s">
        <v>793</v>
      </c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</row>
    <row r="385" ht="40.5" customHeight="1">
      <c r="A385" s="90" t="s">
        <v>335</v>
      </c>
      <c r="B385" s="96" t="s">
        <v>379</v>
      </c>
      <c r="C385" s="97" t="s">
        <v>434</v>
      </c>
      <c r="D385" s="97" t="s">
        <v>446</v>
      </c>
      <c r="E385" s="97">
        <v>2077396.0</v>
      </c>
      <c r="F385" s="97" t="s">
        <v>905</v>
      </c>
      <c r="G385" s="96" t="s">
        <v>379</v>
      </c>
      <c r="H385" s="90" t="s">
        <v>793</v>
      </c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</row>
    <row r="386" ht="40.5" customHeight="1">
      <c r="A386" s="90" t="s">
        <v>335</v>
      </c>
      <c r="B386" s="96" t="s">
        <v>379</v>
      </c>
      <c r="C386" s="97" t="s">
        <v>434</v>
      </c>
      <c r="D386" s="97" t="s">
        <v>447</v>
      </c>
      <c r="E386" s="97">
        <v>2077396.0</v>
      </c>
      <c r="F386" s="97" t="s">
        <v>905</v>
      </c>
      <c r="G386" s="96" t="s">
        <v>379</v>
      </c>
      <c r="H386" s="90" t="s">
        <v>793</v>
      </c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</row>
    <row r="387" ht="40.5" customHeight="1">
      <c r="A387" s="90" t="s">
        <v>335</v>
      </c>
      <c r="B387" s="96" t="s">
        <v>379</v>
      </c>
      <c r="C387" s="97" t="s">
        <v>434</v>
      </c>
      <c r="D387" s="97" t="s">
        <v>448</v>
      </c>
      <c r="E387" s="97">
        <v>2077396.0</v>
      </c>
      <c r="F387" s="97" t="s">
        <v>905</v>
      </c>
      <c r="G387" s="96" t="s">
        <v>379</v>
      </c>
      <c r="H387" s="90" t="s">
        <v>793</v>
      </c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</row>
    <row r="388" ht="40.5" customHeight="1">
      <c r="A388" s="90" t="s">
        <v>335</v>
      </c>
      <c r="B388" s="96" t="s">
        <v>379</v>
      </c>
      <c r="C388" s="97" t="s">
        <v>434</v>
      </c>
      <c r="D388" s="97" t="s">
        <v>449</v>
      </c>
      <c r="E388" s="97">
        <v>2077396.0</v>
      </c>
      <c r="F388" s="97" t="s">
        <v>905</v>
      </c>
      <c r="G388" s="96" t="s">
        <v>379</v>
      </c>
      <c r="H388" s="90" t="s">
        <v>793</v>
      </c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</row>
    <row r="389" ht="40.5" customHeight="1">
      <c r="A389" s="90" t="s">
        <v>335</v>
      </c>
      <c r="B389" s="96" t="s">
        <v>379</v>
      </c>
      <c r="C389" s="97" t="s">
        <v>434</v>
      </c>
      <c r="D389" s="97" t="s">
        <v>450</v>
      </c>
      <c r="E389" s="97">
        <v>2077396.0</v>
      </c>
      <c r="F389" s="97" t="s">
        <v>905</v>
      </c>
      <c r="G389" s="96" t="s">
        <v>379</v>
      </c>
      <c r="H389" s="90" t="s">
        <v>793</v>
      </c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</row>
    <row r="390" ht="40.5" customHeight="1">
      <c r="A390" s="90" t="s">
        <v>335</v>
      </c>
      <c r="B390" s="96" t="s">
        <v>379</v>
      </c>
      <c r="C390" s="97" t="s">
        <v>434</v>
      </c>
      <c r="D390" s="97" t="s">
        <v>451</v>
      </c>
      <c r="E390" s="97">
        <v>2077396.0</v>
      </c>
      <c r="F390" s="97" t="s">
        <v>905</v>
      </c>
      <c r="G390" s="96" t="s">
        <v>379</v>
      </c>
      <c r="H390" s="90" t="s">
        <v>793</v>
      </c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</row>
    <row r="391" ht="40.5" customHeight="1">
      <c r="A391" s="90" t="s">
        <v>335</v>
      </c>
      <c r="B391" s="96" t="s">
        <v>379</v>
      </c>
      <c r="C391" s="97" t="s">
        <v>434</v>
      </c>
      <c r="D391" s="97" t="s">
        <v>452</v>
      </c>
      <c r="E391" s="97">
        <v>2077396.0</v>
      </c>
      <c r="F391" s="97" t="s">
        <v>905</v>
      </c>
      <c r="G391" s="96" t="s">
        <v>379</v>
      </c>
      <c r="H391" s="90" t="s">
        <v>793</v>
      </c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</row>
    <row r="392" ht="40.5" customHeight="1">
      <c r="A392" s="90" t="s">
        <v>335</v>
      </c>
      <c r="B392" s="96" t="s">
        <v>379</v>
      </c>
      <c r="C392" s="97" t="s">
        <v>434</v>
      </c>
      <c r="D392" s="97" t="s">
        <v>453</v>
      </c>
      <c r="E392" s="97">
        <v>2077396.0</v>
      </c>
      <c r="F392" s="97" t="s">
        <v>905</v>
      </c>
      <c r="G392" s="96" t="s">
        <v>379</v>
      </c>
      <c r="H392" s="90" t="s">
        <v>793</v>
      </c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</row>
    <row r="393" ht="40.5" customHeight="1">
      <c r="A393" s="90" t="s">
        <v>335</v>
      </c>
      <c r="B393" s="96" t="s">
        <v>379</v>
      </c>
      <c r="C393" s="97" t="s">
        <v>434</v>
      </c>
      <c r="D393" s="97" t="s">
        <v>454</v>
      </c>
      <c r="E393" s="97">
        <v>2077396.0</v>
      </c>
      <c r="F393" s="97" t="s">
        <v>905</v>
      </c>
      <c r="G393" s="96" t="s">
        <v>379</v>
      </c>
      <c r="H393" s="90" t="s">
        <v>793</v>
      </c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</row>
    <row r="394" ht="40.5" customHeight="1">
      <c r="A394" s="90" t="s">
        <v>335</v>
      </c>
      <c r="B394" s="96" t="s">
        <v>379</v>
      </c>
      <c r="C394" s="97" t="s">
        <v>455</v>
      </c>
      <c r="D394" s="97" t="s">
        <v>456</v>
      </c>
      <c r="E394" s="97">
        <v>2077396.0</v>
      </c>
      <c r="F394" s="97" t="s">
        <v>905</v>
      </c>
      <c r="G394" s="96" t="s">
        <v>379</v>
      </c>
      <c r="H394" s="90" t="s">
        <v>793</v>
      </c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</row>
    <row r="395" ht="40.5" customHeight="1">
      <c r="A395" s="90" t="s">
        <v>335</v>
      </c>
      <c r="B395" s="96" t="s">
        <v>379</v>
      </c>
      <c r="C395" s="97" t="s">
        <v>455</v>
      </c>
      <c r="D395" s="97" t="s">
        <v>457</v>
      </c>
      <c r="E395" s="97">
        <v>2077396.0</v>
      </c>
      <c r="F395" s="97" t="s">
        <v>905</v>
      </c>
      <c r="G395" s="96" t="s">
        <v>379</v>
      </c>
      <c r="H395" s="90" t="s">
        <v>793</v>
      </c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</row>
    <row r="396" ht="40.5" customHeight="1">
      <c r="A396" s="90" t="s">
        <v>335</v>
      </c>
      <c r="B396" s="96" t="s">
        <v>379</v>
      </c>
      <c r="C396" s="97" t="s">
        <v>455</v>
      </c>
      <c r="D396" s="97" t="s">
        <v>458</v>
      </c>
      <c r="E396" s="97">
        <v>2077396.0</v>
      </c>
      <c r="F396" s="97" t="s">
        <v>905</v>
      </c>
      <c r="G396" s="96" t="s">
        <v>379</v>
      </c>
      <c r="H396" s="90" t="s">
        <v>793</v>
      </c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</row>
    <row r="397" ht="40.5" customHeight="1">
      <c r="A397" s="90" t="s">
        <v>335</v>
      </c>
      <c r="B397" s="96" t="s">
        <v>379</v>
      </c>
      <c r="C397" s="97" t="s">
        <v>455</v>
      </c>
      <c r="D397" s="97" t="s">
        <v>459</v>
      </c>
      <c r="E397" s="97">
        <v>2077396.0</v>
      </c>
      <c r="F397" s="97" t="s">
        <v>905</v>
      </c>
      <c r="G397" s="96" t="s">
        <v>379</v>
      </c>
      <c r="H397" s="90" t="s">
        <v>793</v>
      </c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</row>
    <row r="398" ht="40.5" customHeight="1">
      <c r="A398" s="90" t="s">
        <v>335</v>
      </c>
      <c r="B398" s="96" t="s">
        <v>379</v>
      </c>
      <c r="C398" s="97" t="s">
        <v>455</v>
      </c>
      <c r="D398" s="97" t="s">
        <v>460</v>
      </c>
      <c r="E398" s="97">
        <v>2077396.0</v>
      </c>
      <c r="F398" s="97" t="s">
        <v>905</v>
      </c>
      <c r="G398" s="96" t="s">
        <v>379</v>
      </c>
      <c r="H398" s="90" t="s">
        <v>793</v>
      </c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</row>
    <row r="399" ht="40.5" customHeight="1">
      <c r="A399" s="90" t="s">
        <v>335</v>
      </c>
      <c r="B399" s="96" t="s">
        <v>379</v>
      </c>
      <c r="C399" s="97" t="s">
        <v>455</v>
      </c>
      <c r="D399" s="97" t="s">
        <v>461</v>
      </c>
      <c r="E399" s="97">
        <v>2077396.0</v>
      </c>
      <c r="F399" s="97" t="s">
        <v>905</v>
      </c>
      <c r="G399" s="96" t="s">
        <v>379</v>
      </c>
      <c r="H399" s="90" t="s">
        <v>793</v>
      </c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</row>
    <row r="400" ht="40.5" customHeight="1">
      <c r="A400" s="90" t="s">
        <v>335</v>
      </c>
      <c r="B400" s="96" t="s">
        <v>379</v>
      </c>
      <c r="C400" s="97" t="s">
        <v>455</v>
      </c>
      <c r="D400" s="97" t="s">
        <v>462</v>
      </c>
      <c r="E400" s="97">
        <v>2077396.0</v>
      </c>
      <c r="F400" s="97" t="s">
        <v>905</v>
      </c>
      <c r="G400" s="96" t="s">
        <v>379</v>
      </c>
      <c r="H400" s="90" t="s">
        <v>793</v>
      </c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</row>
    <row r="401" ht="40.5" customHeight="1">
      <c r="A401" s="90" t="s">
        <v>335</v>
      </c>
      <c r="B401" s="96" t="s">
        <v>379</v>
      </c>
      <c r="C401" s="97" t="s">
        <v>455</v>
      </c>
      <c r="D401" s="97" t="s">
        <v>463</v>
      </c>
      <c r="E401" s="97">
        <v>2077396.0</v>
      </c>
      <c r="F401" s="97" t="s">
        <v>905</v>
      </c>
      <c r="G401" s="96" t="s">
        <v>379</v>
      </c>
      <c r="H401" s="90" t="s">
        <v>793</v>
      </c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</row>
    <row r="402" ht="40.5" customHeight="1">
      <c r="A402" s="90" t="s">
        <v>335</v>
      </c>
      <c r="B402" s="96" t="s">
        <v>379</v>
      </c>
      <c r="C402" s="97" t="s">
        <v>455</v>
      </c>
      <c r="D402" s="97" t="s">
        <v>464</v>
      </c>
      <c r="E402" s="97">
        <v>2077396.0</v>
      </c>
      <c r="F402" s="97" t="s">
        <v>905</v>
      </c>
      <c r="G402" s="96" t="s">
        <v>379</v>
      </c>
      <c r="H402" s="90" t="s">
        <v>793</v>
      </c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</row>
    <row r="403" ht="40.5" customHeight="1">
      <c r="A403" s="90" t="s">
        <v>335</v>
      </c>
      <c r="B403" s="96" t="s">
        <v>379</v>
      </c>
      <c r="C403" s="97" t="s">
        <v>455</v>
      </c>
      <c r="D403" s="97" t="s">
        <v>465</v>
      </c>
      <c r="E403" s="97">
        <v>2077396.0</v>
      </c>
      <c r="F403" s="97" t="s">
        <v>905</v>
      </c>
      <c r="G403" s="96" t="s">
        <v>379</v>
      </c>
      <c r="H403" s="90" t="s">
        <v>793</v>
      </c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</row>
    <row r="404" ht="40.5" customHeight="1">
      <c r="A404" s="90" t="s">
        <v>335</v>
      </c>
      <c r="B404" s="96" t="s">
        <v>379</v>
      </c>
      <c r="C404" s="97" t="s">
        <v>455</v>
      </c>
      <c r="D404" s="97" t="s">
        <v>466</v>
      </c>
      <c r="E404" s="97">
        <v>2077396.0</v>
      </c>
      <c r="F404" s="97" t="s">
        <v>905</v>
      </c>
      <c r="G404" s="96" t="s">
        <v>379</v>
      </c>
      <c r="H404" s="90" t="s">
        <v>793</v>
      </c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</row>
    <row r="405" ht="40.5" customHeight="1">
      <c r="A405" s="90" t="s">
        <v>335</v>
      </c>
      <c r="B405" s="96" t="s">
        <v>379</v>
      </c>
      <c r="C405" s="97" t="s">
        <v>467</v>
      </c>
      <c r="D405" s="97" t="s">
        <v>468</v>
      </c>
      <c r="E405" s="97">
        <v>5618401.0</v>
      </c>
      <c r="F405" s="97" t="s">
        <v>906</v>
      </c>
      <c r="G405" s="97" t="s">
        <v>484</v>
      </c>
      <c r="H405" s="90" t="s">
        <v>793</v>
      </c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</row>
    <row r="406" ht="40.5" customHeight="1">
      <c r="A406" s="90" t="s">
        <v>335</v>
      </c>
      <c r="B406" s="96" t="s">
        <v>379</v>
      </c>
      <c r="C406" s="97" t="s">
        <v>467</v>
      </c>
      <c r="D406" s="97" t="s">
        <v>469</v>
      </c>
      <c r="E406" s="97">
        <v>5618401.0</v>
      </c>
      <c r="F406" s="97" t="s">
        <v>906</v>
      </c>
      <c r="G406" s="97" t="s">
        <v>484</v>
      </c>
      <c r="H406" s="90" t="s">
        <v>793</v>
      </c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</row>
    <row r="407" ht="40.5" customHeight="1">
      <c r="A407" s="90" t="s">
        <v>335</v>
      </c>
      <c r="B407" s="96" t="s">
        <v>379</v>
      </c>
      <c r="C407" s="97" t="s">
        <v>467</v>
      </c>
      <c r="D407" s="97" t="s">
        <v>470</v>
      </c>
      <c r="E407" s="97">
        <v>5618401.0</v>
      </c>
      <c r="F407" s="97" t="s">
        <v>906</v>
      </c>
      <c r="G407" s="97" t="s">
        <v>484</v>
      </c>
      <c r="H407" s="90" t="s">
        <v>793</v>
      </c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</row>
    <row r="408" ht="40.5" customHeight="1">
      <c r="A408" s="90" t="s">
        <v>335</v>
      </c>
      <c r="B408" s="96" t="s">
        <v>379</v>
      </c>
      <c r="C408" s="97" t="s">
        <v>467</v>
      </c>
      <c r="D408" s="97" t="s">
        <v>471</v>
      </c>
      <c r="E408" s="97">
        <v>5618401.0</v>
      </c>
      <c r="F408" s="97" t="s">
        <v>906</v>
      </c>
      <c r="G408" s="97" t="s">
        <v>484</v>
      </c>
      <c r="H408" s="90" t="s">
        <v>793</v>
      </c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</row>
    <row r="409" ht="40.5" customHeight="1">
      <c r="A409" s="90" t="s">
        <v>335</v>
      </c>
      <c r="B409" s="96" t="s">
        <v>379</v>
      </c>
      <c r="C409" s="97" t="s">
        <v>467</v>
      </c>
      <c r="D409" s="97" t="s">
        <v>472</v>
      </c>
      <c r="E409" s="97">
        <v>5618401.0</v>
      </c>
      <c r="F409" s="97" t="s">
        <v>906</v>
      </c>
      <c r="G409" s="97" t="s">
        <v>484</v>
      </c>
      <c r="H409" s="90" t="s">
        <v>793</v>
      </c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</row>
    <row r="410" ht="40.5" customHeight="1">
      <c r="A410" s="90" t="s">
        <v>335</v>
      </c>
      <c r="B410" s="96" t="s">
        <v>379</v>
      </c>
      <c r="C410" s="97" t="s">
        <v>467</v>
      </c>
      <c r="D410" s="97" t="s">
        <v>473</v>
      </c>
      <c r="E410" s="97">
        <v>5618401.0</v>
      </c>
      <c r="F410" s="97" t="s">
        <v>906</v>
      </c>
      <c r="G410" s="97" t="s">
        <v>484</v>
      </c>
      <c r="H410" s="90" t="s">
        <v>793</v>
      </c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</row>
    <row r="411" ht="40.5" customHeight="1">
      <c r="A411" s="90" t="s">
        <v>335</v>
      </c>
      <c r="B411" s="96" t="s">
        <v>379</v>
      </c>
      <c r="C411" s="97" t="s">
        <v>467</v>
      </c>
      <c r="D411" s="97" t="s">
        <v>474</v>
      </c>
      <c r="E411" s="97">
        <v>5618401.0</v>
      </c>
      <c r="F411" s="97" t="s">
        <v>906</v>
      </c>
      <c r="G411" s="97" t="s">
        <v>484</v>
      </c>
      <c r="H411" s="90" t="s">
        <v>793</v>
      </c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</row>
    <row r="412" ht="40.5" customHeight="1">
      <c r="A412" s="90" t="s">
        <v>335</v>
      </c>
      <c r="B412" s="96" t="s">
        <v>379</v>
      </c>
      <c r="C412" s="97" t="s">
        <v>467</v>
      </c>
      <c r="D412" s="97" t="s">
        <v>475</v>
      </c>
      <c r="E412" s="97">
        <v>5618401.0</v>
      </c>
      <c r="F412" s="97" t="s">
        <v>906</v>
      </c>
      <c r="G412" s="97" t="s">
        <v>484</v>
      </c>
      <c r="H412" s="90" t="s">
        <v>793</v>
      </c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</row>
    <row r="413" ht="40.5" customHeight="1">
      <c r="A413" s="90" t="s">
        <v>335</v>
      </c>
      <c r="B413" s="96" t="s">
        <v>379</v>
      </c>
      <c r="C413" s="97" t="s">
        <v>467</v>
      </c>
      <c r="D413" s="97" t="s">
        <v>476</v>
      </c>
      <c r="E413" s="97">
        <v>5618401.0</v>
      </c>
      <c r="F413" s="97" t="s">
        <v>906</v>
      </c>
      <c r="G413" s="97" t="s">
        <v>484</v>
      </c>
      <c r="H413" s="90" t="s">
        <v>793</v>
      </c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</row>
    <row r="414" ht="40.5" customHeight="1">
      <c r="A414" s="90" t="s">
        <v>335</v>
      </c>
      <c r="B414" s="96" t="s">
        <v>379</v>
      </c>
      <c r="C414" s="97" t="s">
        <v>467</v>
      </c>
      <c r="D414" s="97" t="s">
        <v>477</v>
      </c>
      <c r="E414" s="97">
        <v>5618401.0</v>
      </c>
      <c r="F414" s="97" t="s">
        <v>906</v>
      </c>
      <c r="G414" s="97" t="s">
        <v>484</v>
      </c>
      <c r="H414" s="90" t="s">
        <v>793</v>
      </c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</row>
    <row r="415" ht="40.5" customHeight="1">
      <c r="A415" s="90" t="s">
        <v>335</v>
      </c>
      <c r="B415" s="96" t="s">
        <v>379</v>
      </c>
      <c r="C415" s="97" t="s">
        <v>467</v>
      </c>
      <c r="D415" s="97" t="s">
        <v>478</v>
      </c>
      <c r="E415" s="97">
        <v>5618401.0</v>
      </c>
      <c r="F415" s="97" t="s">
        <v>906</v>
      </c>
      <c r="G415" s="97" t="s">
        <v>484</v>
      </c>
      <c r="H415" s="90" t="s">
        <v>793</v>
      </c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</row>
    <row r="416" ht="40.5" customHeight="1">
      <c r="A416" s="90" t="s">
        <v>335</v>
      </c>
      <c r="B416" s="96" t="s">
        <v>379</v>
      </c>
      <c r="C416" s="97" t="s">
        <v>467</v>
      </c>
      <c r="D416" s="97" t="s">
        <v>479</v>
      </c>
      <c r="E416" s="97">
        <v>5618401.0</v>
      </c>
      <c r="F416" s="97" t="s">
        <v>906</v>
      </c>
      <c r="G416" s="97" t="s">
        <v>484</v>
      </c>
      <c r="H416" s="90" t="s">
        <v>793</v>
      </c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</row>
    <row r="417" ht="40.5" customHeight="1">
      <c r="A417" s="90" t="s">
        <v>335</v>
      </c>
      <c r="B417" s="96" t="s">
        <v>379</v>
      </c>
      <c r="C417" s="97" t="s">
        <v>467</v>
      </c>
      <c r="D417" s="97" t="s">
        <v>480</v>
      </c>
      <c r="E417" s="97">
        <v>5618401.0</v>
      </c>
      <c r="F417" s="97" t="s">
        <v>906</v>
      </c>
      <c r="G417" s="97" t="s">
        <v>484</v>
      </c>
      <c r="H417" s="90" t="s">
        <v>793</v>
      </c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</row>
    <row r="418" ht="40.5" customHeight="1">
      <c r="A418" s="90" t="s">
        <v>335</v>
      </c>
      <c r="B418" s="96" t="s">
        <v>379</v>
      </c>
      <c r="C418" s="97" t="s">
        <v>467</v>
      </c>
      <c r="D418" s="97" t="s">
        <v>481</v>
      </c>
      <c r="E418" s="97">
        <v>5618401.0</v>
      </c>
      <c r="F418" s="97" t="s">
        <v>906</v>
      </c>
      <c r="G418" s="97" t="s">
        <v>484</v>
      </c>
      <c r="H418" s="90" t="s">
        <v>793</v>
      </c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</row>
    <row r="419" ht="40.5" customHeight="1">
      <c r="A419" s="90" t="s">
        <v>335</v>
      </c>
      <c r="B419" s="96" t="s">
        <v>379</v>
      </c>
      <c r="C419" s="97" t="s">
        <v>467</v>
      </c>
      <c r="D419" s="97" t="s">
        <v>482</v>
      </c>
      <c r="E419" s="97">
        <v>5618401.0</v>
      </c>
      <c r="F419" s="97" t="s">
        <v>906</v>
      </c>
      <c r="G419" s="97" t="s">
        <v>484</v>
      </c>
      <c r="H419" s="90" t="s">
        <v>793</v>
      </c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</row>
    <row r="420" ht="40.5" customHeight="1">
      <c r="A420" s="90" t="s">
        <v>335</v>
      </c>
      <c r="B420" s="96" t="s">
        <v>379</v>
      </c>
      <c r="C420" s="97" t="s">
        <v>467</v>
      </c>
      <c r="D420" s="97" t="s">
        <v>483</v>
      </c>
      <c r="E420" s="97">
        <v>5618401.0</v>
      </c>
      <c r="F420" s="97" t="s">
        <v>906</v>
      </c>
      <c r="G420" s="97" t="s">
        <v>484</v>
      </c>
      <c r="H420" s="90" t="s">
        <v>793</v>
      </c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</row>
    <row r="421" ht="40.5" customHeight="1">
      <c r="A421" s="90" t="s">
        <v>335</v>
      </c>
      <c r="B421" s="96" t="s">
        <v>379</v>
      </c>
      <c r="C421" s="97" t="s">
        <v>467</v>
      </c>
      <c r="D421" s="97" t="s">
        <v>484</v>
      </c>
      <c r="E421" s="97">
        <v>5618401.0</v>
      </c>
      <c r="F421" s="97" t="s">
        <v>906</v>
      </c>
      <c r="G421" s="97" t="s">
        <v>484</v>
      </c>
      <c r="H421" s="90" t="s">
        <v>793</v>
      </c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</row>
    <row r="422" ht="40.5" customHeight="1">
      <c r="A422" s="90" t="s">
        <v>485</v>
      </c>
      <c r="B422" s="96" t="s">
        <v>486</v>
      </c>
      <c r="C422" s="96" t="s">
        <v>487</v>
      </c>
      <c r="D422" s="96" t="s">
        <v>488</v>
      </c>
      <c r="E422" s="96">
        <v>6752233.0</v>
      </c>
      <c r="F422" s="96" t="s">
        <v>907</v>
      </c>
      <c r="G422" s="96" t="s">
        <v>486</v>
      </c>
      <c r="H422" s="90" t="s">
        <v>793</v>
      </c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</row>
    <row r="423" ht="40.5" customHeight="1">
      <c r="A423" s="90" t="s">
        <v>485</v>
      </c>
      <c r="B423" s="96" t="s">
        <v>486</v>
      </c>
      <c r="C423" s="96" t="s">
        <v>487</v>
      </c>
      <c r="D423" s="96" t="s">
        <v>486</v>
      </c>
      <c r="E423" s="96">
        <v>6752233.0</v>
      </c>
      <c r="F423" s="96" t="s">
        <v>907</v>
      </c>
      <c r="G423" s="96" t="s">
        <v>486</v>
      </c>
      <c r="H423" s="90" t="s">
        <v>793</v>
      </c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</row>
    <row r="424" ht="40.5" customHeight="1">
      <c r="A424" s="90" t="s">
        <v>485</v>
      </c>
      <c r="B424" s="96" t="s">
        <v>486</v>
      </c>
      <c r="C424" s="96" t="s">
        <v>487</v>
      </c>
      <c r="D424" s="96" t="s">
        <v>489</v>
      </c>
      <c r="E424" s="96">
        <v>6752233.0</v>
      </c>
      <c r="F424" s="96" t="s">
        <v>907</v>
      </c>
      <c r="G424" s="96" t="s">
        <v>486</v>
      </c>
      <c r="H424" s="90" t="s">
        <v>793</v>
      </c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</row>
    <row r="425" ht="40.5" customHeight="1">
      <c r="A425" s="90" t="s">
        <v>485</v>
      </c>
      <c r="B425" s="96" t="s">
        <v>486</v>
      </c>
      <c r="C425" s="96" t="s">
        <v>487</v>
      </c>
      <c r="D425" s="96" t="s">
        <v>490</v>
      </c>
      <c r="E425" s="96">
        <v>6752233.0</v>
      </c>
      <c r="F425" s="96" t="s">
        <v>907</v>
      </c>
      <c r="G425" s="96" t="s">
        <v>486</v>
      </c>
      <c r="H425" s="90" t="s">
        <v>793</v>
      </c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</row>
    <row r="426" ht="40.5" customHeight="1">
      <c r="A426" s="90" t="s">
        <v>485</v>
      </c>
      <c r="B426" s="96" t="s">
        <v>486</v>
      </c>
      <c r="C426" s="96" t="s">
        <v>487</v>
      </c>
      <c r="D426" s="96" t="s">
        <v>491</v>
      </c>
      <c r="E426" s="96">
        <v>6752233.0</v>
      </c>
      <c r="F426" s="96" t="s">
        <v>907</v>
      </c>
      <c r="G426" s="96" t="s">
        <v>486</v>
      </c>
      <c r="H426" s="90" t="s">
        <v>793</v>
      </c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</row>
    <row r="427" ht="40.5" customHeight="1">
      <c r="A427" s="90" t="s">
        <v>485</v>
      </c>
      <c r="B427" s="96" t="s">
        <v>486</v>
      </c>
      <c r="C427" s="96" t="s">
        <v>487</v>
      </c>
      <c r="D427" s="96" t="s">
        <v>492</v>
      </c>
      <c r="E427" s="96">
        <v>6752233.0</v>
      </c>
      <c r="F427" s="96" t="s">
        <v>907</v>
      </c>
      <c r="G427" s="96" t="s">
        <v>486</v>
      </c>
      <c r="H427" s="90" t="s">
        <v>793</v>
      </c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</row>
    <row r="428" ht="40.5" customHeight="1">
      <c r="A428" s="90" t="s">
        <v>485</v>
      </c>
      <c r="B428" s="96" t="s">
        <v>486</v>
      </c>
      <c r="C428" s="96" t="s">
        <v>487</v>
      </c>
      <c r="D428" s="96" t="s">
        <v>493</v>
      </c>
      <c r="E428" s="96">
        <v>6752233.0</v>
      </c>
      <c r="F428" s="96" t="s">
        <v>907</v>
      </c>
      <c r="G428" s="96" t="s">
        <v>486</v>
      </c>
      <c r="H428" s="90" t="s">
        <v>793</v>
      </c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</row>
    <row r="429" ht="40.5" customHeight="1">
      <c r="A429" s="90" t="s">
        <v>485</v>
      </c>
      <c r="B429" s="96" t="s">
        <v>486</v>
      </c>
      <c r="C429" s="96" t="s">
        <v>487</v>
      </c>
      <c r="D429" s="96" t="s">
        <v>494</v>
      </c>
      <c r="E429" s="96">
        <v>6752233.0</v>
      </c>
      <c r="F429" s="96" t="s">
        <v>907</v>
      </c>
      <c r="G429" s="96" t="s">
        <v>486</v>
      </c>
      <c r="H429" s="90" t="s">
        <v>793</v>
      </c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</row>
    <row r="430" ht="40.5" customHeight="1">
      <c r="A430" s="90" t="s">
        <v>485</v>
      </c>
      <c r="B430" s="96" t="s">
        <v>486</v>
      </c>
      <c r="C430" s="96" t="s">
        <v>487</v>
      </c>
      <c r="D430" s="96" t="s">
        <v>495</v>
      </c>
      <c r="E430" s="96">
        <v>6752233.0</v>
      </c>
      <c r="F430" s="96" t="s">
        <v>907</v>
      </c>
      <c r="G430" s="96" t="s">
        <v>486</v>
      </c>
      <c r="H430" s="90" t="s">
        <v>793</v>
      </c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</row>
    <row r="431" ht="40.5" customHeight="1">
      <c r="A431" s="90" t="s">
        <v>485</v>
      </c>
      <c r="B431" s="96" t="s">
        <v>486</v>
      </c>
      <c r="C431" s="96" t="s">
        <v>487</v>
      </c>
      <c r="D431" s="96" t="s">
        <v>496</v>
      </c>
      <c r="E431" s="96">
        <v>6752233.0</v>
      </c>
      <c r="F431" s="96" t="s">
        <v>907</v>
      </c>
      <c r="G431" s="96" t="s">
        <v>486</v>
      </c>
      <c r="H431" s="90" t="s">
        <v>793</v>
      </c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</row>
    <row r="432" ht="40.5" customHeight="1">
      <c r="A432" s="90" t="s">
        <v>485</v>
      </c>
      <c r="B432" s="96" t="s">
        <v>486</v>
      </c>
      <c r="C432" s="96" t="s">
        <v>497</v>
      </c>
      <c r="D432" s="96" t="s">
        <v>498</v>
      </c>
      <c r="E432" s="96">
        <v>6752233.0</v>
      </c>
      <c r="F432" s="96" t="s">
        <v>907</v>
      </c>
      <c r="G432" s="96" t="s">
        <v>486</v>
      </c>
      <c r="H432" s="90" t="s">
        <v>793</v>
      </c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</row>
    <row r="433" ht="40.5" customHeight="1">
      <c r="A433" s="90" t="s">
        <v>485</v>
      </c>
      <c r="B433" s="96" t="s">
        <v>486</v>
      </c>
      <c r="C433" s="96" t="s">
        <v>497</v>
      </c>
      <c r="D433" s="96" t="s">
        <v>499</v>
      </c>
      <c r="E433" s="96">
        <v>6752233.0</v>
      </c>
      <c r="F433" s="96" t="s">
        <v>907</v>
      </c>
      <c r="G433" s="96" t="s">
        <v>486</v>
      </c>
      <c r="H433" s="90" t="s">
        <v>793</v>
      </c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</row>
    <row r="434" ht="40.5" customHeight="1">
      <c r="A434" s="90" t="s">
        <v>485</v>
      </c>
      <c r="B434" s="96" t="s">
        <v>486</v>
      </c>
      <c r="C434" s="96" t="s">
        <v>497</v>
      </c>
      <c r="D434" s="96" t="s">
        <v>500</v>
      </c>
      <c r="E434" s="96">
        <v>6752233.0</v>
      </c>
      <c r="F434" s="96" t="s">
        <v>907</v>
      </c>
      <c r="G434" s="96" t="s">
        <v>486</v>
      </c>
      <c r="H434" s="90" t="s">
        <v>793</v>
      </c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</row>
    <row r="435" ht="40.5" customHeight="1">
      <c r="A435" s="90" t="s">
        <v>485</v>
      </c>
      <c r="B435" s="96" t="s">
        <v>486</v>
      </c>
      <c r="C435" s="96" t="s">
        <v>497</v>
      </c>
      <c r="D435" s="96" t="s">
        <v>501</v>
      </c>
      <c r="E435" s="96">
        <v>6752233.0</v>
      </c>
      <c r="F435" s="96" t="s">
        <v>907</v>
      </c>
      <c r="G435" s="96" t="s">
        <v>486</v>
      </c>
      <c r="H435" s="90" t="s">
        <v>793</v>
      </c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</row>
    <row r="436" ht="40.5" customHeight="1">
      <c r="A436" s="90" t="s">
        <v>485</v>
      </c>
      <c r="B436" s="96" t="s">
        <v>486</v>
      </c>
      <c r="C436" s="96" t="s">
        <v>497</v>
      </c>
      <c r="D436" s="96" t="s">
        <v>502</v>
      </c>
      <c r="E436" s="96">
        <v>6752233.0</v>
      </c>
      <c r="F436" s="96" t="s">
        <v>907</v>
      </c>
      <c r="G436" s="96" t="s">
        <v>486</v>
      </c>
      <c r="H436" s="90" t="s">
        <v>793</v>
      </c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</row>
    <row r="437" ht="40.5" customHeight="1">
      <c r="A437" s="90" t="s">
        <v>485</v>
      </c>
      <c r="B437" s="96" t="s">
        <v>486</v>
      </c>
      <c r="C437" s="96" t="s">
        <v>497</v>
      </c>
      <c r="D437" s="96" t="s">
        <v>503</v>
      </c>
      <c r="E437" s="96">
        <v>6752233.0</v>
      </c>
      <c r="F437" s="96" t="s">
        <v>907</v>
      </c>
      <c r="G437" s="96" t="s">
        <v>486</v>
      </c>
      <c r="H437" s="90" t="s">
        <v>793</v>
      </c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</row>
    <row r="438" ht="40.5" customHeight="1">
      <c r="A438" s="90" t="s">
        <v>485</v>
      </c>
      <c r="B438" s="96" t="s">
        <v>486</v>
      </c>
      <c r="C438" s="96" t="s">
        <v>497</v>
      </c>
      <c r="D438" s="96" t="s">
        <v>504</v>
      </c>
      <c r="E438" s="96">
        <v>6752233.0</v>
      </c>
      <c r="F438" s="96" t="s">
        <v>907</v>
      </c>
      <c r="G438" s="96" t="s">
        <v>486</v>
      </c>
      <c r="H438" s="90" t="s">
        <v>793</v>
      </c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</row>
    <row r="439" ht="40.5" customHeight="1">
      <c r="A439" s="90" t="s">
        <v>485</v>
      </c>
      <c r="B439" s="96" t="s">
        <v>486</v>
      </c>
      <c r="C439" s="96" t="s">
        <v>497</v>
      </c>
      <c r="D439" s="96" t="s">
        <v>505</v>
      </c>
      <c r="E439" s="96">
        <v>6752233.0</v>
      </c>
      <c r="F439" s="96" t="s">
        <v>907</v>
      </c>
      <c r="G439" s="96" t="s">
        <v>486</v>
      </c>
      <c r="H439" s="90" t="s">
        <v>793</v>
      </c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</row>
    <row r="440" ht="40.5" customHeight="1">
      <c r="A440" s="90" t="s">
        <v>485</v>
      </c>
      <c r="B440" s="96" t="s">
        <v>506</v>
      </c>
      <c r="C440" s="96" t="s">
        <v>507</v>
      </c>
      <c r="D440" s="96" t="s">
        <v>508</v>
      </c>
      <c r="E440" s="96">
        <v>7033702.0</v>
      </c>
      <c r="F440" s="96" t="s">
        <v>908</v>
      </c>
      <c r="G440" s="96" t="s">
        <v>519</v>
      </c>
      <c r="H440" s="90" t="s">
        <v>793</v>
      </c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</row>
    <row r="441" ht="40.5" customHeight="1">
      <c r="A441" s="90" t="s">
        <v>485</v>
      </c>
      <c r="B441" s="96" t="s">
        <v>506</v>
      </c>
      <c r="C441" s="96" t="s">
        <v>507</v>
      </c>
      <c r="D441" s="96" t="s">
        <v>509</v>
      </c>
      <c r="E441" s="96">
        <v>7033702.0</v>
      </c>
      <c r="F441" s="96" t="s">
        <v>908</v>
      </c>
      <c r="G441" s="96" t="s">
        <v>519</v>
      </c>
      <c r="H441" s="90" t="s">
        <v>793</v>
      </c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</row>
    <row r="442" ht="40.5" customHeight="1">
      <c r="A442" s="90" t="s">
        <v>485</v>
      </c>
      <c r="B442" s="96" t="s">
        <v>506</v>
      </c>
      <c r="C442" s="96" t="s">
        <v>507</v>
      </c>
      <c r="D442" s="96" t="s">
        <v>510</v>
      </c>
      <c r="E442" s="96">
        <v>7033702.0</v>
      </c>
      <c r="F442" s="96" t="s">
        <v>908</v>
      </c>
      <c r="G442" s="96" t="s">
        <v>519</v>
      </c>
      <c r="H442" s="90" t="s">
        <v>793</v>
      </c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</row>
    <row r="443" ht="40.5" customHeight="1">
      <c r="A443" s="90" t="s">
        <v>485</v>
      </c>
      <c r="B443" s="96" t="s">
        <v>506</v>
      </c>
      <c r="C443" s="96" t="s">
        <v>507</v>
      </c>
      <c r="D443" s="96" t="s">
        <v>511</v>
      </c>
      <c r="E443" s="96">
        <v>7033702.0</v>
      </c>
      <c r="F443" s="96" t="s">
        <v>908</v>
      </c>
      <c r="G443" s="96" t="s">
        <v>519</v>
      </c>
      <c r="H443" s="90" t="s">
        <v>793</v>
      </c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</row>
    <row r="444" ht="40.5" customHeight="1">
      <c r="A444" s="90" t="s">
        <v>485</v>
      </c>
      <c r="B444" s="96" t="s">
        <v>506</v>
      </c>
      <c r="C444" s="96" t="s">
        <v>507</v>
      </c>
      <c r="D444" s="96" t="s">
        <v>512</v>
      </c>
      <c r="E444" s="96">
        <v>7033702.0</v>
      </c>
      <c r="F444" s="96" t="s">
        <v>908</v>
      </c>
      <c r="G444" s="96" t="s">
        <v>519</v>
      </c>
      <c r="H444" s="90" t="s">
        <v>793</v>
      </c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</row>
    <row r="445" ht="40.5" customHeight="1">
      <c r="A445" s="90" t="s">
        <v>485</v>
      </c>
      <c r="B445" s="96" t="s">
        <v>506</v>
      </c>
      <c r="C445" s="96" t="s">
        <v>507</v>
      </c>
      <c r="D445" s="96" t="s">
        <v>513</v>
      </c>
      <c r="E445" s="96">
        <v>7033702.0</v>
      </c>
      <c r="F445" s="96" t="s">
        <v>908</v>
      </c>
      <c r="G445" s="96" t="s">
        <v>519</v>
      </c>
      <c r="H445" s="90" t="s">
        <v>793</v>
      </c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</row>
    <row r="446" ht="40.5" customHeight="1">
      <c r="A446" s="90" t="s">
        <v>485</v>
      </c>
      <c r="B446" s="96" t="s">
        <v>506</v>
      </c>
      <c r="C446" s="96" t="s">
        <v>514</v>
      </c>
      <c r="D446" s="96" t="s">
        <v>515</v>
      </c>
      <c r="E446" s="96">
        <v>7033702.0</v>
      </c>
      <c r="F446" s="96" t="s">
        <v>908</v>
      </c>
      <c r="G446" s="96" t="s">
        <v>519</v>
      </c>
      <c r="H446" s="90" t="s">
        <v>793</v>
      </c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</row>
    <row r="447" ht="40.5" customHeight="1">
      <c r="A447" s="90" t="s">
        <v>485</v>
      </c>
      <c r="B447" s="96" t="s">
        <v>506</v>
      </c>
      <c r="C447" s="96" t="s">
        <v>514</v>
      </c>
      <c r="D447" s="96" t="s">
        <v>516</v>
      </c>
      <c r="E447" s="96">
        <v>7033702.0</v>
      </c>
      <c r="F447" s="96" t="s">
        <v>908</v>
      </c>
      <c r="G447" s="96" t="s">
        <v>519</v>
      </c>
      <c r="H447" s="90" t="s">
        <v>793</v>
      </c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</row>
    <row r="448" ht="40.5" customHeight="1">
      <c r="A448" s="90" t="s">
        <v>485</v>
      </c>
      <c r="B448" s="96" t="s">
        <v>506</v>
      </c>
      <c r="C448" s="96" t="s">
        <v>514</v>
      </c>
      <c r="D448" s="96" t="s">
        <v>517</v>
      </c>
      <c r="E448" s="96">
        <v>7033702.0</v>
      </c>
      <c r="F448" s="96" t="s">
        <v>908</v>
      </c>
      <c r="G448" s="96" t="s">
        <v>519</v>
      </c>
      <c r="H448" s="90" t="s">
        <v>793</v>
      </c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</row>
    <row r="449" ht="40.5" customHeight="1">
      <c r="A449" s="90" t="s">
        <v>485</v>
      </c>
      <c r="B449" s="96" t="s">
        <v>506</v>
      </c>
      <c r="C449" s="96" t="s">
        <v>514</v>
      </c>
      <c r="D449" s="96" t="s">
        <v>518</v>
      </c>
      <c r="E449" s="96">
        <v>7033702.0</v>
      </c>
      <c r="F449" s="96" t="s">
        <v>908</v>
      </c>
      <c r="G449" s="96" t="s">
        <v>519</v>
      </c>
      <c r="H449" s="90" t="s">
        <v>793</v>
      </c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</row>
    <row r="450" ht="40.5" customHeight="1">
      <c r="A450" s="90" t="s">
        <v>485</v>
      </c>
      <c r="B450" s="96" t="s">
        <v>506</v>
      </c>
      <c r="C450" s="96" t="s">
        <v>514</v>
      </c>
      <c r="D450" s="96" t="s">
        <v>519</v>
      </c>
      <c r="E450" s="96">
        <v>7033702.0</v>
      </c>
      <c r="F450" s="96" t="s">
        <v>908</v>
      </c>
      <c r="G450" s="96" t="s">
        <v>519</v>
      </c>
      <c r="H450" s="90" t="s">
        <v>793</v>
      </c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</row>
    <row r="451" ht="40.5" customHeight="1">
      <c r="A451" s="90" t="s">
        <v>485</v>
      </c>
      <c r="B451" s="96" t="s">
        <v>506</v>
      </c>
      <c r="C451" s="96" t="s">
        <v>514</v>
      </c>
      <c r="D451" s="96" t="s">
        <v>520</v>
      </c>
      <c r="E451" s="96">
        <v>7033702.0</v>
      </c>
      <c r="F451" s="96" t="s">
        <v>908</v>
      </c>
      <c r="G451" s="96" t="s">
        <v>519</v>
      </c>
      <c r="H451" s="90" t="s">
        <v>793</v>
      </c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</row>
    <row r="452" ht="40.5" customHeight="1">
      <c r="A452" s="90" t="s">
        <v>485</v>
      </c>
      <c r="B452" s="96" t="s">
        <v>506</v>
      </c>
      <c r="C452" s="96" t="s">
        <v>521</v>
      </c>
      <c r="D452" s="96" t="s">
        <v>522</v>
      </c>
      <c r="E452" s="96">
        <v>5576121.0</v>
      </c>
      <c r="F452" s="96" t="s">
        <v>909</v>
      </c>
      <c r="G452" s="96" t="s">
        <v>506</v>
      </c>
      <c r="H452" s="90" t="s">
        <v>793</v>
      </c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</row>
    <row r="453" ht="40.5" customHeight="1">
      <c r="A453" s="90" t="s">
        <v>485</v>
      </c>
      <c r="B453" s="96" t="s">
        <v>506</v>
      </c>
      <c r="C453" s="96" t="s">
        <v>521</v>
      </c>
      <c r="D453" s="96" t="s">
        <v>506</v>
      </c>
      <c r="E453" s="96">
        <v>5576121.0</v>
      </c>
      <c r="F453" s="96" t="s">
        <v>909</v>
      </c>
      <c r="G453" s="96" t="s">
        <v>506</v>
      </c>
      <c r="H453" s="90" t="s">
        <v>793</v>
      </c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</row>
    <row r="454" ht="40.5" customHeight="1">
      <c r="A454" s="90" t="s">
        <v>485</v>
      </c>
      <c r="B454" s="96" t="s">
        <v>506</v>
      </c>
      <c r="C454" s="96" t="s">
        <v>521</v>
      </c>
      <c r="D454" s="96" t="s">
        <v>523</v>
      </c>
      <c r="E454" s="96">
        <v>5576121.0</v>
      </c>
      <c r="F454" s="96" t="s">
        <v>909</v>
      </c>
      <c r="G454" s="96" t="s">
        <v>506</v>
      </c>
      <c r="H454" s="90" t="s">
        <v>793</v>
      </c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</row>
    <row r="455" ht="40.5" customHeight="1">
      <c r="A455" s="90" t="s">
        <v>485</v>
      </c>
      <c r="B455" s="96" t="s">
        <v>506</v>
      </c>
      <c r="C455" s="96" t="s">
        <v>521</v>
      </c>
      <c r="D455" s="96" t="s">
        <v>524</v>
      </c>
      <c r="E455" s="96">
        <v>5576121.0</v>
      </c>
      <c r="F455" s="96" t="s">
        <v>909</v>
      </c>
      <c r="G455" s="96" t="s">
        <v>506</v>
      </c>
      <c r="H455" s="90" t="s">
        <v>793</v>
      </c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</row>
    <row r="456" ht="40.5" customHeight="1">
      <c r="A456" s="90" t="s">
        <v>485</v>
      </c>
      <c r="B456" s="96" t="s">
        <v>506</v>
      </c>
      <c r="C456" s="96" t="s">
        <v>521</v>
      </c>
      <c r="D456" s="96" t="s">
        <v>525</v>
      </c>
      <c r="E456" s="96">
        <v>5576121.0</v>
      </c>
      <c r="F456" s="96" t="s">
        <v>909</v>
      </c>
      <c r="G456" s="96" t="s">
        <v>506</v>
      </c>
      <c r="H456" s="90" t="s">
        <v>793</v>
      </c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</row>
    <row r="457" ht="40.5" customHeight="1">
      <c r="A457" s="90" t="s">
        <v>485</v>
      </c>
      <c r="B457" s="96" t="s">
        <v>506</v>
      </c>
      <c r="C457" s="96" t="s">
        <v>521</v>
      </c>
      <c r="D457" s="96" t="s">
        <v>526</v>
      </c>
      <c r="E457" s="96">
        <v>5576121.0</v>
      </c>
      <c r="F457" s="96" t="s">
        <v>909</v>
      </c>
      <c r="G457" s="96" t="s">
        <v>506</v>
      </c>
      <c r="H457" s="90" t="s">
        <v>793</v>
      </c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</row>
    <row r="458" ht="40.5" customHeight="1">
      <c r="A458" s="90" t="s">
        <v>485</v>
      </c>
      <c r="B458" s="96" t="s">
        <v>506</v>
      </c>
      <c r="C458" s="96" t="s">
        <v>521</v>
      </c>
      <c r="D458" s="96" t="s">
        <v>527</v>
      </c>
      <c r="E458" s="96">
        <v>5576121.0</v>
      </c>
      <c r="F458" s="96" t="s">
        <v>909</v>
      </c>
      <c r="G458" s="96" t="s">
        <v>506</v>
      </c>
      <c r="H458" s="90" t="s">
        <v>793</v>
      </c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</row>
    <row r="459" ht="40.5" customHeight="1">
      <c r="A459" s="90" t="s">
        <v>485</v>
      </c>
      <c r="B459" s="96" t="s">
        <v>506</v>
      </c>
      <c r="C459" s="96" t="s">
        <v>521</v>
      </c>
      <c r="D459" s="96" t="s">
        <v>528</v>
      </c>
      <c r="E459" s="96">
        <v>5576121.0</v>
      </c>
      <c r="F459" s="96" t="s">
        <v>909</v>
      </c>
      <c r="G459" s="96" t="s">
        <v>506</v>
      </c>
      <c r="H459" s="90" t="s">
        <v>793</v>
      </c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</row>
    <row r="460" ht="40.5" customHeight="1">
      <c r="A460" s="90" t="s">
        <v>485</v>
      </c>
      <c r="B460" s="96" t="s">
        <v>506</v>
      </c>
      <c r="C460" s="96" t="s">
        <v>521</v>
      </c>
      <c r="D460" s="96" t="s">
        <v>529</v>
      </c>
      <c r="E460" s="96">
        <v>5576121.0</v>
      </c>
      <c r="F460" s="96" t="s">
        <v>909</v>
      </c>
      <c r="G460" s="96" t="s">
        <v>506</v>
      </c>
      <c r="H460" s="90" t="s">
        <v>793</v>
      </c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</row>
    <row r="461" ht="40.5" customHeight="1">
      <c r="A461" s="90" t="s">
        <v>485</v>
      </c>
      <c r="B461" s="96" t="s">
        <v>506</v>
      </c>
      <c r="C461" s="96" t="s">
        <v>521</v>
      </c>
      <c r="D461" s="96" t="s">
        <v>530</v>
      </c>
      <c r="E461" s="96">
        <v>5576121.0</v>
      </c>
      <c r="F461" s="96" t="s">
        <v>909</v>
      </c>
      <c r="G461" s="96" t="s">
        <v>506</v>
      </c>
      <c r="H461" s="90" t="s">
        <v>793</v>
      </c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</row>
    <row r="462" ht="40.5" customHeight="1">
      <c r="A462" s="90" t="s">
        <v>485</v>
      </c>
      <c r="B462" s="96" t="s">
        <v>531</v>
      </c>
      <c r="C462" s="96" t="s">
        <v>532</v>
      </c>
      <c r="D462" s="96" t="s">
        <v>533</v>
      </c>
      <c r="E462" s="96">
        <v>2082187.0</v>
      </c>
      <c r="F462" s="96" t="s">
        <v>910</v>
      </c>
      <c r="G462" s="96" t="s">
        <v>531</v>
      </c>
      <c r="H462" s="90" t="s">
        <v>793</v>
      </c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</row>
    <row r="463" ht="40.5" customHeight="1">
      <c r="A463" s="90" t="s">
        <v>485</v>
      </c>
      <c r="B463" s="96" t="s">
        <v>531</v>
      </c>
      <c r="C463" s="96" t="s">
        <v>532</v>
      </c>
      <c r="D463" s="96" t="s">
        <v>534</v>
      </c>
      <c r="E463" s="96">
        <v>2082187.0</v>
      </c>
      <c r="F463" s="96" t="s">
        <v>910</v>
      </c>
      <c r="G463" s="96" t="s">
        <v>531</v>
      </c>
      <c r="H463" s="90" t="s">
        <v>793</v>
      </c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</row>
    <row r="464" ht="40.5" customHeight="1">
      <c r="A464" s="90" t="s">
        <v>485</v>
      </c>
      <c r="B464" s="96" t="s">
        <v>531</v>
      </c>
      <c r="C464" s="96" t="s">
        <v>532</v>
      </c>
      <c r="D464" s="96" t="s">
        <v>535</v>
      </c>
      <c r="E464" s="96">
        <v>2082187.0</v>
      </c>
      <c r="F464" s="96" t="s">
        <v>910</v>
      </c>
      <c r="G464" s="96" t="s">
        <v>531</v>
      </c>
      <c r="H464" s="90" t="s">
        <v>793</v>
      </c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</row>
    <row r="465" ht="40.5" customHeight="1">
      <c r="A465" s="90" t="s">
        <v>485</v>
      </c>
      <c r="B465" s="96" t="s">
        <v>531</v>
      </c>
      <c r="C465" s="96" t="s">
        <v>532</v>
      </c>
      <c r="D465" s="96" t="s">
        <v>536</v>
      </c>
      <c r="E465" s="96">
        <v>2082187.0</v>
      </c>
      <c r="F465" s="96" t="s">
        <v>910</v>
      </c>
      <c r="G465" s="96" t="s">
        <v>531</v>
      </c>
      <c r="H465" s="90" t="s">
        <v>793</v>
      </c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</row>
    <row r="466" ht="40.5" customHeight="1">
      <c r="A466" s="90" t="s">
        <v>485</v>
      </c>
      <c r="B466" s="96" t="s">
        <v>531</v>
      </c>
      <c r="C466" s="96" t="s">
        <v>532</v>
      </c>
      <c r="D466" s="96" t="s">
        <v>531</v>
      </c>
      <c r="E466" s="96">
        <v>2082187.0</v>
      </c>
      <c r="F466" s="96" t="s">
        <v>910</v>
      </c>
      <c r="G466" s="96" t="s">
        <v>531</v>
      </c>
      <c r="H466" s="90" t="s">
        <v>793</v>
      </c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</row>
    <row r="467" ht="40.5" customHeight="1">
      <c r="A467" s="90" t="s">
        <v>485</v>
      </c>
      <c r="B467" s="96" t="s">
        <v>531</v>
      </c>
      <c r="C467" s="96" t="s">
        <v>532</v>
      </c>
      <c r="D467" s="96" t="s">
        <v>531</v>
      </c>
      <c r="E467" s="96">
        <v>2084414.0</v>
      </c>
      <c r="F467" s="96" t="s">
        <v>911</v>
      </c>
      <c r="G467" s="96" t="s">
        <v>531</v>
      </c>
      <c r="H467" s="90" t="s">
        <v>793</v>
      </c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</row>
    <row r="468" ht="40.5" customHeight="1">
      <c r="A468" s="90" t="s">
        <v>485</v>
      </c>
      <c r="B468" s="96" t="s">
        <v>531</v>
      </c>
      <c r="C468" s="96" t="s">
        <v>532</v>
      </c>
      <c r="D468" s="96" t="s">
        <v>537</v>
      </c>
      <c r="E468" s="96">
        <v>2082187.0</v>
      </c>
      <c r="F468" s="96" t="s">
        <v>910</v>
      </c>
      <c r="G468" s="96" t="s">
        <v>531</v>
      </c>
      <c r="H468" s="90" t="s">
        <v>793</v>
      </c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</row>
    <row r="469" ht="40.5" customHeight="1">
      <c r="A469" s="90" t="s">
        <v>485</v>
      </c>
      <c r="B469" s="96" t="s">
        <v>531</v>
      </c>
      <c r="C469" s="96" t="s">
        <v>532</v>
      </c>
      <c r="D469" s="96" t="s">
        <v>538</v>
      </c>
      <c r="E469" s="96">
        <v>2082187.0</v>
      </c>
      <c r="F469" s="96" t="s">
        <v>910</v>
      </c>
      <c r="G469" s="96" t="s">
        <v>531</v>
      </c>
      <c r="H469" s="90" t="s">
        <v>793</v>
      </c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</row>
    <row r="470" ht="40.5" customHeight="1">
      <c r="A470" s="90" t="s">
        <v>485</v>
      </c>
      <c r="B470" s="96" t="s">
        <v>531</v>
      </c>
      <c r="C470" s="96" t="s">
        <v>532</v>
      </c>
      <c r="D470" s="96" t="s">
        <v>539</v>
      </c>
      <c r="E470" s="96">
        <v>2082187.0</v>
      </c>
      <c r="F470" s="96" t="s">
        <v>910</v>
      </c>
      <c r="G470" s="96" t="s">
        <v>531</v>
      </c>
      <c r="H470" s="90" t="s">
        <v>793</v>
      </c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</row>
    <row r="471" ht="40.5" customHeight="1">
      <c r="A471" s="90" t="s">
        <v>485</v>
      </c>
      <c r="B471" s="96" t="s">
        <v>531</v>
      </c>
      <c r="C471" s="96" t="s">
        <v>532</v>
      </c>
      <c r="D471" s="96" t="s">
        <v>540</v>
      </c>
      <c r="E471" s="96">
        <v>2082187.0</v>
      </c>
      <c r="F471" s="96" t="s">
        <v>910</v>
      </c>
      <c r="G471" s="96" t="s">
        <v>531</v>
      </c>
      <c r="H471" s="90" t="s">
        <v>793</v>
      </c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</row>
    <row r="472" ht="40.5" customHeight="1">
      <c r="A472" s="90" t="s">
        <v>485</v>
      </c>
      <c r="B472" s="96" t="s">
        <v>531</v>
      </c>
      <c r="C472" s="96" t="s">
        <v>532</v>
      </c>
      <c r="D472" s="96" t="s">
        <v>541</v>
      </c>
      <c r="E472" s="96">
        <v>2082187.0</v>
      </c>
      <c r="F472" s="96" t="s">
        <v>910</v>
      </c>
      <c r="G472" s="96" t="s">
        <v>531</v>
      </c>
      <c r="H472" s="90" t="s">
        <v>793</v>
      </c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</row>
    <row r="473" ht="40.5" customHeight="1">
      <c r="A473" s="90" t="s">
        <v>485</v>
      </c>
      <c r="B473" s="96" t="s">
        <v>531</v>
      </c>
      <c r="C473" s="96" t="s">
        <v>542</v>
      </c>
      <c r="D473" s="96" t="s">
        <v>543</v>
      </c>
      <c r="E473" s="96">
        <v>2082187.0</v>
      </c>
      <c r="F473" s="96" t="s">
        <v>910</v>
      </c>
      <c r="G473" s="96" t="s">
        <v>531</v>
      </c>
      <c r="H473" s="90" t="s">
        <v>793</v>
      </c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</row>
    <row r="474" ht="40.5" customHeight="1">
      <c r="A474" s="90" t="s">
        <v>485</v>
      </c>
      <c r="B474" s="96" t="s">
        <v>531</v>
      </c>
      <c r="C474" s="96" t="s">
        <v>542</v>
      </c>
      <c r="D474" s="96" t="s">
        <v>544</v>
      </c>
      <c r="E474" s="96">
        <v>2082187.0</v>
      </c>
      <c r="F474" s="96" t="s">
        <v>910</v>
      </c>
      <c r="G474" s="96" t="s">
        <v>531</v>
      </c>
      <c r="H474" s="90" t="s">
        <v>793</v>
      </c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</row>
    <row r="475" ht="40.5" customHeight="1">
      <c r="A475" s="90" t="s">
        <v>485</v>
      </c>
      <c r="B475" s="96" t="s">
        <v>531</v>
      </c>
      <c r="C475" s="96" t="s">
        <v>542</v>
      </c>
      <c r="D475" s="96" t="s">
        <v>545</v>
      </c>
      <c r="E475" s="96">
        <v>2082187.0</v>
      </c>
      <c r="F475" s="96" t="s">
        <v>910</v>
      </c>
      <c r="G475" s="96" t="s">
        <v>531</v>
      </c>
      <c r="H475" s="90" t="s">
        <v>793</v>
      </c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</row>
    <row r="476" ht="40.5" customHeight="1">
      <c r="A476" s="90" t="s">
        <v>485</v>
      </c>
      <c r="B476" s="96" t="s">
        <v>531</v>
      </c>
      <c r="C476" s="96" t="s">
        <v>542</v>
      </c>
      <c r="D476" s="96" t="s">
        <v>546</v>
      </c>
      <c r="E476" s="96">
        <v>2082187.0</v>
      </c>
      <c r="F476" s="96" t="s">
        <v>910</v>
      </c>
      <c r="G476" s="96" t="s">
        <v>531</v>
      </c>
      <c r="H476" s="90" t="s">
        <v>793</v>
      </c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</row>
    <row r="477" ht="40.5" customHeight="1">
      <c r="A477" s="90" t="s">
        <v>485</v>
      </c>
      <c r="B477" s="96" t="s">
        <v>531</v>
      </c>
      <c r="C477" s="96" t="s">
        <v>542</v>
      </c>
      <c r="D477" s="96" t="s">
        <v>547</v>
      </c>
      <c r="E477" s="96">
        <v>2082187.0</v>
      </c>
      <c r="F477" s="96" t="s">
        <v>910</v>
      </c>
      <c r="G477" s="96" t="s">
        <v>531</v>
      </c>
      <c r="H477" s="90" t="s">
        <v>793</v>
      </c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</row>
    <row r="478" ht="40.5" customHeight="1">
      <c r="A478" s="90" t="s">
        <v>485</v>
      </c>
      <c r="B478" s="96" t="s">
        <v>531</v>
      </c>
      <c r="C478" s="96" t="s">
        <v>542</v>
      </c>
      <c r="D478" s="96" t="s">
        <v>548</v>
      </c>
      <c r="E478" s="96">
        <v>2082187.0</v>
      </c>
      <c r="F478" s="96" t="s">
        <v>910</v>
      </c>
      <c r="G478" s="96" t="s">
        <v>531</v>
      </c>
      <c r="H478" s="90" t="s">
        <v>793</v>
      </c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</row>
    <row r="479" ht="40.5" customHeight="1">
      <c r="A479" s="90" t="s">
        <v>485</v>
      </c>
      <c r="B479" s="96" t="s">
        <v>531</v>
      </c>
      <c r="C479" s="96" t="s">
        <v>542</v>
      </c>
      <c r="D479" s="96" t="s">
        <v>549</v>
      </c>
      <c r="E479" s="96">
        <v>2082187.0</v>
      </c>
      <c r="F479" s="96" t="s">
        <v>910</v>
      </c>
      <c r="G479" s="96" t="s">
        <v>531</v>
      </c>
      <c r="H479" s="90" t="s">
        <v>793</v>
      </c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</row>
    <row r="480" ht="40.5" customHeight="1">
      <c r="A480" s="90" t="s">
        <v>485</v>
      </c>
      <c r="B480" s="96" t="s">
        <v>531</v>
      </c>
      <c r="C480" s="96" t="s">
        <v>542</v>
      </c>
      <c r="D480" s="96" t="s">
        <v>550</v>
      </c>
      <c r="E480" s="96">
        <v>2082187.0</v>
      </c>
      <c r="F480" s="96" t="s">
        <v>910</v>
      </c>
      <c r="G480" s="96" t="s">
        <v>531</v>
      </c>
      <c r="H480" s="90" t="s">
        <v>793</v>
      </c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</row>
    <row r="481" ht="40.5" customHeight="1">
      <c r="A481" s="90" t="s">
        <v>485</v>
      </c>
      <c r="B481" s="96" t="s">
        <v>531</v>
      </c>
      <c r="C481" s="96" t="s">
        <v>542</v>
      </c>
      <c r="D481" s="96" t="s">
        <v>551</v>
      </c>
      <c r="E481" s="96">
        <v>2082187.0</v>
      </c>
      <c r="F481" s="96" t="s">
        <v>910</v>
      </c>
      <c r="G481" s="96" t="s">
        <v>531</v>
      </c>
      <c r="H481" s="90" t="s">
        <v>793</v>
      </c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</row>
    <row r="482" ht="40.5" customHeight="1">
      <c r="A482" s="90" t="s">
        <v>485</v>
      </c>
      <c r="B482" s="96" t="s">
        <v>531</v>
      </c>
      <c r="C482" s="96" t="s">
        <v>552</v>
      </c>
      <c r="D482" s="96" t="s">
        <v>553</v>
      </c>
      <c r="E482" s="96">
        <v>2082187.0</v>
      </c>
      <c r="F482" s="96" t="s">
        <v>910</v>
      </c>
      <c r="G482" s="96" t="s">
        <v>531</v>
      </c>
      <c r="H482" s="90" t="s">
        <v>793</v>
      </c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</row>
    <row r="483" ht="40.5" customHeight="1">
      <c r="A483" s="90" t="s">
        <v>485</v>
      </c>
      <c r="B483" s="96" t="s">
        <v>531</v>
      </c>
      <c r="C483" s="96" t="s">
        <v>552</v>
      </c>
      <c r="D483" s="96" t="s">
        <v>554</v>
      </c>
      <c r="E483" s="96">
        <v>2082187.0</v>
      </c>
      <c r="F483" s="96" t="s">
        <v>910</v>
      </c>
      <c r="G483" s="96" t="s">
        <v>531</v>
      </c>
      <c r="H483" s="90" t="s">
        <v>793</v>
      </c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</row>
    <row r="484" ht="40.5" customHeight="1">
      <c r="A484" s="90" t="s">
        <v>485</v>
      </c>
      <c r="B484" s="96" t="s">
        <v>531</v>
      </c>
      <c r="C484" s="96" t="s">
        <v>552</v>
      </c>
      <c r="D484" s="96" t="s">
        <v>555</v>
      </c>
      <c r="E484" s="96">
        <v>2082187.0</v>
      </c>
      <c r="F484" s="96" t="s">
        <v>910</v>
      </c>
      <c r="G484" s="96" t="s">
        <v>531</v>
      </c>
      <c r="H484" s="90" t="s">
        <v>793</v>
      </c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</row>
    <row r="485" ht="40.5" customHeight="1">
      <c r="A485" s="90" t="s">
        <v>485</v>
      </c>
      <c r="B485" s="96" t="s">
        <v>531</v>
      </c>
      <c r="C485" s="96" t="s">
        <v>552</v>
      </c>
      <c r="D485" s="96" t="s">
        <v>556</v>
      </c>
      <c r="E485" s="96">
        <v>2082187.0</v>
      </c>
      <c r="F485" s="96" t="s">
        <v>910</v>
      </c>
      <c r="G485" s="96" t="s">
        <v>531</v>
      </c>
      <c r="H485" s="90" t="s">
        <v>793</v>
      </c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</row>
    <row r="486" ht="40.5" customHeight="1">
      <c r="A486" s="90" t="s">
        <v>485</v>
      </c>
      <c r="B486" s="96" t="s">
        <v>531</v>
      </c>
      <c r="C486" s="96" t="s">
        <v>552</v>
      </c>
      <c r="D486" s="96" t="s">
        <v>557</v>
      </c>
      <c r="E486" s="96">
        <v>2082187.0</v>
      </c>
      <c r="F486" s="96" t="s">
        <v>910</v>
      </c>
      <c r="G486" s="96" t="s">
        <v>531</v>
      </c>
      <c r="H486" s="90" t="s">
        <v>793</v>
      </c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</row>
    <row r="487" ht="40.5" customHeight="1">
      <c r="A487" s="90" t="s">
        <v>485</v>
      </c>
      <c r="B487" s="96" t="s">
        <v>531</v>
      </c>
      <c r="C487" s="96" t="s">
        <v>552</v>
      </c>
      <c r="D487" s="96" t="s">
        <v>558</v>
      </c>
      <c r="E487" s="96">
        <v>2082187.0</v>
      </c>
      <c r="F487" s="96" t="s">
        <v>910</v>
      </c>
      <c r="G487" s="96" t="s">
        <v>531</v>
      </c>
      <c r="H487" s="90" t="s">
        <v>793</v>
      </c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</row>
    <row r="488" ht="40.5" customHeight="1">
      <c r="A488" s="90" t="s">
        <v>485</v>
      </c>
      <c r="B488" s="96" t="s">
        <v>531</v>
      </c>
      <c r="C488" s="96" t="s">
        <v>552</v>
      </c>
      <c r="D488" s="96" t="s">
        <v>559</v>
      </c>
      <c r="E488" s="96">
        <v>2082187.0</v>
      </c>
      <c r="F488" s="96" t="s">
        <v>910</v>
      </c>
      <c r="G488" s="96" t="s">
        <v>531</v>
      </c>
      <c r="H488" s="90" t="s">
        <v>793</v>
      </c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</row>
    <row r="489" ht="40.5" customHeight="1">
      <c r="A489" s="90" t="s">
        <v>560</v>
      </c>
      <c r="B489" s="96" t="s">
        <v>561</v>
      </c>
      <c r="C489" s="96" t="s">
        <v>562</v>
      </c>
      <c r="D489" s="82" t="s">
        <v>562</v>
      </c>
      <c r="E489" s="96">
        <v>2081253.0</v>
      </c>
      <c r="F489" s="96" t="s">
        <v>912</v>
      </c>
      <c r="G489" s="96" t="s">
        <v>562</v>
      </c>
      <c r="H489" s="90" t="s">
        <v>793</v>
      </c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</row>
    <row r="490" ht="40.5" customHeight="1">
      <c r="A490" s="90" t="s">
        <v>560</v>
      </c>
      <c r="B490" s="96" t="s">
        <v>561</v>
      </c>
      <c r="C490" s="96" t="s">
        <v>562</v>
      </c>
      <c r="D490" s="82" t="s">
        <v>563</v>
      </c>
      <c r="E490" s="96">
        <v>2081253.0</v>
      </c>
      <c r="F490" s="96" t="s">
        <v>912</v>
      </c>
      <c r="G490" s="96" t="s">
        <v>562</v>
      </c>
      <c r="H490" s="90" t="s">
        <v>793</v>
      </c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</row>
    <row r="491" ht="40.5" customHeight="1">
      <c r="A491" s="90" t="s">
        <v>560</v>
      </c>
      <c r="B491" s="96" t="s">
        <v>561</v>
      </c>
      <c r="C491" s="96" t="s">
        <v>562</v>
      </c>
      <c r="D491" s="82" t="s">
        <v>564</v>
      </c>
      <c r="E491" s="96">
        <v>2081253.0</v>
      </c>
      <c r="F491" s="96" t="s">
        <v>912</v>
      </c>
      <c r="G491" s="96" t="s">
        <v>562</v>
      </c>
      <c r="H491" s="90" t="s">
        <v>793</v>
      </c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</row>
    <row r="492" ht="40.5" customHeight="1">
      <c r="A492" s="90" t="s">
        <v>560</v>
      </c>
      <c r="B492" s="96" t="s">
        <v>561</v>
      </c>
      <c r="C492" s="96" t="s">
        <v>562</v>
      </c>
      <c r="D492" s="82" t="s">
        <v>565</v>
      </c>
      <c r="E492" s="96">
        <v>2081253.0</v>
      </c>
      <c r="F492" s="96" t="s">
        <v>912</v>
      </c>
      <c r="G492" s="96" t="s">
        <v>562</v>
      </c>
      <c r="H492" s="90" t="s">
        <v>793</v>
      </c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</row>
    <row r="493" ht="40.5" customHeight="1">
      <c r="A493" s="90" t="s">
        <v>560</v>
      </c>
      <c r="B493" s="96" t="s">
        <v>561</v>
      </c>
      <c r="C493" s="96" t="s">
        <v>562</v>
      </c>
      <c r="D493" s="82" t="s">
        <v>566</v>
      </c>
      <c r="E493" s="96">
        <v>2081253.0</v>
      </c>
      <c r="F493" s="96" t="s">
        <v>912</v>
      </c>
      <c r="G493" s="96" t="s">
        <v>562</v>
      </c>
      <c r="H493" s="90" t="s">
        <v>793</v>
      </c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</row>
    <row r="494" ht="40.5" customHeight="1">
      <c r="A494" s="90" t="s">
        <v>560</v>
      </c>
      <c r="B494" s="96" t="s">
        <v>561</v>
      </c>
      <c r="C494" s="96" t="s">
        <v>567</v>
      </c>
      <c r="D494" s="82" t="s">
        <v>568</v>
      </c>
      <c r="E494" s="96">
        <v>7505221.0</v>
      </c>
      <c r="F494" s="96" t="s">
        <v>913</v>
      </c>
      <c r="G494" s="96" t="s">
        <v>567</v>
      </c>
      <c r="H494" s="90" t="s">
        <v>793</v>
      </c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</row>
    <row r="495" ht="40.5" customHeight="1">
      <c r="A495" s="90" t="s">
        <v>560</v>
      </c>
      <c r="B495" s="96" t="s">
        <v>561</v>
      </c>
      <c r="C495" s="96" t="s">
        <v>567</v>
      </c>
      <c r="D495" s="82" t="s">
        <v>569</v>
      </c>
      <c r="E495" s="96">
        <v>7505221.0</v>
      </c>
      <c r="F495" s="96" t="s">
        <v>913</v>
      </c>
      <c r="G495" s="96" t="s">
        <v>567</v>
      </c>
      <c r="H495" s="90" t="s">
        <v>793</v>
      </c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</row>
    <row r="496" ht="40.5" customHeight="1">
      <c r="A496" s="90" t="s">
        <v>560</v>
      </c>
      <c r="B496" s="96" t="s">
        <v>561</v>
      </c>
      <c r="C496" s="96" t="s">
        <v>567</v>
      </c>
      <c r="D496" s="82" t="s">
        <v>570</v>
      </c>
      <c r="E496" s="96">
        <v>7505221.0</v>
      </c>
      <c r="F496" s="96" t="s">
        <v>913</v>
      </c>
      <c r="G496" s="96" t="s">
        <v>567</v>
      </c>
      <c r="H496" s="90" t="s">
        <v>793</v>
      </c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</row>
    <row r="497" ht="40.5" customHeight="1">
      <c r="A497" s="90" t="s">
        <v>560</v>
      </c>
      <c r="B497" s="96" t="s">
        <v>561</v>
      </c>
      <c r="C497" s="96" t="s">
        <v>567</v>
      </c>
      <c r="D497" s="82" t="s">
        <v>567</v>
      </c>
      <c r="E497" s="96">
        <v>7505221.0</v>
      </c>
      <c r="F497" s="96" t="s">
        <v>913</v>
      </c>
      <c r="G497" s="96" t="s">
        <v>567</v>
      </c>
      <c r="H497" s="90" t="s">
        <v>793</v>
      </c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</row>
    <row r="498" ht="40.5" customHeight="1">
      <c r="A498" s="90" t="s">
        <v>560</v>
      </c>
      <c r="B498" s="96" t="s">
        <v>561</v>
      </c>
      <c r="C498" s="96" t="s">
        <v>561</v>
      </c>
      <c r="D498" s="82" t="s">
        <v>571</v>
      </c>
      <c r="E498" s="96">
        <v>2772310.0</v>
      </c>
      <c r="F498" s="96" t="s">
        <v>914</v>
      </c>
      <c r="G498" s="96" t="s">
        <v>561</v>
      </c>
      <c r="H498" s="90" t="s">
        <v>793</v>
      </c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</row>
    <row r="499" ht="40.5" customHeight="1">
      <c r="A499" s="90" t="s">
        <v>560</v>
      </c>
      <c r="B499" s="96" t="s">
        <v>561</v>
      </c>
      <c r="C499" s="96" t="s">
        <v>561</v>
      </c>
      <c r="D499" s="82" t="s">
        <v>571</v>
      </c>
      <c r="E499" s="96">
        <v>2087057.0</v>
      </c>
      <c r="F499" s="96" t="s">
        <v>915</v>
      </c>
      <c r="G499" s="96" t="s">
        <v>561</v>
      </c>
      <c r="H499" s="90" t="s">
        <v>793</v>
      </c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</row>
    <row r="500" ht="40.5" customHeight="1">
      <c r="A500" s="90" t="s">
        <v>560</v>
      </c>
      <c r="B500" s="96" t="s">
        <v>561</v>
      </c>
      <c r="C500" s="96" t="s">
        <v>561</v>
      </c>
      <c r="D500" s="82" t="s">
        <v>572</v>
      </c>
      <c r="E500" s="96">
        <v>2772310.0</v>
      </c>
      <c r="F500" s="96" t="s">
        <v>914</v>
      </c>
      <c r="G500" s="96" t="s">
        <v>561</v>
      </c>
      <c r="H500" s="90" t="s">
        <v>793</v>
      </c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</row>
    <row r="501" ht="40.5" customHeight="1">
      <c r="A501" s="90" t="s">
        <v>560</v>
      </c>
      <c r="B501" s="96" t="s">
        <v>561</v>
      </c>
      <c r="C501" s="96" t="s">
        <v>561</v>
      </c>
      <c r="D501" s="82" t="s">
        <v>572</v>
      </c>
      <c r="E501" s="96">
        <v>2087057.0</v>
      </c>
      <c r="F501" s="96" t="s">
        <v>915</v>
      </c>
      <c r="G501" s="96" t="s">
        <v>561</v>
      </c>
      <c r="H501" s="90" t="s">
        <v>793</v>
      </c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</row>
    <row r="502" ht="40.5" customHeight="1">
      <c r="A502" s="90" t="s">
        <v>560</v>
      </c>
      <c r="B502" s="96" t="s">
        <v>561</v>
      </c>
      <c r="C502" s="96" t="s">
        <v>561</v>
      </c>
      <c r="D502" s="82" t="s">
        <v>573</v>
      </c>
      <c r="E502" s="96">
        <v>2772310.0</v>
      </c>
      <c r="F502" s="96" t="s">
        <v>914</v>
      </c>
      <c r="G502" s="96" t="s">
        <v>561</v>
      </c>
      <c r="H502" s="90" t="s">
        <v>793</v>
      </c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</row>
    <row r="503" ht="40.5" customHeight="1">
      <c r="A503" s="90" t="s">
        <v>560</v>
      </c>
      <c r="B503" s="96" t="s">
        <v>561</v>
      </c>
      <c r="C503" s="96" t="s">
        <v>561</v>
      </c>
      <c r="D503" s="82" t="s">
        <v>573</v>
      </c>
      <c r="E503" s="96">
        <v>2087057.0</v>
      </c>
      <c r="F503" s="96" t="s">
        <v>915</v>
      </c>
      <c r="G503" s="96" t="s">
        <v>561</v>
      </c>
      <c r="H503" s="90" t="s">
        <v>793</v>
      </c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</row>
    <row r="504" ht="40.5" customHeight="1">
      <c r="A504" s="90" t="s">
        <v>560</v>
      </c>
      <c r="B504" s="96" t="s">
        <v>561</v>
      </c>
      <c r="C504" s="96" t="s">
        <v>561</v>
      </c>
      <c r="D504" s="82" t="s">
        <v>574</v>
      </c>
      <c r="E504" s="96">
        <v>2772310.0</v>
      </c>
      <c r="F504" s="96" t="s">
        <v>914</v>
      </c>
      <c r="G504" s="96" t="s">
        <v>561</v>
      </c>
      <c r="H504" s="90" t="s">
        <v>793</v>
      </c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</row>
    <row r="505" ht="40.5" customHeight="1">
      <c r="A505" s="90" t="s">
        <v>560</v>
      </c>
      <c r="B505" s="96" t="s">
        <v>561</v>
      </c>
      <c r="C505" s="96" t="s">
        <v>561</v>
      </c>
      <c r="D505" s="82" t="s">
        <v>574</v>
      </c>
      <c r="E505" s="96">
        <v>2087057.0</v>
      </c>
      <c r="F505" s="96" t="s">
        <v>915</v>
      </c>
      <c r="G505" s="96" t="s">
        <v>561</v>
      </c>
      <c r="H505" s="90" t="s">
        <v>793</v>
      </c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</row>
    <row r="506" ht="40.5" customHeight="1">
      <c r="A506" s="90" t="s">
        <v>560</v>
      </c>
      <c r="B506" s="96" t="s">
        <v>561</v>
      </c>
      <c r="C506" s="96" t="s">
        <v>561</v>
      </c>
      <c r="D506" s="82" t="s">
        <v>575</v>
      </c>
      <c r="E506" s="96">
        <v>2772310.0</v>
      </c>
      <c r="F506" s="96" t="s">
        <v>914</v>
      </c>
      <c r="G506" s="96" t="s">
        <v>561</v>
      </c>
      <c r="H506" s="90" t="s">
        <v>793</v>
      </c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</row>
    <row r="507" ht="40.5" customHeight="1">
      <c r="A507" s="90" t="s">
        <v>560</v>
      </c>
      <c r="B507" s="96" t="s">
        <v>561</v>
      </c>
      <c r="C507" s="96" t="s">
        <v>561</v>
      </c>
      <c r="D507" s="82" t="s">
        <v>575</v>
      </c>
      <c r="E507" s="96">
        <v>2087057.0</v>
      </c>
      <c r="F507" s="96" t="s">
        <v>915</v>
      </c>
      <c r="G507" s="96" t="s">
        <v>561</v>
      </c>
      <c r="H507" s="90" t="s">
        <v>793</v>
      </c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</row>
    <row r="508" ht="40.5" customHeight="1">
      <c r="A508" s="90" t="s">
        <v>560</v>
      </c>
      <c r="B508" s="96" t="s">
        <v>561</v>
      </c>
      <c r="C508" s="96" t="s">
        <v>561</v>
      </c>
      <c r="D508" s="82" t="s">
        <v>561</v>
      </c>
      <c r="E508" s="96">
        <v>2772310.0</v>
      </c>
      <c r="F508" s="96" t="s">
        <v>914</v>
      </c>
      <c r="G508" s="96" t="s">
        <v>561</v>
      </c>
      <c r="H508" s="90" t="s">
        <v>793</v>
      </c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</row>
    <row r="509" ht="40.5" customHeight="1">
      <c r="A509" s="90" t="s">
        <v>560</v>
      </c>
      <c r="B509" s="96" t="s">
        <v>561</v>
      </c>
      <c r="C509" s="96" t="s">
        <v>561</v>
      </c>
      <c r="D509" s="82" t="s">
        <v>561</v>
      </c>
      <c r="E509" s="96">
        <v>2087057.0</v>
      </c>
      <c r="F509" s="96" t="s">
        <v>915</v>
      </c>
      <c r="G509" s="96" t="s">
        <v>561</v>
      </c>
      <c r="H509" s="90" t="s">
        <v>793</v>
      </c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</row>
    <row r="510" ht="40.5" customHeight="1">
      <c r="A510" s="90" t="s">
        <v>560</v>
      </c>
      <c r="B510" s="96" t="s">
        <v>561</v>
      </c>
      <c r="C510" s="96" t="s">
        <v>561</v>
      </c>
      <c r="D510" s="82" t="s">
        <v>576</v>
      </c>
      <c r="E510" s="96">
        <v>2772310.0</v>
      </c>
      <c r="F510" s="96" t="s">
        <v>914</v>
      </c>
      <c r="G510" s="96" t="s">
        <v>561</v>
      </c>
      <c r="H510" s="90" t="s">
        <v>793</v>
      </c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</row>
    <row r="511" ht="40.5" customHeight="1">
      <c r="A511" s="90" t="s">
        <v>560</v>
      </c>
      <c r="B511" s="96" t="s">
        <v>561</v>
      </c>
      <c r="C511" s="96" t="s">
        <v>561</v>
      </c>
      <c r="D511" s="82" t="s">
        <v>576</v>
      </c>
      <c r="E511" s="96">
        <v>2087057.0</v>
      </c>
      <c r="F511" s="96" t="s">
        <v>915</v>
      </c>
      <c r="G511" s="96" t="s">
        <v>561</v>
      </c>
      <c r="H511" s="90" t="s">
        <v>793</v>
      </c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</row>
    <row r="512" ht="40.5" customHeight="1">
      <c r="A512" s="90" t="s">
        <v>560</v>
      </c>
      <c r="B512" s="96" t="s">
        <v>561</v>
      </c>
      <c r="C512" s="96" t="s">
        <v>561</v>
      </c>
      <c r="D512" s="82" t="s">
        <v>577</v>
      </c>
      <c r="E512" s="96">
        <v>2772310.0</v>
      </c>
      <c r="F512" s="96" t="s">
        <v>914</v>
      </c>
      <c r="G512" s="96" t="s">
        <v>561</v>
      </c>
      <c r="H512" s="90" t="s">
        <v>793</v>
      </c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</row>
    <row r="513" ht="40.5" customHeight="1">
      <c r="A513" s="90" t="s">
        <v>560</v>
      </c>
      <c r="B513" s="96" t="s">
        <v>561</v>
      </c>
      <c r="C513" s="96" t="s">
        <v>561</v>
      </c>
      <c r="D513" s="82" t="s">
        <v>577</v>
      </c>
      <c r="E513" s="96">
        <v>2087057.0</v>
      </c>
      <c r="F513" s="96" t="s">
        <v>915</v>
      </c>
      <c r="G513" s="96" t="s">
        <v>561</v>
      </c>
      <c r="H513" s="90" t="s">
        <v>793</v>
      </c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</row>
    <row r="514" ht="40.5" customHeight="1">
      <c r="A514" s="90" t="s">
        <v>560</v>
      </c>
      <c r="B514" s="96" t="s">
        <v>561</v>
      </c>
      <c r="C514" s="96" t="s">
        <v>561</v>
      </c>
      <c r="D514" s="82" t="s">
        <v>578</v>
      </c>
      <c r="E514" s="96">
        <v>2772310.0</v>
      </c>
      <c r="F514" s="96" t="s">
        <v>914</v>
      </c>
      <c r="G514" s="96" t="s">
        <v>561</v>
      </c>
      <c r="H514" s="90" t="s">
        <v>793</v>
      </c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</row>
    <row r="515" ht="40.5" customHeight="1">
      <c r="A515" s="90" t="s">
        <v>560</v>
      </c>
      <c r="B515" s="96" t="s">
        <v>561</v>
      </c>
      <c r="C515" s="96" t="s">
        <v>561</v>
      </c>
      <c r="D515" s="82" t="s">
        <v>578</v>
      </c>
      <c r="E515" s="96">
        <v>2087057.0</v>
      </c>
      <c r="F515" s="96" t="s">
        <v>915</v>
      </c>
      <c r="G515" s="96" t="s">
        <v>561</v>
      </c>
      <c r="H515" s="90" t="s">
        <v>793</v>
      </c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</row>
    <row r="516" ht="40.5" customHeight="1">
      <c r="A516" s="90" t="s">
        <v>560</v>
      </c>
      <c r="B516" s="96" t="s">
        <v>561</v>
      </c>
      <c r="C516" s="96" t="s">
        <v>561</v>
      </c>
      <c r="D516" s="82" t="s">
        <v>579</v>
      </c>
      <c r="E516" s="96">
        <v>2772310.0</v>
      </c>
      <c r="F516" s="96" t="s">
        <v>914</v>
      </c>
      <c r="G516" s="96" t="s">
        <v>561</v>
      </c>
      <c r="H516" s="90" t="s">
        <v>793</v>
      </c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</row>
    <row r="517" ht="40.5" customHeight="1">
      <c r="A517" s="90" t="s">
        <v>560</v>
      </c>
      <c r="B517" s="96" t="s">
        <v>561</v>
      </c>
      <c r="C517" s="96" t="s">
        <v>561</v>
      </c>
      <c r="D517" s="82" t="s">
        <v>579</v>
      </c>
      <c r="E517" s="96">
        <v>2087057.0</v>
      </c>
      <c r="F517" s="96" t="s">
        <v>915</v>
      </c>
      <c r="G517" s="96" t="s">
        <v>561</v>
      </c>
      <c r="H517" s="90" t="s">
        <v>793</v>
      </c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</row>
    <row r="518" ht="40.5" customHeight="1">
      <c r="A518" s="90" t="s">
        <v>560</v>
      </c>
      <c r="B518" s="96" t="s">
        <v>561</v>
      </c>
      <c r="C518" s="96" t="s">
        <v>561</v>
      </c>
      <c r="D518" s="82" t="s">
        <v>580</v>
      </c>
      <c r="E518" s="96">
        <v>2772310.0</v>
      </c>
      <c r="F518" s="96" t="s">
        <v>914</v>
      </c>
      <c r="G518" s="96" t="s">
        <v>561</v>
      </c>
      <c r="H518" s="90" t="s">
        <v>793</v>
      </c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</row>
    <row r="519" ht="40.5" customHeight="1">
      <c r="A519" s="90" t="s">
        <v>560</v>
      </c>
      <c r="B519" s="96" t="s">
        <v>561</v>
      </c>
      <c r="C519" s="96" t="s">
        <v>561</v>
      </c>
      <c r="D519" s="82" t="s">
        <v>580</v>
      </c>
      <c r="E519" s="96">
        <v>2087057.0</v>
      </c>
      <c r="F519" s="96" t="s">
        <v>915</v>
      </c>
      <c r="G519" s="96" t="s">
        <v>561</v>
      </c>
      <c r="H519" s="90" t="s">
        <v>793</v>
      </c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</row>
    <row r="520" ht="40.5" customHeight="1">
      <c r="A520" s="90" t="s">
        <v>560</v>
      </c>
      <c r="B520" s="96" t="s">
        <v>561</v>
      </c>
      <c r="C520" s="96" t="s">
        <v>581</v>
      </c>
      <c r="D520" s="82" t="s">
        <v>582</v>
      </c>
      <c r="E520" s="96">
        <v>2060027.0</v>
      </c>
      <c r="F520" s="96" t="s">
        <v>916</v>
      </c>
      <c r="G520" s="96" t="s">
        <v>581</v>
      </c>
      <c r="H520" s="90" t="s">
        <v>793</v>
      </c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</row>
    <row r="521" ht="40.5" customHeight="1">
      <c r="A521" s="90" t="s">
        <v>560</v>
      </c>
      <c r="B521" s="96" t="s">
        <v>561</v>
      </c>
      <c r="C521" s="96" t="s">
        <v>581</v>
      </c>
      <c r="D521" s="82" t="s">
        <v>583</v>
      </c>
      <c r="E521" s="96">
        <v>2060027.0</v>
      </c>
      <c r="F521" s="96" t="s">
        <v>916</v>
      </c>
      <c r="G521" s="96" t="s">
        <v>581</v>
      </c>
      <c r="H521" s="90" t="s">
        <v>793</v>
      </c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</row>
    <row r="522" ht="40.5" customHeight="1">
      <c r="A522" s="90" t="s">
        <v>560</v>
      </c>
      <c r="B522" s="96" t="s">
        <v>561</v>
      </c>
      <c r="C522" s="96" t="s">
        <v>581</v>
      </c>
      <c r="D522" s="82" t="s">
        <v>584</v>
      </c>
      <c r="E522" s="96">
        <v>2060027.0</v>
      </c>
      <c r="F522" s="96" t="s">
        <v>916</v>
      </c>
      <c r="G522" s="96" t="s">
        <v>581</v>
      </c>
      <c r="H522" s="90" t="s">
        <v>793</v>
      </c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</row>
    <row r="523" ht="40.5" customHeight="1">
      <c r="A523" s="90" t="s">
        <v>560</v>
      </c>
      <c r="B523" s="96" t="s">
        <v>561</v>
      </c>
      <c r="C523" s="96" t="s">
        <v>581</v>
      </c>
      <c r="D523" s="82" t="s">
        <v>585</v>
      </c>
      <c r="E523" s="96">
        <v>2060027.0</v>
      </c>
      <c r="F523" s="96" t="s">
        <v>916</v>
      </c>
      <c r="G523" s="96" t="s">
        <v>581</v>
      </c>
      <c r="H523" s="90" t="s">
        <v>793</v>
      </c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</row>
    <row r="524" ht="40.5" customHeight="1">
      <c r="A524" s="90" t="s">
        <v>560</v>
      </c>
      <c r="B524" s="96" t="s">
        <v>561</v>
      </c>
      <c r="C524" s="96" t="s">
        <v>581</v>
      </c>
      <c r="D524" s="82" t="s">
        <v>581</v>
      </c>
      <c r="E524" s="96">
        <v>2060027.0</v>
      </c>
      <c r="F524" s="96" t="s">
        <v>916</v>
      </c>
      <c r="G524" s="96" t="s">
        <v>581</v>
      </c>
      <c r="H524" s="90" t="s">
        <v>793</v>
      </c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</row>
    <row r="525" ht="40.5" customHeight="1">
      <c r="A525" s="90" t="s">
        <v>560</v>
      </c>
      <c r="B525" s="96" t="s">
        <v>561</v>
      </c>
      <c r="C525" s="96" t="s">
        <v>581</v>
      </c>
      <c r="D525" s="82" t="s">
        <v>586</v>
      </c>
      <c r="E525" s="96">
        <v>2060027.0</v>
      </c>
      <c r="F525" s="96" t="s">
        <v>916</v>
      </c>
      <c r="G525" s="96" t="s">
        <v>581</v>
      </c>
      <c r="H525" s="90" t="s">
        <v>793</v>
      </c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</row>
    <row r="526" ht="40.5" customHeight="1">
      <c r="A526" s="90" t="s">
        <v>587</v>
      </c>
      <c r="B526" s="96" t="s">
        <v>588</v>
      </c>
      <c r="C526" s="96" t="s">
        <v>589</v>
      </c>
      <c r="D526" s="96" t="s">
        <v>590</v>
      </c>
      <c r="E526" s="96">
        <v>2082152.0</v>
      </c>
      <c r="F526" s="82" t="s">
        <v>917</v>
      </c>
      <c r="G526" s="96" t="s">
        <v>588</v>
      </c>
      <c r="H526" s="90" t="s">
        <v>793</v>
      </c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</row>
    <row r="527" ht="40.5" customHeight="1">
      <c r="A527" s="90" t="s">
        <v>587</v>
      </c>
      <c r="B527" s="96" t="s">
        <v>588</v>
      </c>
      <c r="C527" s="96" t="s">
        <v>591</v>
      </c>
      <c r="D527" s="96" t="s">
        <v>592</v>
      </c>
      <c r="E527" s="96">
        <v>2083981.0</v>
      </c>
      <c r="F527" s="96" t="s">
        <v>918</v>
      </c>
      <c r="G527" s="96" t="s">
        <v>592</v>
      </c>
      <c r="H527" s="90" t="s">
        <v>793</v>
      </c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</row>
    <row r="528" ht="40.5" customHeight="1">
      <c r="A528" s="90" t="s">
        <v>587</v>
      </c>
      <c r="B528" s="96" t="s">
        <v>588</v>
      </c>
      <c r="C528" s="96" t="s">
        <v>589</v>
      </c>
      <c r="D528" s="96" t="s">
        <v>594</v>
      </c>
      <c r="E528" s="96">
        <v>2073323.0</v>
      </c>
      <c r="F528" s="96" t="s">
        <v>919</v>
      </c>
      <c r="G528" s="96" t="s">
        <v>594</v>
      </c>
      <c r="H528" s="90" t="s">
        <v>793</v>
      </c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</row>
    <row r="529" ht="40.5" customHeight="1">
      <c r="A529" s="90" t="s">
        <v>587</v>
      </c>
      <c r="B529" s="96" t="s">
        <v>588</v>
      </c>
      <c r="C529" s="96" t="s">
        <v>589</v>
      </c>
      <c r="D529" s="96" t="s">
        <v>594</v>
      </c>
      <c r="E529" s="96">
        <v>2082152.0</v>
      </c>
      <c r="F529" s="82" t="s">
        <v>917</v>
      </c>
      <c r="G529" s="96" t="s">
        <v>588</v>
      </c>
      <c r="H529" s="90" t="s">
        <v>793</v>
      </c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</row>
    <row r="530" ht="40.5" customHeight="1">
      <c r="A530" s="90" t="s">
        <v>587</v>
      </c>
      <c r="B530" s="96" t="s">
        <v>588</v>
      </c>
      <c r="C530" s="96" t="s">
        <v>591</v>
      </c>
      <c r="D530" s="96" t="s">
        <v>595</v>
      </c>
      <c r="E530" s="96">
        <v>2082152.0</v>
      </c>
      <c r="F530" s="82" t="s">
        <v>917</v>
      </c>
      <c r="G530" s="96" t="s">
        <v>588</v>
      </c>
      <c r="H530" s="90" t="s">
        <v>793</v>
      </c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</row>
    <row r="531" ht="40.5" customHeight="1">
      <c r="A531" s="90" t="s">
        <v>587</v>
      </c>
      <c r="B531" s="96" t="s">
        <v>588</v>
      </c>
      <c r="C531" s="96" t="s">
        <v>591</v>
      </c>
      <c r="D531" s="96" t="s">
        <v>588</v>
      </c>
      <c r="E531" s="96">
        <v>2082128.0</v>
      </c>
      <c r="F531" s="96" t="s">
        <v>920</v>
      </c>
      <c r="G531" s="96" t="s">
        <v>588</v>
      </c>
      <c r="H531" s="90" t="s">
        <v>793</v>
      </c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</row>
    <row r="532" ht="40.5" customHeight="1">
      <c r="A532" s="90" t="s">
        <v>587</v>
      </c>
      <c r="B532" s="96" t="s">
        <v>588</v>
      </c>
      <c r="C532" s="96" t="s">
        <v>591</v>
      </c>
      <c r="D532" s="96" t="s">
        <v>588</v>
      </c>
      <c r="E532" s="96">
        <v>2022710.0</v>
      </c>
      <c r="F532" s="96" t="s">
        <v>921</v>
      </c>
      <c r="G532" s="96" t="s">
        <v>588</v>
      </c>
      <c r="H532" s="90" t="s">
        <v>793</v>
      </c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</row>
    <row r="533" ht="40.5" customHeight="1">
      <c r="A533" s="90" t="s">
        <v>587</v>
      </c>
      <c r="B533" s="96" t="s">
        <v>588</v>
      </c>
      <c r="C533" s="96" t="s">
        <v>591</v>
      </c>
      <c r="D533" s="96" t="s">
        <v>588</v>
      </c>
      <c r="E533" s="96">
        <v>2082152.0</v>
      </c>
      <c r="F533" s="82" t="s">
        <v>917</v>
      </c>
      <c r="G533" s="96" t="s">
        <v>588</v>
      </c>
      <c r="H533" s="90" t="s">
        <v>793</v>
      </c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</row>
    <row r="534" ht="40.5" customHeight="1">
      <c r="A534" s="90" t="s">
        <v>587</v>
      </c>
      <c r="B534" s="96" t="s">
        <v>588</v>
      </c>
      <c r="C534" s="96" t="s">
        <v>591</v>
      </c>
      <c r="D534" s="96" t="s">
        <v>598</v>
      </c>
      <c r="E534" s="96">
        <v>2082152.0</v>
      </c>
      <c r="F534" s="82" t="s">
        <v>917</v>
      </c>
      <c r="G534" s="96" t="s">
        <v>588</v>
      </c>
      <c r="H534" s="90" t="s">
        <v>793</v>
      </c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</row>
    <row r="535" ht="40.5" customHeight="1">
      <c r="A535" s="90" t="s">
        <v>587</v>
      </c>
      <c r="B535" s="96" t="s">
        <v>588</v>
      </c>
      <c r="C535" s="96" t="s">
        <v>591</v>
      </c>
      <c r="D535" s="96" t="s">
        <v>600</v>
      </c>
      <c r="E535" s="96">
        <v>2082152.0</v>
      </c>
      <c r="F535" s="82" t="s">
        <v>917</v>
      </c>
      <c r="G535" s="96" t="s">
        <v>588</v>
      </c>
      <c r="H535" s="90" t="s">
        <v>793</v>
      </c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</row>
    <row r="536" ht="40.5" customHeight="1">
      <c r="A536" s="90" t="s">
        <v>587</v>
      </c>
      <c r="B536" s="96" t="s">
        <v>588</v>
      </c>
      <c r="C536" s="96" t="s">
        <v>591</v>
      </c>
      <c r="D536" s="96" t="s">
        <v>601</v>
      </c>
      <c r="E536" s="96">
        <v>7206739.0</v>
      </c>
      <c r="F536" s="96" t="s">
        <v>922</v>
      </c>
      <c r="G536" s="96" t="s">
        <v>601</v>
      </c>
      <c r="H536" s="90" t="s">
        <v>793</v>
      </c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</row>
    <row r="537" ht="40.5" customHeight="1">
      <c r="A537" s="90" t="s">
        <v>587</v>
      </c>
      <c r="B537" s="96" t="s">
        <v>588</v>
      </c>
      <c r="C537" s="96" t="s">
        <v>591</v>
      </c>
      <c r="D537" s="96" t="s">
        <v>601</v>
      </c>
      <c r="E537" s="96">
        <v>2083981.0</v>
      </c>
      <c r="F537" s="96" t="s">
        <v>923</v>
      </c>
      <c r="G537" s="96" t="s">
        <v>625</v>
      </c>
      <c r="H537" s="90" t="s">
        <v>793</v>
      </c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</row>
    <row r="538" ht="40.5" customHeight="1">
      <c r="A538" s="90" t="s">
        <v>587</v>
      </c>
      <c r="B538" s="96" t="s">
        <v>588</v>
      </c>
      <c r="C538" s="96" t="s">
        <v>591</v>
      </c>
      <c r="D538" s="96" t="s">
        <v>603</v>
      </c>
      <c r="E538" s="96">
        <v>2026651.0</v>
      </c>
      <c r="F538" s="96" t="s">
        <v>924</v>
      </c>
      <c r="G538" s="96" t="s">
        <v>603</v>
      </c>
      <c r="H538" s="90" t="s">
        <v>793</v>
      </c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</row>
    <row r="539" ht="40.5" customHeight="1">
      <c r="A539" s="90" t="s">
        <v>587</v>
      </c>
      <c r="B539" s="96" t="s">
        <v>588</v>
      </c>
      <c r="C539" s="96" t="s">
        <v>591</v>
      </c>
      <c r="D539" s="96" t="s">
        <v>603</v>
      </c>
      <c r="E539" s="96">
        <v>2082152.0</v>
      </c>
      <c r="F539" s="82" t="s">
        <v>917</v>
      </c>
      <c r="G539" s="96" t="s">
        <v>588</v>
      </c>
      <c r="H539" s="90" t="s">
        <v>793</v>
      </c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</row>
    <row r="540" ht="40.5" customHeight="1">
      <c r="A540" s="90" t="s">
        <v>587</v>
      </c>
      <c r="B540" s="96" t="s">
        <v>588</v>
      </c>
      <c r="C540" s="96" t="s">
        <v>591</v>
      </c>
      <c r="D540" s="96" t="s">
        <v>604</v>
      </c>
      <c r="E540" s="96">
        <v>6396968.0</v>
      </c>
      <c r="F540" s="96" t="s">
        <v>925</v>
      </c>
      <c r="G540" s="96" t="s">
        <v>604</v>
      </c>
      <c r="H540" s="90" t="s">
        <v>793</v>
      </c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</row>
    <row r="541" ht="40.5" customHeight="1">
      <c r="A541" s="90" t="s">
        <v>587</v>
      </c>
      <c r="B541" s="96" t="s">
        <v>588</v>
      </c>
      <c r="C541" s="96" t="s">
        <v>591</v>
      </c>
      <c r="D541" s="96" t="s">
        <v>604</v>
      </c>
      <c r="E541" s="96">
        <v>2082152.0</v>
      </c>
      <c r="F541" s="82" t="s">
        <v>917</v>
      </c>
      <c r="G541" s="96" t="s">
        <v>588</v>
      </c>
      <c r="H541" s="90" t="s">
        <v>793</v>
      </c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</row>
    <row r="542" ht="40.5" customHeight="1">
      <c r="A542" s="90" t="s">
        <v>587</v>
      </c>
      <c r="B542" s="96" t="s">
        <v>588</v>
      </c>
      <c r="C542" s="96" t="s">
        <v>591</v>
      </c>
      <c r="D542" s="96" t="s">
        <v>606</v>
      </c>
      <c r="E542" s="96">
        <v>2082152.0</v>
      </c>
      <c r="F542" s="82" t="s">
        <v>917</v>
      </c>
      <c r="G542" s="96" t="s">
        <v>588</v>
      </c>
      <c r="H542" s="90" t="s">
        <v>793</v>
      </c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</row>
    <row r="543" ht="40.5" customHeight="1">
      <c r="A543" s="90" t="s">
        <v>587</v>
      </c>
      <c r="B543" s="96" t="s">
        <v>588</v>
      </c>
      <c r="C543" s="96" t="s">
        <v>589</v>
      </c>
      <c r="D543" s="96" t="s">
        <v>608</v>
      </c>
      <c r="E543" s="96">
        <v>2082152.0</v>
      </c>
      <c r="F543" s="82" t="s">
        <v>917</v>
      </c>
      <c r="G543" s="96" t="s">
        <v>588</v>
      </c>
      <c r="H543" s="90" t="s">
        <v>793</v>
      </c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</row>
    <row r="544" ht="40.5" customHeight="1">
      <c r="A544" s="90" t="s">
        <v>587</v>
      </c>
      <c r="B544" s="96" t="s">
        <v>588</v>
      </c>
      <c r="C544" s="96" t="s">
        <v>589</v>
      </c>
      <c r="D544" s="96" t="s">
        <v>609</v>
      </c>
      <c r="E544" s="96">
        <v>2082152.0</v>
      </c>
      <c r="F544" s="82" t="s">
        <v>917</v>
      </c>
      <c r="G544" s="96" t="s">
        <v>588</v>
      </c>
      <c r="H544" s="90" t="s">
        <v>793</v>
      </c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</row>
    <row r="545" ht="40.5" customHeight="1">
      <c r="A545" s="90" t="s">
        <v>587</v>
      </c>
      <c r="B545" s="96" t="s">
        <v>588</v>
      </c>
      <c r="C545" s="96" t="s">
        <v>591</v>
      </c>
      <c r="D545" s="96" t="s">
        <v>611</v>
      </c>
      <c r="E545" s="96">
        <v>2083981.0</v>
      </c>
      <c r="F545" s="96" t="s">
        <v>923</v>
      </c>
      <c r="G545" s="98" t="s">
        <v>625</v>
      </c>
      <c r="H545" s="90" t="s">
        <v>793</v>
      </c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</row>
    <row r="546" ht="40.5" customHeight="1">
      <c r="A546" s="90" t="s">
        <v>587</v>
      </c>
      <c r="B546" s="96" t="s">
        <v>588</v>
      </c>
      <c r="C546" s="96" t="s">
        <v>591</v>
      </c>
      <c r="D546" s="96" t="s">
        <v>613</v>
      </c>
      <c r="E546" s="96">
        <v>6396968.0</v>
      </c>
      <c r="F546" s="96" t="s">
        <v>925</v>
      </c>
      <c r="G546" s="98" t="s">
        <v>604</v>
      </c>
      <c r="H546" s="90" t="s">
        <v>793</v>
      </c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</row>
    <row r="547" ht="40.5" customHeight="1">
      <c r="A547" s="90" t="s">
        <v>587</v>
      </c>
      <c r="B547" s="96" t="s">
        <v>588</v>
      </c>
      <c r="C547" s="96" t="s">
        <v>591</v>
      </c>
      <c r="D547" s="96" t="s">
        <v>613</v>
      </c>
      <c r="E547" s="96">
        <v>2082152.0</v>
      </c>
      <c r="F547" s="82" t="s">
        <v>917</v>
      </c>
      <c r="G547" s="96" t="s">
        <v>588</v>
      </c>
      <c r="H547" s="90" t="s">
        <v>793</v>
      </c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</row>
    <row r="548" ht="40.5" customHeight="1">
      <c r="A548" s="90" t="s">
        <v>587</v>
      </c>
      <c r="B548" s="96" t="s">
        <v>588</v>
      </c>
      <c r="C548" s="96" t="s">
        <v>591</v>
      </c>
      <c r="D548" s="96" t="s">
        <v>614</v>
      </c>
      <c r="E548" s="96">
        <v>2083981.0</v>
      </c>
      <c r="F548" s="96" t="s">
        <v>923</v>
      </c>
      <c r="G548" s="98" t="s">
        <v>625</v>
      </c>
      <c r="H548" s="90" t="s">
        <v>793</v>
      </c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</row>
    <row r="549" ht="40.5" customHeight="1">
      <c r="A549" s="90" t="s">
        <v>587</v>
      </c>
      <c r="B549" s="96" t="s">
        <v>588</v>
      </c>
      <c r="C549" s="96" t="s">
        <v>591</v>
      </c>
      <c r="D549" s="96" t="s">
        <v>616</v>
      </c>
      <c r="E549" s="96">
        <v>2082152.0</v>
      </c>
      <c r="F549" s="82" t="s">
        <v>917</v>
      </c>
      <c r="G549" s="99" t="s">
        <v>588</v>
      </c>
      <c r="H549" s="90" t="s">
        <v>793</v>
      </c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</row>
    <row r="550" ht="40.5" customHeight="1">
      <c r="A550" s="90" t="s">
        <v>587</v>
      </c>
      <c r="B550" s="96" t="s">
        <v>588</v>
      </c>
      <c r="C550" s="96" t="s">
        <v>591</v>
      </c>
      <c r="D550" s="96" t="s">
        <v>618</v>
      </c>
      <c r="E550" s="96">
        <v>2082152.0</v>
      </c>
      <c r="F550" s="82" t="s">
        <v>917</v>
      </c>
      <c r="G550" s="99" t="s">
        <v>588</v>
      </c>
      <c r="H550" s="90" t="s">
        <v>793</v>
      </c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</row>
    <row r="551" ht="40.5" customHeight="1">
      <c r="A551" s="90" t="s">
        <v>587</v>
      </c>
      <c r="B551" s="96" t="s">
        <v>588</v>
      </c>
      <c r="C551" s="96" t="s">
        <v>591</v>
      </c>
      <c r="D551" s="96" t="s">
        <v>620</v>
      </c>
      <c r="E551" s="100">
        <v>7242247.0</v>
      </c>
      <c r="F551" s="100" t="s">
        <v>926</v>
      </c>
      <c r="G551" s="99" t="s">
        <v>927</v>
      </c>
      <c r="H551" s="90" t="s">
        <v>793</v>
      </c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</row>
    <row r="552" ht="40.5" customHeight="1">
      <c r="A552" s="90" t="s">
        <v>587</v>
      </c>
      <c r="B552" s="96" t="s">
        <v>588</v>
      </c>
      <c r="C552" s="96" t="s">
        <v>591</v>
      </c>
      <c r="D552" s="96" t="s">
        <v>620</v>
      </c>
      <c r="E552" s="101">
        <v>2083981.0</v>
      </c>
      <c r="F552" s="101" t="s">
        <v>923</v>
      </c>
      <c r="G552" s="96" t="s">
        <v>625</v>
      </c>
      <c r="H552" s="90" t="s">
        <v>793</v>
      </c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</row>
    <row r="553" ht="40.5" customHeight="1">
      <c r="A553" s="90" t="s">
        <v>587</v>
      </c>
      <c r="B553" s="96" t="s">
        <v>588</v>
      </c>
      <c r="C553" s="96" t="s">
        <v>591</v>
      </c>
      <c r="D553" s="96" t="s">
        <v>622</v>
      </c>
      <c r="E553" s="96">
        <v>2082152.0</v>
      </c>
      <c r="F553" s="82" t="s">
        <v>917</v>
      </c>
      <c r="G553" s="96" t="s">
        <v>588</v>
      </c>
      <c r="H553" s="90" t="s">
        <v>793</v>
      </c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</row>
    <row r="554" ht="40.5" customHeight="1">
      <c r="A554" s="90" t="s">
        <v>587</v>
      </c>
      <c r="B554" s="96" t="s">
        <v>588</v>
      </c>
      <c r="C554" s="96" t="s">
        <v>589</v>
      </c>
      <c r="D554" s="96" t="s">
        <v>624</v>
      </c>
      <c r="E554" s="102"/>
      <c r="F554" s="102"/>
      <c r="G554" s="96" t="s">
        <v>624</v>
      </c>
      <c r="H554" s="90" t="s">
        <v>793</v>
      </c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</row>
    <row r="555" ht="40.5" customHeight="1">
      <c r="A555" s="90" t="s">
        <v>587</v>
      </c>
      <c r="B555" s="96" t="s">
        <v>588</v>
      </c>
      <c r="C555" s="96" t="s">
        <v>591</v>
      </c>
      <c r="D555" s="96" t="s">
        <v>625</v>
      </c>
      <c r="E555" s="96">
        <v>9609652.0</v>
      </c>
      <c r="F555" s="96" t="s">
        <v>928</v>
      </c>
      <c r="G555" s="96" t="s">
        <v>625</v>
      </c>
      <c r="H555" s="90" t="s">
        <v>793</v>
      </c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</row>
    <row r="556" ht="40.5" customHeight="1">
      <c r="A556" s="90" t="s">
        <v>587</v>
      </c>
      <c r="B556" s="96" t="s">
        <v>588</v>
      </c>
      <c r="C556" s="96" t="s">
        <v>591</v>
      </c>
      <c r="D556" s="96" t="s">
        <v>625</v>
      </c>
      <c r="E556" s="96">
        <v>2083981.0</v>
      </c>
      <c r="F556" s="96" t="s">
        <v>923</v>
      </c>
      <c r="G556" s="96" t="s">
        <v>625</v>
      </c>
      <c r="H556" s="90" t="s">
        <v>793</v>
      </c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</row>
    <row r="557" ht="40.5" customHeight="1">
      <c r="A557" s="90" t="s">
        <v>587</v>
      </c>
      <c r="B557" s="96" t="s">
        <v>588</v>
      </c>
      <c r="C557" s="96" t="s">
        <v>591</v>
      </c>
      <c r="D557" s="96" t="s">
        <v>627</v>
      </c>
      <c r="E557" s="96">
        <v>9022309.0</v>
      </c>
      <c r="F557" s="96" t="s">
        <v>929</v>
      </c>
      <c r="G557" s="96" t="s">
        <v>627</v>
      </c>
      <c r="H557" s="90" t="s">
        <v>793</v>
      </c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</row>
    <row r="558" ht="40.5" customHeight="1">
      <c r="A558" s="90" t="s">
        <v>587</v>
      </c>
      <c r="B558" s="96" t="s">
        <v>588</v>
      </c>
      <c r="C558" s="96" t="s">
        <v>591</v>
      </c>
      <c r="D558" s="96" t="s">
        <v>627</v>
      </c>
      <c r="E558" s="96">
        <v>2082152.0</v>
      </c>
      <c r="F558" s="82" t="s">
        <v>917</v>
      </c>
      <c r="G558" s="96" t="s">
        <v>588</v>
      </c>
      <c r="H558" s="90" t="s">
        <v>793</v>
      </c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</row>
    <row r="559" ht="40.5" customHeight="1">
      <c r="A559" s="90" t="s">
        <v>587</v>
      </c>
      <c r="B559" s="96" t="s">
        <v>588</v>
      </c>
      <c r="C559" s="96" t="s">
        <v>591</v>
      </c>
      <c r="D559" s="96" t="s">
        <v>629</v>
      </c>
      <c r="E559" s="96">
        <v>6886582.0</v>
      </c>
      <c r="F559" s="96" t="s">
        <v>930</v>
      </c>
      <c r="G559" s="96" t="s">
        <v>629</v>
      </c>
      <c r="H559" s="90" t="s">
        <v>793</v>
      </c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</row>
    <row r="560" ht="40.5" customHeight="1">
      <c r="A560" s="90" t="s">
        <v>587</v>
      </c>
      <c r="B560" s="96" t="s">
        <v>588</v>
      </c>
      <c r="C560" s="96" t="s">
        <v>591</v>
      </c>
      <c r="D560" s="96" t="s">
        <v>629</v>
      </c>
      <c r="E560" s="82">
        <v>2082152.0</v>
      </c>
      <c r="F560" s="82" t="s">
        <v>917</v>
      </c>
      <c r="G560" s="96" t="s">
        <v>588</v>
      </c>
      <c r="H560" s="90" t="s">
        <v>793</v>
      </c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</row>
    <row r="561" ht="40.5" customHeight="1">
      <c r="A561" s="90" t="s">
        <v>587</v>
      </c>
      <c r="B561" s="82" t="s">
        <v>630</v>
      </c>
      <c r="C561" s="82" t="s">
        <v>631</v>
      </c>
      <c r="D561" s="82" t="s">
        <v>632</v>
      </c>
      <c r="E561" s="82">
        <v>2749025.0</v>
      </c>
      <c r="F561" s="82" t="s">
        <v>931</v>
      </c>
      <c r="G561" s="82" t="s">
        <v>632</v>
      </c>
      <c r="H561" s="90" t="s">
        <v>793</v>
      </c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</row>
    <row r="562" ht="40.5" customHeight="1">
      <c r="A562" s="90" t="s">
        <v>587</v>
      </c>
      <c r="B562" s="82" t="s">
        <v>630</v>
      </c>
      <c r="C562" s="82" t="s">
        <v>631</v>
      </c>
      <c r="D562" s="82" t="s">
        <v>632</v>
      </c>
      <c r="E562" s="82">
        <v>2082152.0</v>
      </c>
      <c r="F562" s="82" t="s">
        <v>917</v>
      </c>
      <c r="G562" s="82" t="s">
        <v>588</v>
      </c>
      <c r="H562" s="90" t="s">
        <v>793</v>
      </c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</row>
    <row r="563" ht="40.5" customHeight="1">
      <c r="A563" s="90" t="s">
        <v>587</v>
      </c>
      <c r="B563" s="82" t="s">
        <v>630</v>
      </c>
      <c r="C563" s="82" t="s">
        <v>631</v>
      </c>
      <c r="D563" s="82" t="s">
        <v>633</v>
      </c>
      <c r="E563" s="82">
        <v>2082152.0</v>
      </c>
      <c r="F563" s="82" t="s">
        <v>917</v>
      </c>
      <c r="G563" s="82" t="s">
        <v>588</v>
      </c>
      <c r="H563" s="90" t="s">
        <v>793</v>
      </c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</row>
    <row r="564" ht="40.5" customHeight="1">
      <c r="A564" s="90" t="s">
        <v>587</v>
      </c>
      <c r="B564" s="82" t="s">
        <v>630</v>
      </c>
      <c r="C564" s="82" t="s">
        <v>634</v>
      </c>
      <c r="D564" s="82" t="s">
        <v>635</v>
      </c>
      <c r="E564" s="82">
        <v>2082152.0</v>
      </c>
      <c r="F564" s="82" t="s">
        <v>917</v>
      </c>
      <c r="G564" s="82" t="s">
        <v>588</v>
      </c>
      <c r="H564" s="90" t="s">
        <v>793</v>
      </c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</row>
    <row r="565" ht="40.5" customHeight="1">
      <c r="A565" s="90" t="s">
        <v>587</v>
      </c>
      <c r="B565" s="82" t="s">
        <v>630</v>
      </c>
      <c r="C565" s="82" t="s">
        <v>634</v>
      </c>
      <c r="D565" s="82" t="s">
        <v>637</v>
      </c>
      <c r="E565" s="82">
        <v>9464093.0</v>
      </c>
      <c r="F565" s="82" t="s">
        <v>932</v>
      </c>
      <c r="G565" s="82" t="s">
        <v>637</v>
      </c>
      <c r="H565" s="90" t="s">
        <v>793</v>
      </c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</row>
    <row r="566" ht="40.5" customHeight="1">
      <c r="A566" s="90" t="s">
        <v>587</v>
      </c>
      <c r="B566" s="82" t="s">
        <v>630</v>
      </c>
      <c r="C566" s="82" t="s">
        <v>634</v>
      </c>
      <c r="D566" s="82" t="s">
        <v>637</v>
      </c>
      <c r="E566" s="82">
        <v>2082152.0</v>
      </c>
      <c r="F566" s="82" t="s">
        <v>917</v>
      </c>
      <c r="G566" s="82" t="s">
        <v>588</v>
      </c>
      <c r="H566" s="90" t="s">
        <v>793</v>
      </c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</row>
    <row r="567" ht="40.5" customHeight="1">
      <c r="A567" s="90" t="s">
        <v>587</v>
      </c>
      <c r="B567" s="82" t="s">
        <v>630</v>
      </c>
      <c r="C567" s="82" t="s">
        <v>634</v>
      </c>
      <c r="D567" s="82" t="s">
        <v>638</v>
      </c>
      <c r="E567" s="82">
        <v>2082152.0</v>
      </c>
      <c r="F567" s="82" t="s">
        <v>917</v>
      </c>
      <c r="G567" s="82" t="s">
        <v>588</v>
      </c>
      <c r="H567" s="90" t="s">
        <v>793</v>
      </c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</row>
    <row r="568" ht="40.5" customHeight="1">
      <c r="A568" s="90" t="s">
        <v>587</v>
      </c>
      <c r="B568" s="82" t="s">
        <v>630</v>
      </c>
      <c r="C568" s="82" t="s">
        <v>631</v>
      </c>
      <c r="D568" s="82" t="s">
        <v>639</v>
      </c>
      <c r="E568" s="82">
        <v>2096358.0</v>
      </c>
      <c r="F568" s="82" t="s">
        <v>933</v>
      </c>
      <c r="G568" s="82" t="s">
        <v>639</v>
      </c>
      <c r="H568" s="90" t="s">
        <v>793</v>
      </c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</row>
    <row r="569" ht="40.5" customHeight="1">
      <c r="A569" s="90" t="s">
        <v>587</v>
      </c>
      <c r="B569" s="82" t="s">
        <v>630</v>
      </c>
      <c r="C569" s="82" t="s">
        <v>631</v>
      </c>
      <c r="D569" s="82" t="s">
        <v>639</v>
      </c>
      <c r="E569" s="82">
        <v>2082152.0</v>
      </c>
      <c r="F569" s="82" t="s">
        <v>917</v>
      </c>
      <c r="G569" s="82" t="s">
        <v>588</v>
      </c>
      <c r="H569" s="90" t="s">
        <v>793</v>
      </c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</row>
    <row r="570" ht="40.5" customHeight="1">
      <c r="A570" s="90" t="s">
        <v>587</v>
      </c>
      <c r="B570" s="82" t="s">
        <v>630</v>
      </c>
      <c r="C570" s="82" t="s">
        <v>640</v>
      </c>
      <c r="D570" s="82" t="s">
        <v>641</v>
      </c>
      <c r="E570" s="82">
        <v>2820447.0</v>
      </c>
      <c r="F570" s="82" t="s">
        <v>934</v>
      </c>
      <c r="G570" s="82" t="s">
        <v>645</v>
      </c>
      <c r="H570" s="90" t="s">
        <v>793</v>
      </c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</row>
    <row r="571" ht="40.5" customHeight="1">
      <c r="A571" s="90" t="s">
        <v>587</v>
      </c>
      <c r="B571" s="82" t="s">
        <v>630</v>
      </c>
      <c r="C571" s="82" t="s">
        <v>640</v>
      </c>
      <c r="D571" s="82" t="s">
        <v>641</v>
      </c>
      <c r="E571" s="82">
        <v>2082152.0</v>
      </c>
      <c r="F571" s="82" t="s">
        <v>917</v>
      </c>
      <c r="G571" s="82" t="s">
        <v>588</v>
      </c>
      <c r="H571" s="90" t="s">
        <v>793</v>
      </c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</row>
    <row r="572" ht="40.5" customHeight="1">
      <c r="A572" s="90" t="s">
        <v>587</v>
      </c>
      <c r="B572" s="82" t="s">
        <v>630</v>
      </c>
      <c r="C572" s="82" t="s">
        <v>640</v>
      </c>
      <c r="D572" s="82" t="s">
        <v>642</v>
      </c>
      <c r="E572" s="82">
        <v>2081091.0</v>
      </c>
      <c r="F572" s="82" t="s">
        <v>935</v>
      </c>
      <c r="G572" s="82" t="s">
        <v>642</v>
      </c>
      <c r="H572" s="90" t="s">
        <v>793</v>
      </c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</row>
    <row r="573" ht="40.5" customHeight="1">
      <c r="A573" s="90" t="s">
        <v>587</v>
      </c>
      <c r="B573" s="82" t="s">
        <v>630</v>
      </c>
      <c r="C573" s="82" t="s">
        <v>640</v>
      </c>
      <c r="D573" s="82" t="s">
        <v>642</v>
      </c>
      <c r="E573" s="82">
        <v>2082152.0</v>
      </c>
      <c r="F573" s="82" t="s">
        <v>917</v>
      </c>
      <c r="G573" s="82" t="s">
        <v>588</v>
      </c>
      <c r="H573" s="90" t="s">
        <v>793</v>
      </c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</row>
    <row r="574" ht="40.5" customHeight="1">
      <c r="A574" s="90" t="s">
        <v>587</v>
      </c>
      <c r="B574" s="82" t="s">
        <v>630</v>
      </c>
      <c r="C574" s="82" t="s">
        <v>634</v>
      </c>
      <c r="D574" s="82" t="s">
        <v>643</v>
      </c>
      <c r="E574" s="82">
        <v>2082152.0</v>
      </c>
      <c r="F574" s="82" t="s">
        <v>917</v>
      </c>
      <c r="G574" s="82" t="s">
        <v>588</v>
      </c>
      <c r="H574" s="90" t="s">
        <v>793</v>
      </c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</row>
    <row r="575" ht="40.5" customHeight="1">
      <c r="A575" s="90" t="s">
        <v>587</v>
      </c>
      <c r="B575" s="82" t="s">
        <v>630</v>
      </c>
      <c r="C575" s="82" t="s">
        <v>634</v>
      </c>
      <c r="D575" s="82" t="s">
        <v>644</v>
      </c>
      <c r="E575" s="82">
        <v>6993850.0</v>
      </c>
      <c r="F575" s="82" t="s">
        <v>936</v>
      </c>
      <c r="G575" s="82" t="s">
        <v>644</v>
      </c>
      <c r="H575" s="90" t="s">
        <v>793</v>
      </c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</row>
    <row r="576" ht="40.5" customHeight="1">
      <c r="A576" s="90" t="s">
        <v>587</v>
      </c>
      <c r="B576" s="82" t="s">
        <v>630</v>
      </c>
      <c r="C576" s="82" t="s">
        <v>634</v>
      </c>
      <c r="D576" s="82" t="s">
        <v>644</v>
      </c>
      <c r="E576" s="82">
        <v>2082152.0</v>
      </c>
      <c r="F576" s="82" t="s">
        <v>917</v>
      </c>
      <c r="G576" s="82" t="s">
        <v>588</v>
      </c>
      <c r="H576" s="90" t="s">
        <v>793</v>
      </c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</row>
    <row r="577" ht="40.5" customHeight="1">
      <c r="A577" s="90" t="s">
        <v>587</v>
      </c>
      <c r="B577" s="82" t="s">
        <v>630</v>
      </c>
      <c r="C577" s="82" t="s">
        <v>640</v>
      </c>
      <c r="D577" s="82" t="s">
        <v>645</v>
      </c>
      <c r="E577" s="82">
        <v>2820447.0</v>
      </c>
      <c r="F577" s="82" t="s">
        <v>934</v>
      </c>
      <c r="G577" s="82" t="s">
        <v>645</v>
      </c>
      <c r="H577" s="90" t="s">
        <v>793</v>
      </c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</row>
    <row r="578" ht="40.5" customHeight="1">
      <c r="A578" s="90" t="s">
        <v>587</v>
      </c>
      <c r="B578" s="82" t="s">
        <v>630</v>
      </c>
      <c r="C578" s="82" t="s">
        <v>640</v>
      </c>
      <c r="D578" s="82" t="s">
        <v>645</v>
      </c>
      <c r="E578" s="82">
        <v>2082152.0</v>
      </c>
      <c r="F578" s="82" t="s">
        <v>917</v>
      </c>
      <c r="G578" s="82" t="s">
        <v>588</v>
      </c>
      <c r="H578" s="90" t="s">
        <v>793</v>
      </c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</row>
    <row r="579" ht="40.5" customHeight="1">
      <c r="A579" s="90" t="s">
        <v>587</v>
      </c>
      <c r="B579" s="82" t="s">
        <v>630</v>
      </c>
      <c r="C579" s="82" t="s">
        <v>640</v>
      </c>
      <c r="D579" s="82" t="s">
        <v>646</v>
      </c>
      <c r="E579" s="82">
        <v>2025167.0</v>
      </c>
      <c r="F579" s="82" t="s">
        <v>937</v>
      </c>
      <c r="G579" s="82" t="s">
        <v>646</v>
      </c>
      <c r="H579" s="90" t="s">
        <v>793</v>
      </c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</row>
    <row r="580" ht="40.5" customHeight="1">
      <c r="A580" s="90" t="s">
        <v>587</v>
      </c>
      <c r="B580" s="82" t="s">
        <v>630</v>
      </c>
      <c r="C580" s="82" t="s">
        <v>640</v>
      </c>
      <c r="D580" s="82" t="s">
        <v>646</v>
      </c>
      <c r="E580" s="82">
        <v>2082152.0</v>
      </c>
      <c r="F580" s="82" t="s">
        <v>917</v>
      </c>
      <c r="G580" s="82" t="s">
        <v>588</v>
      </c>
      <c r="H580" s="90" t="s">
        <v>793</v>
      </c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</row>
    <row r="581" ht="40.5" customHeight="1">
      <c r="A581" s="90" t="s">
        <v>587</v>
      </c>
      <c r="B581" s="82" t="s">
        <v>630</v>
      </c>
      <c r="C581" s="82" t="s">
        <v>631</v>
      </c>
      <c r="D581" s="82" t="s">
        <v>647</v>
      </c>
      <c r="E581" s="82">
        <v>2082152.0</v>
      </c>
      <c r="F581" s="82" t="s">
        <v>917</v>
      </c>
      <c r="G581" s="82" t="s">
        <v>588</v>
      </c>
      <c r="H581" s="90" t="s">
        <v>793</v>
      </c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</row>
    <row r="582" ht="40.5" customHeight="1">
      <c r="A582" s="90" t="s">
        <v>587</v>
      </c>
      <c r="B582" s="82" t="s">
        <v>630</v>
      </c>
      <c r="C582" s="82" t="s">
        <v>631</v>
      </c>
      <c r="D582" s="82" t="s">
        <v>648</v>
      </c>
      <c r="E582" s="82">
        <v>2082152.0</v>
      </c>
      <c r="F582" s="82" t="s">
        <v>917</v>
      </c>
      <c r="G582" s="82" t="s">
        <v>588</v>
      </c>
      <c r="H582" s="90" t="s">
        <v>793</v>
      </c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</row>
    <row r="583" ht="40.5" customHeight="1">
      <c r="A583" s="90" t="s">
        <v>587</v>
      </c>
      <c r="B583" s="82" t="s">
        <v>630</v>
      </c>
      <c r="C583" s="82" t="s">
        <v>631</v>
      </c>
      <c r="D583" s="82" t="s">
        <v>630</v>
      </c>
      <c r="E583" s="82">
        <v>9064818.0</v>
      </c>
      <c r="F583" s="82" t="s">
        <v>938</v>
      </c>
      <c r="G583" s="82" t="s">
        <v>630</v>
      </c>
      <c r="H583" s="90" t="s">
        <v>793</v>
      </c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</row>
    <row r="584" ht="40.5" customHeight="1">
      <c r="A584" s="90" t="s">
        <v>587</v>
      </c>
      <c r="B584" s="82" t="s">
        <v>630</v>
      </c>
      <c r="C584" s="82" t="s">
        <v>631</v>
      </c>
      <c r="D584" s="82" t="s">
        <v>630</v>
      </c>
      <c r="E584" s="82">
        <v>2082152.0</v>
      </c>
      <c r="F584" s="82" t="s">
        <v>917</v>
      </c>
      <c r="G584" s="82" t="s">
        <v>588</v>
      </c>
      <c r="H584" s="90" t="s">
        <v>793</v>
      </c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</row>
    <row r="585" ht="40.5" customHeight="1">
      <c r="A585" s="90" t="s">
        <v>587</v>
      </c>
      <c r="B585" s="82" t="s">
        <v>630</v>
      </c>
      <c r="C585" s="82" t="s">
        <v>634</v>
      </c>
      <c r="D585" s="82" t="s">
        <v>649</v>
      </c>
      <c r="E585" s="82">
        <v>2058464.0</v>
      </c>
      <c r="F585" s="82" t="s">
        <v>926</v>
      </c>
      <c r="G585" s="82" t="s">
        <v>649</v>
      </c>
      <c r="H585" s="90" t="s">
        <v>793</v>
      </c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</row>
    <row r="586" ht="40.5" customHeight="1">
      <c r="A586" s="90" t="s">
        <v>587</v>
      </c>
      <c r="B586" s="82" t="s">
        <v>630</v>
      </c>
      <c r="C586" s="82" t="s">
        <v>634</v>
      </c>
      <c r="D586" s="82" t="s">
        <v>649</v>
      </c>
      <c r="E586" s="82">
        <v>2082152.0</v>
      </c>
      <c r="F586" s="82" t="s">
        <v>917</v>
      </c>
      <c r="G586" s="82" t="s">
        <v>588</v>
      </c>
      <c r="H586" s="90" t="s">
        <v>793</v>
      </c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</row>
    <row r="587" ht="40.5" customHeight="1">
      <c r="A587" s="90" t="s">
        <v>587</v>
      </c>
      <c r="B587" s="82" t="s">
        <v>630</v>
      </c>
      <c r="C587" s="82" t="s">
        <v>634</v>
      </c>
      <c r="D587" s="82" t="s">
        <v>650</v>
      </c>
      <c r="E587" s="82">
        <v>2082152.0</v>
      </c>
      <c r="F587" s="82" t="s">
        <v>917</v>
      </c>
      <c r="G587" s="82" t="s">
        <v>588</v>
      </c>
      <c r="H587" s="90" t="s">
        <v>793</v>
      </c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</row>
    <row r="588" ht="40.5" customHeight="1">
      <c r="A588" s="90" t="s">
        <v>587</v>
      </c>
      <c r="B588" s="82" t="s">
        <v>630</v>
      </c>
      <c r="C588" s="82" t="s">
        <v>631</v>
      </c>
      <c r="D588" s="82" t="s">
        <v>651</v>
      </c>
      <c r="E588" s="82">
        <v>7080409.0</v>
      </c>
      <c r="F588" s="82" t="s">
        <v>939</v>
      </c>
      <c r="G588" s="82" t="s">
        <v>651</v>
      </c>
      <c r="H588" s="90" t="s">
        <v>793</v>
      </c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</row>
    <row r="589" ht="40.5" customHeight="1">
      <c r="A589" s="90" t="s">
        <v>587</v>
      </c>
      <c r="B589" s="82" t="s">
        <v>630</v>
      </c>
      <c r="C589" s="82" t="s">
        <v>631</v>
      </c>
      <c r="D589" s="82" t="s">
        <v>651</v>
      </c>
      <c r="E589" s="82">
        <v>2082152.0</v>
      </c>
      <c r="F589" s="82" t="s">
        <v>917</v>
      </c>
      <c r="G589" s="82" t="s">
        <v>588</v>
      </c>
      <c r="H589" s="90" t="s">
        <v>793</v>
      </c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</row>
    <row r="590" ht="40.5" customHeight="1">
      <c r="A590" s="90" t="s">
        <v>587</v>
      </c>
      <c r="B590" s="82" t="s">
        <v>630</v>
      </c>
      <c r="C590" s="82" t="s">
        <v>634</v>
      </c>
      <c r="D590" s="82" t="s">
        <v>652</v>
      </c>
      <c r="E590" s="82">
        <v>2082152.0</v>
      </c>
      <c r="F590" s="82" t="s">
        <v>917</v>
      </c>
      <c r="G590" s="82" t="s">
        <v>588</v>
      </c>
      <c r="H590" s="90" t="s">
        <v>793</v>
      </c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</row>
    <row r="591" ht="40.5" customHeight="1">
      <c r="A591" s="90" t="s">
        <v>587</v>
      </c>
      <c r="B591" s="82" t="s">
        <v>630</v>
      </c>
      <c r="C591" s="82" t="s">
        <v>631</v>
      </c>
      <c r="D591" s="82" t="s">
        <v>653</v>
      </c>
      <c r="E591" s="82">
        <v>7212739.0</v>
      </c>
      <c r="F591" s="82" t="s">
        <v>940</v>
      </c>
      <c r="G591" s="82" t="s">
        <v>653</v>
      </c>
      <c r="H591" s="90" t="s">
        <v>793</v>
      </c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</row>
    <row r="592" ht="40.5" customHeight="1">
      <c r="A592" s="90" t="s">
        <v>587</v>
      </c>
      <c r="B592" s="82" t="s">
        <v>630</v>
      </c>
      <c r="C592" s="82" t="s">
        <v>631</v>
      </c>
      <c r="D592" s="82" t="s">
        <v>653</v>
      </c>
      <c r="E592" s="82">
        <v>2082152.0</v>
      </c>
      <c r="F592" s="82" t="s">
        <v>917</v>
      </c>
      <c r="G592" s="82" t="s">
        <v>588</v>
      </c>
      <c r="H592" s="90" t="s">
        <v>793</v>
      </c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</row>
    <row r="593" ht="40.5" customHeight="1">
      <c r="A593" s="90" t="s">
        <v>654</v>
      </c>
      <c r="B593" s="96" t="s">
        <v>588</v>
      </c>
      <c r="C593" s="96" t="s">
        <v>655</v>
      </c>
      <c r="D593" s="96" t="s">
        <v>656</v>
      </c>
      <c r="E593" s="96">
        <v>6607119.0</v>
      </c>
      <c r="F593" s="96" t="s">
        <v>941</v>
      </c>
      <c r="G593" s="96" t="s">
        <v>656</v>
      </c>
      <c r="H593" s="90" t="s">
        <v>793</v>
      </c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</row>
    <row r="594" ht="40.5" customHeight="1">
      <c r="A594" s="90" t="s">
        <v>654</v>
      </c>
      <c r="B594" s="96" t="s">
        <v>588</v>
      </c>
      <c r="C594" s="96" t="s">
        <v>655</v>
      </c>
      <c r="D594" s="96" t="s">
        <v>656</v>
      </c>
      <c r="E594" s="96">
        <v>2704900.0</v>
      </c>
      <c r="F594" s="96" t="s">
        <v>942</v>
      </c>
      <c r="G594" s="96" t="s">
        <v>658</v>
      </c>
      <c r="H594" s="90" t="s">
        <v>793</v>
      </c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</row>
    <row r="595" ht="40.5" customHeight="1">
      <c r="A595" s="90" t="s">
        <v>654</v>
      </c>
      <c r="B595" s="96" t="s">
        <v>588</v>
      </c>
      <c r="C595" s="96" t="s">
        <v>655</v>
      </c>
      <c r="D595" s="96" t="s">
        <v>657</v>
      </c>
      <c r="E595" s="96">
        <v>6607119.0</v>
      </c>
      <c r="F595" s="96" t="s">
        <v>941</v>
      </c>
      <c r="G595" s="96" t="s">
        <v>656</v>
      </c>
      <c r="H595" s="90" t="s">
        <v>793</v>
      </c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</row>
    <row r="596" ht="40.5" customHeight="1">
      <c r="A596" s="90" t="s">
        <v>654</v>
      </c>
      <c r="B596" s="96" t="s">
        <v>588</v>
      </c>
      <c r="C596" s="96" t="s">
        <v>655</v>
      </c>
      <c r="D596" s="96" t="s">
        <v>657</v>
      </c>
      <c r="E596" s="96">
        <v>2704900.0</v>
      </c>
      <c r="F596" s="96" t="s">
        <v>942</v>
      </c>
      <c r="G596" s="96" t="s">
        <v>658</v>
      </c>
      <c r="H596" s="90" t="s">
        <v>793</v>
      </c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</row>
    <row r="597" ht="40.5" customHeight="1">
      <c r="A597" s="90" t="s">
        <v>654</v>
      </c>
      <c r="B597" s="96" t="s">
        <v>588</v>
      </c>
      <c r="C597" s="96" t="s">
        <v>655</v>
      </c>
      <c r="D597" s="96" t="s">
        <v>658</v>
      </c>
      <c r="E597" s="96">
        <v>6607119.0</v>
      </c>
      <c r="F597" s="96" t="s">
        <v>941</v>
      </c>
      <c r="G597" s="96" t="s">
        <v>656</v>
      </c>
      <c r="H597" s="90" t="s">
        <v>793</v>
      </c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</row>
    <row r="598" ht="40.5" customHeight="1">
      <c r="A598" s="90" t="s">
        <v>654</v>
      </c>
      <c r="B598" s="96" t="s">
        <v>588</v>
      </c>
      <c r="C598" s="96" t="s">
        <v>655</v>
      </c>
      <c r="D598" s="96" t="s">
        <v>658</v>
      </c>
      <c r="E598" s="96">
        <v>2704900.0</v>
      </c>
      <c r="F598" s="96" t="s">
        <v>942</v>
      </c>
      <c r="G598" s="96" t="s">
        <v>658</v>
      </c>
      <c r="H598" s="90" t="s">
        <v>793</v>
      </c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</row>
    <row r="599" ht="40.5" customHeight="1">
      <c r="A599" s="90" t="s">
        <v>654</v>
      </c>
      <c r="B599" s="96" t="s">
        <v>588</v>
      </c>
      <c r="C599" s="96" t="s">
        <v>655</v>
      </c>
      <c r="D599" s="96" t="s">
        <v>659</v>
      </c>
      <c r="E599" s="96">
        <v>6607119.0</v>
      </c>
      <c r="F599" s="96" t="s">
        <v>941</v>
      </c>
      <c r="G599" s="96" t="s">
        <v>656</v>
      </c>
      <c r="H599" s="90" t="s">
        <v>793</v>
      </c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</row>
    <row r="600" ht="40.5" customHeight="1">
      <c r="A600" s="90" t="s">
        <v>654</v>
      </c>
      <c r="B600" s="96" t="s">
        <v>588</v>
      </c>
      <c r="C600" s="96" t="s">
        <v>655</v>
      </c>
      <c r="D600" s="96" t="s">
        <v>659</v>
      </c>
      <c r="E600" s="96">
        <v>2704900.0</v>
      </c>
      <c r="F600" s="96" t="s">
        <v>942</v>
      </c>
      <c r="G600" s="96" t="s">
        <v>658</v>
      </c>
      <c r="H600" s="90" t="s">
        <v>793</v>
      </c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</row>
    <row r="601" ht="40.5" customHeight="1">
      <c r="A601" s="90" t="s">
        <v>654</v>
      </c>
      <c r="B601" s="96" t="s">
        <v>588</v>
      </c>
      <c r="C601" s="96" t="s">
        <v>655</v>
      </c>
      <c r="D601" s="96" t="s">
        <v>660</v>
      </c>
      <c r="E601" s="96">
        <v>6607119.0</v>
      </c>
      <c r="F601" s="96" t="s">
        <v>941</v>
      </c>
      <c r="G601" s="96" t="s">
        <v>656</v>
      </c>
      <c r="H601" s="90" t="s">
        <v>793</v>
      </c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</row>
    <row r="602" ht="40.5" customHeight="1">
      <c r="A602" s="90" t="s">
        <v>654</v>
      </c>
      <c r="B602" s="96" t="s">
        <v>588</v>
      </c>
      <c r="C602" s="96" t="s">
        <v>655</v>
      </c>
      <c r="D602" s="96" t="s">
        <v>660</v>
      </c>
      <c r="E602" s="96">
        <v>2704900.0</v>
      </c>
      <c r="F602" s="96" t="s">
        <v>942</v>
      </c>
      <c r="G602" s="96" t="s">
        <v>658</v>
      </c>
      <c r="H602" s="90" t="s">
        <v>793</v>
      </c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</row>
    <row r="603" ht="40.5" customHeight="1">
      <c r="A603" s="90" t="s">
        <v>654</v>
      </c>
      <c r="B603" s="96" t="s">
        <v>588</v>
      </c>
      <c r="C603" s="96" t="s">
        <v>655</v>
      </c>
      <c r="D603" s="96" t="s">
        <v>661</v>
      </c>
      <c r="E603" s="96">
        <v>6607119.0</v>
      </c>
      <c r="F603" s="96" t="s">
        <v>941</v>
      </c>
      <c r="G603" s="96" t="s">
        <v>656</v>
      </c>
      <c r="H603" s="90" t="s">
        <v>793</v>
      </c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</row>
    <row r="604" ht="40.5" customHeight="1">
      <c r="A604" s="90" t="s">
        <v>654</v>
      </c>
      <c r="B604" s="96" t="s">
        <v>588</v>
      </c>
      <c r="C604" s="96" t="s">
        <v>655</v>
      </c>
      <c r="D604" s="96" t="s">
        <v>661</v>
      </c>
      <c r="E604" s="96">
        <v>2704900.0</v>
      </c>
      <c r="F604" s="96" t="s">
        <v>942</v>
      </c>
      <c r="G604" s="96" t="s">
        <v>658</v>
      </c>
      <c r="H604" s="90" t="s">
        <v>793</v>
      </c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</row>
    <row r="605" ht="40.5" customHeight="1">
      <c r="A605" s="90" t="s">
        <v>654</v>
      </c>
      <c r="B605" s="96" t="s">
        <v>588</v>
      </c>
      <c r="C605" s="96" t="s">
        <v>655</v>
      </c>
      <c r="D605" s="96" t="s">
        <v>662</v>
      </c>
      <c r="E605" s="96">
        <v>6607119.0</v>
      </c>
      <c r="F605" s="96" t="s">
        <v>941</v>
      </c>
      <c r="G605" s="96" t="s">
        <v>656</v>
      </c>
      <c r="H605" s="90" t="s">
        <v>793</v>
      </c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</row>
    <row r="606" ht="40.5" customHeight="1">
      <c r="A606" s="90" t="s">
        <v>654</v>
      </c>
      <c r="B606" s="96" t="s">
        <v>588</v>
      </c>
      <c r="C606" s="96" t="s">
        <v>655</v>
      </c>
      <c r="D606" s="96" t="s">
        <v>662</v>
      </c>
      <c r="E606" s="96">
        <v>2704900.0</v>
      </c>
      <c r="F606" s="96" t="s">
        <v>942</v>
      </c>
      <c r="G606" s="96" t="s">
        <v>658</v>
      </c>
      <c r="H606" s="90" t="s">
        <v>793</v>
      </c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</row>
    <row r="607" ht="40.5" customHeight="1">
      <c r="A607" s="90" t="s">
        <v>654</v>
      </c>
      <c r="B607" s="96" t="s">
        <v>588</v>
      </c>
      <c r="C607" s="96" t="s">
        <v>655</v>
      </c>
      <c r="D607" s="96" t="s">
        <v>663</v>
      </c>
      <c r="E607" s="96">
        <v>6607119.0</v>
      </c>
      <c r="F607" s="96" t="s">
        <v>941</v>
      </c>
      <c r="G607" s="96" t="s">
        <v>656</v>
      </c>
      <c r="H607" s="90" t="s">
        <v>793</v>
      </c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</row>
    <row r="608" ht="40.5" customHeight="1">
      <c r="A608" s="90" t="s">
        <v>654</v>
      </c>
      <c r="B608" s="96" t="s">
        <v>588</v>
      </c>
      <c r="C608" s="96" t="s">
        <v>655</v>
      </c>
      <c r="D608" s="96" t="s">
        <v>663</v>
      </c>
      <c r="E608" s="96">
        <v>2704900.0</v>
      </c>
      <c r="F608" s="96" t="s">
        <v>942</v>
      </c>
      <c r="G608" s="96" t="s">
        <v>658</v>
      </c>
      <c r="H608" s="90" t="s">
        <v>793</v>
      </c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</row>
    <row r="609" ht="40.5" customHeight="1">
      <c r="A609" s="90" t="s">
        <v>654</v>
      </c>
      <c r="B609" s="96" t="s">
        <v>588</v>
      </c>
      <c r="C609" s="96" t="s">
        <v>655</v>
      </c>
      <c r="D609" s="96" t="s">
        <v>664</v>
      </c>
      <c r="E609" s="96">
        <v>6607119.0</v>
      </c>
      <c r="F609" s="96" t="s">
        <v>941</v>
      </c>
      <c r="G609" s="96" t="s">
        <v>656</v>
      </c>
      <c r="H609" s="90" t="s">
        <v>793</v>
      </c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</row>
    <row r="610" ht="40.5" customHeight="1">
      <c r="A610" s="90" t="s">
        <v>654</v>
      </c>
      <c r="B610" s="96" t="s">
        <v>588</v>
      </c>
      <c r="C610" s="96" t="s">
        <v>655</v>
      </c>
      <c r="D610" s="96" t="s">
        <v>664</v>
      </c>
      <c r="E610" s="96">
        <v>2704900.0</v>
      </c>
      <c r="F610" s="96" t="s">
        <v>942</v>
      </c>
      <c r="G610" s="96" t="s">
        <v>658</v>
      </c>
      <c r="H610" s="90" t="s">
        <v>793</v>
      </c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</row>
    <row r="611" ht="40.5" customHeight="1">
      <c r="A611" s="90" t="s">
        <v>654</v>
      </c>
      <c r="B611" s="96" t="s">
        <v>588</v>
      </c>
      <c r="C611" s="96" t="s">
        <v>655</v>
      </c>
      <c r="D611" s="96" t="s">
        <v>665</v>
      </c>
      <c r="E611" s="96">
        <v>6607119.0</v>
      </c>
      <c r="F611" s="96" t="s">
        <v>941</v>
      </c>
      <c r="G611" s="96" t="s">
        <v>656</v>
      </c>
      <c r="H611" s="90" t="s">
        <v>793</v>
      </c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</row>
    <row r="612" ht="40.5" customHeight="1">
      <c r="A612" s="90" t="s">
        <v>654</v>
      </c>
      <c r="B612" s="96" t="s">
        <v>588</v>
      </c>
      <c r="C612" s="96" t="s">
        <v>655</v>
      </c>
      <c r="D612" s="96" t="s">
        <v>665</v>
      </c>
      <c r="E612" s="96">
        <v>2704900.0</v>
      </c>
      <c r="F612" s="96" t="s">
        <v>942</v>
      </c>
      <c r="G612" s="96" t="s">
        <v>658</v>
      </c>
      <c r="H612" s="90" t="s">
        <v>793</v>
      </c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</row>
    <row r="613" ht="40.5" customHeight="1">
      <c r="A613" s="90" t="s">
        <v>654</v>
      </c>
      <c r="B613" s="96" t="s">
        <v>588</v>
      </c>
      <c r="C613" s="96" t="s">
        <v>655</v>
      </c>
      <c r="D613" s="96" t="s">
        <v>666</v>
      </c>
      <c r="E613" s="96">
        <v>6607119.0</v>
      </c>
      <c r="F613" s="96" t="s">
        <v>941</v>
      </c>
      <c r="G613" s="96" t="s">
        <v>656</v>
      </c>
      <c r="H613" s="90" t="s">
        <v>793</v>
      </c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</row>
    <row r="614" ht="40.5" customHeight="1">
      <c r="A614" s="90" t="s">
        <v>654</v>
      </c>
      <c r="B614" s="96" t="s">
        <v>588</v>
      </c>
      <c r="C614" s="96" t="s">
        <v>655</v>
      </c>
      <c r="D614" s="96" t="s">
        <v>666</v>
      </c>
      <c r="E614" s="96">
        <v>2704900.0</v>
      </c>
      <c r="F614" s="96" t="s">
        <v>942</v>
      </c>
      <c r="G614" s="96" t="s">
        <v>658</v>
      </c>
      <c r="H614" s="90" t="s">
        <v>793</v>
      </c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</row>
    <row r="615" ht="40.5" customHeight="1">
      <c r="A615" s="90" t="s">
        <v>654</v>
      </c>
      <c r="B615" s="96" t="s">
        <v>588</v>
      </c>
      <c r="C615" s="96" t="s">
        <v>667</v>
      </c>
      <c r="D615" s="96" t="s">
        <v>668</v>
      </c>
      <c r="E615" s="96">
        <v>2029863.0</v>
      </c>
      <c r="F615" s="96" t="s">
        <v>943</v>
      </c>
      <c r="G615" s="96" t="s">
        <v>667</v>
      </c>
      <c r="H615" s="90" t="s">
        <v>793</v>
      </c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</row>
    <row r="616" ht="40.5" customHeight="1">
      <c r="A616" s="90" t="s">
        <v>654</v>
      </c>
      <c r="B616" s="96" t="s">
        <v>588</v>
      </c>
      <c r="C616" s="96" t="s">
        <v>667</v>
      </c>
      <c r="D616" s="96" t="s">
        <v>669</v>
      </c>
      <c r="E616" s="96">
        <v>2029863.0</v>
      </c>
      <c r="F616" s="96" t="s">
        <v>943</v>
      </c>
      <c r="G616" s="96" t="s">
        <v>667</v>
      </c>
      <c r="H616" s="90" t="s">
        <v>793</v>
      </c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</row>
    <row r="617" ht="40.5" customHeight="1">
      <c r="A617" s="90" t="s">
        <v>654</v>
      </c>
      <c r="B617" s="96" t="s">
        <v>588</v>
      </c>
      <c r="C617" s="96" t="s">
        <v>667</v>
      </c>
      <c r="D617" s="96" t="s">
        <v>670</v>
      </c>
      <c r="E617" s="96">
        <v>2029863.0</v>
      </c>
      <c r="F617" s="96" t="s">
        <v>943</v>
      </c>
      <c r="G617" s="96" t="s">
        <v>667</v>
      </c>
      <c r="H617" s="90" t="s">
        <v>793</v>
      </c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</row>
    <row r="618" ht="40.5" customHeight="1">
      <c r="A618" s="90" t="s">
        <v>654</v>
      </c>
      <c r="B618" s="96" t="s">
        <v>588</v>
      </c>
      <c r="C618" s="96" t="s">
        <v>667</v>
      </c>
      <c r="D618" s="96" t="s">
        <v>671</v>
      </c>
      <c r="E618" s="96">
        <v>2029863.0</v>
      </c>
      <c r="F618" s="96" t="s">
        <v>943</v>
      </c>
      <c r="G618" s="96" t="s">
        <v>667</v>
      </c>
      <c r="H618" s="90" t="s">
        <v>793</v>
      </c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</row>
    <row r="619" ht="40.5" customHeight="1">
      <c r="A619" s="90" t="s">
        <v>654</v>
      </c>
      <c r="B619" s="96" t="s">
        <v>588</v>
      </c>
      <c r="C619" s="96" t="s">
        <v>667</v>
      </c>
      <c r="D619" s="96" t="s">
        <v>667</v>
      </c>
      <c r="E619" s="96">
        <v>2029863.0</v>
      </c>
      <c r="F619" s="96" t="s">
        <v>943</v>
      </c>
      <c r="G619" s="96" t="s">
        <v>667</v>
      </c>
      <c r="H619" s="90" t="s">
        <v>793</v>
      </c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</row>
    <row r="620" ht="40.5" customHeight="1">
      <c r="A620" s="90" t="s">
        <v>654</v>
      </c>
      <c r="B620" s="96" t="s">
        <v>588</v>
      </c>
      <c r="C620" s="96" t="s">
        <v>667</v>
      </c>
      <c r="D620" s="96" t="s">
        <v>672</v>
      </c>
      <c r="E620" s="96">
        <v>2029863.0</v>
      </c>
      <c r="F620" s="96" t="s">
        <v>943</v>
      </c>
      <c r="G620" s="96" t="s">
        <v>667</v>
      </c>
      <c r="H620" s="90" t="s">
        <v>793</v>
      </c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</row>
    <row r="621" ht="40.5" customHeight="1">
      <c r="A621" s="90" t="s">
        <v>654</v>
      </c>
      <c r="B621" s="96" t="s">
        <v>588</v>
      </c>
      <c r="C621" s="96" t="s">
        <v>667</v>
      </c>
      <c r="D621" s="96" t="s">
        <v>673</v>
      </c>
      <c r="E621" s="96">
        <v>2029863.0</v>
      </c>
      <c r="F621" s="96" t="s">
        <v>943</v>
      </c>
      <c r="G621" s="96" t="s">
        <v>667</v>
      </c>
      <c r="H621" s="90" t="s">
        <v>793</v>
      </c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</row>
    <row r="622" ht="40.5" customHeight="1">
      <c r="A622" s="90" t="s">
        <v>674</v>
      </c>
      <c r="B622" s="96" t="s">
        <v>675</v>
      </c>
      <c r="C622" s="96" t="s">
        <v>676</v>
      </c>
      <c r="D622" s="96" t="s">
        <v>677</v>
      </c>
      <c r="E622" s="96">
        <v>6294049.0</v>
      </c>
      <c r="F622" s="96" t="s">
        <v>944</v>
      </c>
      <c r="G622" s="96" t="s">
        <v>684</v>
      </c>
      <c r="H622" s="90" t="s">
        <v>793</v>
      </c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</row>
    <row r="623" ht="40.5" customHeight="1">
      <c r="A623" s="90" t="s">
        <v>674</v>
      </c>
      <c r="B623" s="96" t="s">
        <v>675</v>
      </c>
      <c r="C623" s="96" t="s">
        <v>676</v>
      </c>
      <c r="D623" s="96" t="s">
        <v>678</v>
      </c>
      <c r="E623" s="96">
        <v>2085194.0</v>
      </c>
      <c r="F623" s="96" t="s">
        <v>945</v>
      </c>
      <c r="G623" s="96" t="s">
        <v>679</v>
      </c>
      <c r="H623" s="90" t="s">
        <v>793</v>
      </c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</row>
    <row r="624" ht="40.5" customHeight="1">
      <c r="A624" s="90" t="s">
        <v>674</v>
      </c>
      <c r="B624" s="96" t="s">
        <v>675</v>
      </c>
      <c r="C624" s="96" t="s">
        <v>676</v>
      </c>
      <c r="D624" s="96" t="s">
        <v>679</v>
      </c>
      <c r="E624" s="96">
        <v>2085194.0</v>
      </c>
      <c r="F624" s="96" t="s">
        <v>945</v>
      </c>
      <c r="G624" s="96" t="s">
        <v>679</v>
      </c>
      <c r="H624" s="90" t="s">
        <v>793</v>
      </c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</row>
    <row r="625" ht="40.5" customHeight="1">
      <c r="A625" s="90" t="s">
        <v>674</v>
      </c>
      <c r="B625" s="96" t="s">
        <v>675</v>
      </c>
      <c r="C625" s="96" t="s">
        <v>676</v>
      </c>
      <c r="D625" s="96" t="s">
        <v>680</v>
      </c>
      <c r="E625" s="96">
        <v>6294049.0</v>
      </c>
      <c r="F625" s="96" t="s">
        <v>944</v>
      </c>
      <c r="G625" s="96" t="s">
        <v>684</v>
      </c>
      <c r="H625" s="90" t="s">
        <v>793</v>
      </c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</row>
    <row r="626" ht="40.5" customHeight="1">
      <c r="A626" s="90" t="s">
        <v>674</v>
      </c>
      <c r="B626" s="96" t="s">
        <v>675</v>
      </c>
      <c r="C626" s="96" t="s">
        <v>676</v>
      </c>
      <c r="D626" s="96" t="s">
        <v>681</v>
      </c>
      <c r="E626" s="96">
        <v>6294049.0</v>
      </c>
      <c r="F626" s="96" t="s">
        <v>944</v>
      </c>
      <c r="G626" s="96" t="s">
        <v>684</v>
      </c>
      <c r="H626" s="90" t="s">
        <v>793</v>
      </c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</row>
    <row r="627" ht="40.5" customHeight="1">
      <c r="A627" s="90" t="s">
        <v>674</v>
      </c>
      <c r="B627" s="96" t="s">
        <v>675</v>
      </c>
      <c r="C627" s="96" t="s">
        <v>676</v>
      </c>
      <c r="D627" s="96" t="s">
        <v>682</v>
      </c>
      <c r="E627" s="96">
        <v>6294049.0</v>
      </c>
      <c r="F627" s="96" t="s">
        <v>944</v>
      </c>
      <c r="G627" s="96" t="s">
        <v>684</v>
      </c>
      <c r="H627" s="90" t="s">
        <v>793</v>
      </c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</row>
    <row r="628" ht="40.5" customHeight="1">
      <c r="A628" s="90" t="s">
        <v>674</v>
      </c>
      <c r="B628" s="96" t="s">
        <v>675</v>
      </c>
      <c r="C628" s="96" t="s">
        <v>676</v>
      </c>
      <c r="D628" s="96" t="s">
        <v>683</v>
      </c>
      <c r="E628" s="96">
        <v>2085194.0</v>
      </c>
      <c r="F628" s="96" t="s">
        <v>945</v>
      </c>
      <c r="G628" s="96" t="s">
        <v>679</v>
      </c>
      <c r="H628" s="90" t="s">
        <v>793</v>
      </c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</row>
    <row r="629" ht="40.5" customHeight="1">
      <c r="A629" s="90" t="s">
        <v>674</v>
      </c>
      <c r="B629" s="96" t="s">
        <v>675</v>
      </c>
      <c r="C629" s="96" t="s">
        <v>676</v>
      </c>
      <c r="D629" s="96" t="s">
        <v>684</v>
      </c>
      <c r="E629" s="96">
        <v>9628.0</v>
      </c>
      <c r="F629" s="96" t="s">
        <v>946</v>
      </c>
      <c r="G629" s="96" t="s">
        <v>684</v>
      </c>
      <c r="H629" s="90" t="s">
        <v>793</v>
      </c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</row>
    <row r="630" ht="40.5" customHeight="1">
      <c r="A630" s="90" t="s">
        <v>674</v>
      </c>
      <c r="B630" s="96" t="s">
        <v>675</v>
      </c>
      <c r="C630" s="96" t="s">
        <v>676</v>
      </c>
      <c r="D630" s="96" t="s">
        <v>684</v>
      </c>
      <c r="E630" s="96">
        <v>3363201.0</v>
      </c>
      <c r="F630" s="96" t="s">
        <v>947</v>
      </c>
      <c r="G630" s="96" t="s">
        <v>684</v>
      </c>
      <c r="H630" s="90" t="s">
        <v>793</v>
      </c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</row>
    <row r="631" ht="40.5" customHeight="1">
      <c r="A631" s="90" t="s">
        <v>674</v>
      </c>
      <c r="B631" s="96" t="s">
        <v>675</v>
      </c>
      <c r="C631" s="96" t="s">
        <v>685</v>
      </c>
      <c r="D631" s="96" t="s">
        <v>686</v>
      </c>
      <c r="E631" s="96">
        <v>2087111.0</v>
      </c>
      <c r="F631" s="96" t="s">
        <v>948</v>
      </c>
      <c r="G631" s="96" t="s">
        <v>696</v>
      </c>
      <c r="H631" s="90" t="s">
        <v>793</v>
      </c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</row>
    <row r="632" ht="40.5" customHeight="1">
      <c r="A632" s="90" t="s">
        <v>674</v>
      </c>
      <c r="B632" s="96" t="s">
        <v>675</v>
      </c>
      <c r="C632" s="96" t="s">
        <v>685</v>
      </c>
      <c r="D632" s="96" t="s">
        <v>687</v>
      </c>
      <c r="E632" s="96">
        <v>2087111.0</v>
      </c>
      <c r="F632" s="96" t="s">
        <v>948</v>
      </c>
      <c r="G632" s="96" t="s">
        <v>696</v>
      </c>
      <c r="H632" s="90" t="s">
        <v>793</v>
      </c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</row>
    <row r="633" ht="40.5" customHeight="1">
      <c r="A633" s="90" t="s">
        <v>674</v>
      </c>
      <c r="B633" s="96" t="s">
        <v>675</v>
      </c>
      <c r="C633" s="96" t="s">
        <v>685</v>
      </c>
      <c r="D633" s="96" t="s">
        <v>688</v>
      </c>
      <c r="E633" s="96">
        <v>2087111.0</v>
      </c>
      <c r="F633" s="96" t="s">
        <v>948</v>
      </c>
      <c r="G633" s="96" t="s">
        <v>696</v>
      </c>
      <c r="H633" s="90" t="s">
        <v>793</v>
      </c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</row>
    <row r="634" ht="40.5" customHeight="1">
      <c r="A634" s="90" t="s">
        <v>674</v>
      </c>
      <c r="B634" s="96" t="s">
        <v>675</v>
      </c>
      <c r="C634" s="96" t="s">
        <v>685</v>
      </c>
      <c r="D634" s="96" t="s">
        <v>689</v>
      </c>
      <c r="E634" s="96">
        <v>2087111.0</v>
      </c>
      <c r="F634" s="96" t="s">
        <v>948</v>
      </c>
      <c r="G634" s="96" t="s">
        <v>696</v>
      </c>
      <c r="H634" s="90" t="s">
        <v>793</v>
      </c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</row>
    <row r="635" ht="40.5" customHeight="1">
      <c r="A635" s="90" t="s">
        <v>674</v>
      </c>
      <c r="B635" s="96" t="s">
        <v>675</v>
      </c>
      <c r="C635" s="96" t="s">
        <v>685</v>
      </c>
      <c r="D635" s="96" t="s">
        <v>690</v>
      </c>
      <c r="E635" s="96">
        <v>2087111.0</v>
      </c>
      <c r="F635" s="96" t="s">
        <v>948</v>
      </c>
      <c r="G635" s="96" t="s">
        <v>696</v>
      </c>
      <c r="H635" s="90" t="s">
        <v>793</v>
      </c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</row>
    <row r="636" ht="40.5" customHeight="1">
      <c r="A636" s="90" t="s">
        <v>674</v>
      </c>
      <c r="B636" s="96" t="s">
        <v>675</v>
      </c>
      <c r="C636" s="96" t="s">
        <v>685</v>
      </c>
      <c r="D636" s="96" t="s">
        <v>691</v>
      </c>
      <c r="E636" s="96">
        <v>2087111.0</v>
      </c>
      <c r="F636" s="96" t="s">
        <v>948</v>
      </c>
      <c r="G636" s="96" t="s">
        <v>696</v>
      </c>
      <c r="H636" s="90" t="s">
        <v>793</v>
      </c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</row>
    <row r="637" ht="40.5" customHeight="1">
      <c r="A637" s="90" t="s">
        <v>674</v>
      </c>
      <c r="B637" s="96" t="s">
        <v>675</v>
      </c>
      <c r="C637" s="96" t="s">
        <v>685</v>
      </c>
      <c r="D637" s="96" t="s">
        <v>692</v>
      </c>
      <c r="E637" s="96">
        <v>2749319.0</v>
      </c>
      <c r="F637" s="96" t="s">
        <v>949</v>
      </c>
      <c r="G637" s="96" t="s">
        <v>675</v>
      </c>
      <c r="H637" s="90" t="s">
        <v>793</v>
      </c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</row>
    <row r="638" ht="40.5" customHeight="1">
      <c r="A638" s="90" t="s">
        <v>674</v>
      </c>
      <c r="B638" s="96" t="s">
        <v>675</v>
      </c>
      <c r="C638" s="96" t="s">
        <v>685</v>
      </c>
      <c r="D638" s="96" t="s">
        <v>693</v>
      </c>
      <c r="E638" s="96">
        <v>2031027.0</v>
      </c>
      <c r="F638" s="96" t="s">
        <v>950</v>
      </c>
      <c r="G638" s="96" t="s">
        <v>694</v>
      </c>
      <c r="H638" s="90" t="s">
        <v>793</v>
      </c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</row>
    <row r="639" ht="40.5" customHeight="1">
      <c r="A639" s="90" t="s">
        <v>674</v>
      </c>
      <c r="B639" s="96" t="s">
        <v>675</v>
      </c>
      <c r="C639" s="96" t="s">
        <v>685</v>
      </c>
      <c r="D639" s="96" t="s">
        <v>694</v>
      </c>
      <c r="E639" s="96">
        <v>2031027.0</v>
      </c>
      <c r="F639" s="96" t="s">
        <v>950</v>
      </c>
      <c r="G639" s="96" t="s">
        <v>694</v>
      </c>
      <c r="H639" s="90" t="s">
        <v>793</v>
      </c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</row>
    <row r="640" ht="40.5" customHeight="1">
      <c r="A640" s="90" t="s">
        <v>674</v>
      </c>
      <c r="B640" s="96" t="s">
        <v>675</v>
      </c>
      <c r="C640" s="96" t="s">
        <v>685</v>
      </c>
      <c r="D640" s="96" t="s">
        <v>695</v>
      </c>
      <c r="E640" s="96">
        <v>2749319.0</v>
      </c>
      <c r="F640" s="96" t="s">
        <v>949</v>
      </c>
      <c r="G640" s="96" t="s">
        <v>675</v>
      </c>
      <c r="H640" s="90" t="s">
        <v>793</v>
      </c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</row>
    <row r="641" ht="40.5" customHeight="1">
      <c r="A641" s="90" t="s">
        <v>674</v>
      </c>
      <c r="B641" s="96" t="s">
        <v>675</v>
      </c>
      <c r="C641" s="96" t="s">
        <v>685</v>
      </c>
      <c r="D641" s="96" t="s">
        <v>696</v>
      </c>
      <c r="E641" s="96">
        <v>2087111.0</v>
      </c>
      <c r="F641" s="96" t="s">
        <v>948</v>
      </c>
      <c r="G641" s="96" t="s">
        <v>696</v>
      </c>
      <c r="H641" s="90" t="s">
        <v>793</v>
      </c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</row>
    <row r="642" ht="40.5" customHeight="1">
      <c r="A642" s="90" t="s">
        <v>674</v>
      </c>
      <c r="B642" s="96" t="s">
        <v>675</v>
      </c>
      <c r="C642" s="96" t="s">
        <v>685</v>
      </c>
      <c r="D642" s="96" t="s">
        <v>697</v>
      </c>
      <c r="E642" s="96">
        <v>2087111.0</v>
      </c>
      <c r="F642" s="96" t="s">
        <v>948</v>
      </c>
      <c r="G642" s="96" t="s">
        <v>696</v>
      </c>
      <c r="H642" s="90" t="s">
        <v>793</v>
      </c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</row>
    <row r="643" ht="40.5" customHeight="1">
      <c r="A643" s="90" t="s">
        <v>674</v>
      </c>
      <c r="B643" s="96" t="s">
        <v>675</v>
      </c>
      <c r="C643" s="96" t="s">
        <v>685</v>
      </c>
      <c r="D643" s="96" t="s">
        <v>698</v>
      </c>
      <c r="E643" s="96">
        <v>2087111.0</v>
      </c>
      <c r="F643" s="96" t="s">
        <v>948</v>
      </c>
      <c r="G643" s="96" t="s">
        <v>696</v>
      </c>
      <c r="H643" s="90" t="s">
        <v>793</v>
      </c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</row>
    <row r="644" ht="40.5" customHeight="1">
      <c r="A644" s="90" t="s">
        <v>674</v>
      </c>
      <c r="B644" s="96" t="s">
        <v>675</v>
      </c>
      <c r="C644" s="96" t="s">
        <v>685</v>
      </c>
      <c r="D644" s="96" t="s">
        <v>699</v>
      </c>
      <c r="E644" s="96">
        <v>2087111.0</v>
      </c>
      <c r="F644" s="96" t="s">
        <v>948</v>
      </c>
      <c r="G644" s="96" t="s">
        <v>696</v>
      </c>
      <c r="H644" s="90" t="s">
        <v>793</v>
      </c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</row>
    <row r="645" ht="40.5" customHeight="1">
      <c r="A645" s="90" t="s">
        <v>674</v>
      </c>
      <c r="B645" s="96" t="s">
        <v>675</v>
      </c>
      <c r="C645" s="96" t="s">
        <v>685</v>
      </c>
      <c r="D645" s="96" t="s">
        <v>700</v>
      </c>
      <c r="E645" s="96">
        <v>2087111.0</v>
      </c>
      <c r="F645" s="96" t="s">
        <v>948</v>
      </c>
      <c r="G645" s="96" t="s">
        <v>696</v>
      </c>
      <c r="H645" s="90" t="s">
        <v>793</v>
      </c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</row>
    <row r="646" ht="40.5" customHeight="1">
      <c r="A646" s="90" t="s">
        <v>674</v>
      </c>
      <c r="B646" s="96" t="s">
        <v>675</v>
      </c>
      <c r="C646" s="96" t="s">
        <v>685</v>
      </c>
      <c r="D646" s="96" t="s">
        <v>701</v>
      </c>
      <c r="E646" s="96">
        <v>2087111.0</v>
      </c>
      <c r="F646" s="96" t="s">
        <v>948</v>
      </c>
      <c r="G646" s="96" t="s">
        <v>696</v>
      </c>
      <c r="H646" s="90" t="s">
        <v>793</v>
      </c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</row>
    <row r="647" ht="40.5" customHeight="1">
      <c r="A647" s="90" t="s">
        <v>674</v>
      </c>
      <c r="B647" s="96" t="s">
        <v>675</v>
      </c>
      <c r="C647" s="96" t="s">
        <v>685</v>
      </c>
      <c r="D647" s="96" t="s">
        <v>702</v>
      </c>
      <c r="E647" s="96">
        <v>2087111.0</v>
      </c>
      <c r="F647" s="96" t="s">
        <v>948</v>
      </c>
      <c r="G647" s="96" t="s">
        <v>696</v>
      </c>
      <c r="H647" s="90" t="s">
        <v>793</v>
      </c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</row>
    <row r="648" ht="40.5" customHeight="1">
      <c r="A648" s="90" t="s">
        <v>674</v>
      </c>
      <c r="B648" s="96" t="s">
        <v>675</v>
      </c>
      <c r="C648" s="96" t="s">
        <v>703</v>
      </c>
      <c r="D648" s="96" t="s">
        <v>704</v>
      </c>
      <c r="E648" s="96">
        <v>9768289.0</v>
      </c>
      <c r="F648" s="96" t="s">
        <v>951</v>
      </c>
      <c r="G648" s="96" t="s">
        <v>704</v>
      </c>
      <c r="H648" s="90" t="s">
        <v>793</v>
      </c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</row>
    <row r="649" ht="40.5" customHeight="1">
      <c r="A649" s="90" t="s">
        <v>674</v>
      </c>
      <c r="B649" s="96" t="s">
        <v>675</v>
      </c>
      <c r="C649" s="96" t="s">
        <v>703</v>
      </c>
      <c r="D649" s="96" t="s">
        <v>705</v>
      </c>
      <c r="E649" s="96">
        <v>9632786.0</v>
      </c>
      <c r="F649" s="96" t="s">
        <v>952</v>
      </c>
      <c r="G649" s="96" t="s">
        <v>953</v>
      </c>
      <c r="H649" s="90" t="s">
        <v>793</v>
      </c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</row>
    <row r="650" ht="40.5" customHeight="1">
      <c r="A650" s="90" t="s">
        <v>674</v>
      </c>
      <c r="B650" s="96" t="s">
        <v>675</v>
      </c>
      <c r="C650" s="96" t="s">
        <v>703</v>
      </c>
      <c r="D650" s="96" t="s">
        <v>706</v>
      </c>
      <c r="E650" s="96">
        <v>2086824.0</v>
      </c>
      <c r="F650" s="96" t="s">
        <v>954</v>
      </c>
      <c r="G650" s="96" t="s">
        <v>706</v>
      </c>
      <c r="H650" s="90" t="s">
        <v>793</v>
      </c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</row>
    <row r="651" ht="40.5" customHeight="1">
      <c r="A651" s="90" t="s">
        <v>674</v>
      </c>
      <c r="B651" s="96" t="s">
        <v>675</v>
      </c>
      <c r="C651" s="96" t="s">
        <v>703</v>
      </c>
      <c r="D651" s="96" t="s">
        <v>706</v>
      </c>
      <c r="E651" s="96">
        <v>4201639.0</v>
      </c>
      <c r="F651" s="96" t="s">
        <v>955</v>
      </c>
      <c r="G651" s="96" t="s">
        <v>706</v>
      </c>
      <c r="H651" s="90" t="s">
        <v>793</v>
      </c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</row>
    <row r="652" ht="40.5" customHeight="1">
      <c r="A652" s="90" t="s">
        <v>674</v>
      </c>
      <c r="B652" s="96" t="s">
        <v>675</v>
      </c>
      <c r="C652" s="96" t="s">
        <v>703</v>
      </c>
      <c r="D652" s="96" t="s">
        <v>707</v>
      </c>
      <c r="E652" s="96">
        <v>2073285.0</v>
      </c>
      <c r="F652" s="96" t="s">
        <v>956</v>
      </c>
      <c r="G652" s="96" t="s">
        <v>707</v>
      </c>
      <c r="H652" s="90" t="s">
        <v>793</v>
      </c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</row>
    <row r="653" ht="40.5" customHeight="1">
      <c r="A653" s="90" t="s">
        <v>674</v>
      </c>
      <c r="B653" s="96" t="s">
        <v>675</v>
      </c>
      <c r="C653" s="96" t="s">
        <v>708</v>
      </c>
      <c r="D653" s="96" t="s">
        <v>709</v>
      </c>
      <c r="E653" s="96">
        <v>2749319.0</v>
      </c>
      <c r="F653" s="96" t="s">
        <v>949</v>
      </c>
      <c r="G653" s="96" t="s">
        <v>675</v>
      </c>
      <c r="H653" s="90" t="s">
        <v>793</v>
      </c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</row>
    <row r="654" ht="40.5" customHeight="1">
      <c r="A654" s="90" t="s">
        <v>674</v>
      </c>
      <c r="B654" s="96" t="s">
        <v>675</v>
      </c>
      <c r="C654" s="96" t="s">
        <v>708</v>
      </c>
      <c r="D654" s="96" t="s">
        <v>711</v>
      </c>
      <c r="E654" s="96">
        <v>2749319.0</v>
      </c>
      <c r="F654" s="96" t="s">
        <v>949</v>
      </c>
      <c r="G654" s="96" t="s">
        <v>675</v>
      </c>
      <c r="H654" s="90" t="s">
        <v>793</v>
      </c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</row>
    <row r="655" ht="40.5" customHeight="1">
      <c r="A655" s="90" t="s">
        <v>674</v>
      </c>
      <c r="B655" s="96" t="s">
        <v>675</v>
      </c>
      <c r="C655" s="96" t="s">
        <v>708</v>
      </c>
      <c r="D655" s="96" t="s">
        <v>712</v>
      </c>
      <c r="E655" s="96">
        <v>2749319.0</v>
      </c>
      <c r="F655" s="96" t="s">
        <v>949</v>
      </c>
      <c r="G655" s="96" t="s">
        <v>675</v>
      </c>
      <c r="H655" s="90" t="s">
        <v>793</v>
      </c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</row>
    <row r="656" ht="40.5" customHeight="1">
      <c r="A656" s="90" t="s">
        <v>674</v>
      </c>
      <c r="B656" s="96" t="s">
        <v>675</v>
      </c>
      <c r="C656" s="96" t="s">
        <v>708</v>
      </c>
      <c r="D656" s="96" t="s">
        <v>713</v>
      </c>
      <c r="E656" s="96">
        <v>7911246.0</v>
      </c>
      <c r="F656" s="96" t="s">
        <v>957</v>
      </c>
      <c r="G656" s="96" t="s">
        <v>713</v>
      </c>
      <c r="H656" s="90" t="s">
        <v>793</v>
      </c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</row>
    <row r="657" ht="40.5" customHeight="1">
      <c r="A657" s="90" t="s">
        <v>674</v>
      </c>
      <c r="B657" s="96" t="s">
        <v>675</v>
      </c>
      <c r="C657" s="96" t="s">
        <v>708</v>
      </c>
      <c r="D657" s="96" t="s">
        <v>715</v>
      </c>
      <c r="E657" s="96">
        <v>2749319.0</v>
      </c>
      <c r="F657" s="96" t="s">
        <v>949</v>
      </c>
      <c r="G657" s="96" t="s">
        <v>675</v>
      </c>
      <c r="H657" s="90" t="s">
        <v>793</v>
      </c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</row>
    <row r="658" ht="40.5" customHeight="1">
      <c r="A658" s="90" t="s">
        <v>674</v>
      </c>
      <c r="B658" s="96" t="s">
        <v>675</v>
      </c>
      <c r="C658" s="96" t="s">
        <v>708</v>
      </c>
      <c r="D658" s="96" t="s">
        <v>716</v>
      </c>
      <c r="E658" s="96">
        <v>2749319.0</v>
      </c>
      <c r="F658" s="96" t="s">
        <v>949</v>
      </c>
      <c r="G658" s="96" t="s">
        <v>675</v>
      </c>
      <c r="H658" s="90" t="s">
        <v>793</v>
      </c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</row>
    <row r="659" ht="40.5" customHeight="1">
      <c r="A659" s="90" t="s">
        <v>674</v>
      </c>
      <c r="B659" s="96" t="s">
        <v>675</v>
      </c>
      <c r="C659" s="96" t="s">
        <v>708</v>
      </c>
      <c r="D659" s="96" t="s">
        <v>717</v>
      </c>
      <c r="E659" s="96">
        <v>2749319.0</v>
      </c>
      <c r="F659" s="96" t="s">
        <v>949</v>
      </c>
      <c r="G659" s="96" t="s">
        <v>675</v>
      </c>
      <c r="H659" s="90" t="s">
        <v>793</v>
      </c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</row>
    <row r="660" ht="40.5" customHeight="1">
      <c r="A660" s="90" t="s">
        <v>674</v>
      </c>
      <c r="B660" s="96" t="s">
        <v>675</v>
      </c>
      <c r="C660" s="96" t="s">
        <v>708</v>
      </c>
      <c r="D660" s="96" t="s">
        <v>718</v>
      </c>
      <c r="E660" s="96">
        <v>2749319.0</v>
      </c>
      <c r="F660" s="96" t="s">
        <v>949</v>
      </c>
      <c r="G660" s="96" t="s">
        <v>675</v>
      </c>
      <c r="H660" s="90" t="s">
        <v>793</v>
      </c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</row>
    <row r="661" ht="40.5" customHeight="1">
      <c r="A661" s="90" t="s">
        <v>674</v>
      </c>
      <c r="B661" s="96" t="s">
        <v>675</v>
      </c>
      <c r="C661" s="96" t="s">
        <v>708</v>
      </c>
      <c r="D661" s="96" t="s">
        <v>675</v>
      </c>
      <c r="E661" s="96">
        <v>2749300.0</v>
      </c>
      <c r="F661" s="96" t="s">
        <v>958</v>
      </c>
      <c r="G661" s="96" t="s">
        <v>675</v>
      </c>
      <c r="H661" s="90" t="s">
        <v>793</v>
      </c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</row>
    <row r="662" ht="40.5" customHeight="1">
      <c r="A662" s="90" t="s">
        <v>674</v>
      </c>
      <c r="B662" s="96" t="s">
        <v>675</v>
      </c>
      <c r="C662" s="96" t="s">
        <v>708</v>
      </c>
      <c r="D662" s="96" t="s">
        <v>675</v>
      </c>
      <c r="E662" s="96">
        <v>2749319.0</v>
      </c>
      <c r="F662" s="96" t="s">
        <v>949</v>
      </c>
      <c r="G662" s="96" t="s">
        <v>675</v>
      </c>
      <c r="H662" s="90" t="s">
        <v>793</v>
      </c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</row>
    <row r="663" ht="40.5" customHeight="1">
      <c r="A663" s="90" t="s">
        <v>674</v>
      </c>
      <c r="B663" s="96" t="s">
        <v>675</v>
      </c>
      <c r="C663" s="96" t="s">
        <v>708</v>
      </c>
      <c r="D663" s="96" t="s">
        <v>721</v>
      </c>
      <c r="E663" s="96">
        <v>2749319.0</v>
      </c>
      <c r="F663" s="96" t="s">
        <v>949</v>
      </c>
      <c r="G663" s="96" t="s">
        <v>675</v>
      </c>
      <c r="H663" s="90" t="s">
        <v>793</v>
      </c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</row>
    <row r="664" ht="40.5" customHeight="1">
      <c r="A664" s="90" t="s">
        <v>723</v>
      </c>
      <c r="B664" s="96" t="s">
        <v>724</v>
      </c>
      <c r="C664" s="96" t="s">
        <v>725</v>
      </c>
      <c r="D664" s="96" t="s">
        <v>726</v>
      </c>
      <c r="E664" s="96">
        <v>9424377.0</v>
      </c>
      <c r="F664" s="96" t="s">
        <v>959</v>
      </c>
      <c r="G664" s="96" t="s">
        <v>960</v>
      </c>
      <c r="H664" s="90" t="s">
        <v>793</v>
      </c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</row>
    <row r="665" ht="40.5" customHeight="1">
      <c r="A665" s="90" t="s">
        <v>723</v>
      </c>
      <c r="B665" s="96" t="s">
        <v>724</v>
      </c>
      <c r="C665" s="96" t="s">
        <v>725</v>
      </c>
      <c r="D665" s="96" t="s">
        <v>724</v>
      </c>
      <c r="E665" s="96">
        <v>9424377.0</v>
      </c>
      <c r="F665" s="96" t="s">
        <v>959</v>
      </c>
      <c r="G665" s="96" t="s">
        <v>960</v>
      </c>
      <c r="H665" s="90" t="s">
        <v>793</v>
      </c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</row>
    <row r="666" ht="40.5" customHeight="1">
      <c r="A666" s="90" t="s">
        <v>723</v>
      </c>
      <c r="B666" s="96" t="s">
        <v>724</v>
      </c>
      <c r="C666" s="96" t="s">
        <v>725</v>
      </c>
      <c r="D666" s="96" t="s">
        <v>727</v>
      </c>
      <c r="E666" s="96">
        <v>9424377.0</v>
      </c>
      <c r="F666" s="96" t="s">
        <v>959</v>
      </c>
      <c r="G666" s="96" t="s">
        <v>960</v>
      </c>
      <c r="H666" s="90" t="s">
        <v>793</v>
      </c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</row>
    <row r="667" ht="40.5" customHeight="1">
      <c r="A667" s="90" t="s">
        <v>723</v>
      </c>
      <c r="B667" s="96" t="s">
        <v>724</v>
      </c>
      <c r="C667" s="96" t="s">
        <v>725</v>
      </c>
      <c r="D667" s="96" t="s">
        <v>728</v>
      </c>
      <c r="E667" s="96">
        <v>9424377.0</v>
      </c>
      <c r="F667" s="96" t="s">
        <v>959</v>
      </c>
      <c r="G667" s="96" t="s">
        <v>960</v>
      </c>
      <c r="H667" s="90" t="s">
        <v>793</v>
      </c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</row>
    <row r="668" ht="40.5" customHeight="1">
      <c r="A668" s="90" t="s">
        <v>723</v>
      </c>
      <c r="B668" s="96" t="s">
        <v>724</v>
      </c>
      <c r="C668" s="96" t="s">
        <v>725</v>
      </c>
      <c r="D668" s="96" t="s">
        <v>729</v>
      </c>
      <c r="E668" s="96">
        <v>9424377.0</v>
      </c>
      <c r="F668" s="96" t="s">
        <v>959</v>
      </c>
      <c r="G668" s="96" t="s">
        <v>960</v>
      </c>
      <c r="H668" s="90" t="s">
        <v>793</v>
      </c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</row>
    <row r="669" ht="40.5" customHeight="1">
      <c r="A669" s="90" t="s">
        <v>723</v>
      </c>
      <c r="B669" s="96" t="s">
        <v>724</v>
      </c>
      <c r="C669" s="96" t="s">
        <v>725</v>
      </c>
      <c r="D669" s="96" t="s">
        <v>730</v>
      </c>
      <c r="E669" s="96">
        <v>9424377.0</v>
      </c>
      <c r="F669" s="96" t="s">
        <v>959</v>
      </c>
      <c r="G669" s="96" t="s">
        <v>960</v>
      </c>
      <c r="H669" s="90" t="s">
        <v>793</v>
      </c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</row>
    <row r="670" ht="40.5" customHeight="1">
      <c r="A670" s="90" t="s">
        <v>723</v>
      </c>
      <c r="B670" s="96" t="s">
        <v>724</v>
      </c>
      <c r="C670" s="96" t="s">
        <v>725</v>
      </c>
      <c r="D670" s="96" t="s">
        <v>731</v>
      </c>
      <c r="E670" s="96">
        <v>9424377.0</v>
      </c>
      <c r="F670" s="96" t="s">
        <v>959</v>
      </c>
      <c r="G670" s="96" t="s">
        <v>960</v>
      </c>
      <c r="H670" s="90" t="s">
        <v>793</v>
      </c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</row>
    <row r="671" ht="40.5" customHeight="1">
      <c r="A671" s="90" t="s">
        <v>723</v>
      </c>
      <c r="B671" s="96" t="s">
        <v>724</v>
      </c>
      <c r="C671" s="96" t="s">
        <v>725</v>
      </c>
      <c r="D671" s="96" t="s">
        <v>732</v>
      </c>
      <c r="E671" s="96">
        <v>9424377.0</v>
      </c>
      <c r="F671" s="96" t="s">
        <v>959</v>
      </c>
      <c r="G671" s="96" t="s">
        <v>960</v>
      </c>
      <c r="H671" s="90" t="s">
        <v>793</v>
      </c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</row>
    <row r="672" ht="40.5" customHeight="1">
      <c r="A672" s="90" t="s">
        <v>723</v>
      </c>
      <c r="B672" s="96" t="s">
        <v>724</v>
      </c>
      <c r="C672" s="96" t="s">
        <v>733</v>
      </c>
      <c r="D672" s="96" t="s">
        <v>734</v>
      </c>
      <c r="E672" s="96">
        <v>2090961.0</v>
      </c>
      <c r="F672" s="96" t="s">
        <v>961</v>
      </c>
      <c r="G672" s="96" t="s">
        <v>962</v>
      </c>
      <c r="H672" s="90" t="s">
        <v>793</v>
      </c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</row>
    <row r="673" ht="40.5" customHeight="1">
      <c r="A673" s="90" t="s">
        <v>723</v>
      </c>
      <c r="B673" s="96" t="s">
        <v>724</v>
      </c>
      <c r="C673" s="96" t="s">
        <v>733</v>
      </c>
      <c r="D673" s="96" t="s">
        <v>735</v>
      </c>
      <c r="E673" s="96">
        <v>2090961.0</v>
      </c>
      <c r="F673" s="96" t="s">
        <v>961</v>
      </c>
      <c r="G673" s="96" t="s">
        <v>962</v>
      </c>
      <c r="H673" s="90" t="s">
        <v>793</v>
      </c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</row>
    <row r="674" ht="40.5" customHeight="1">
      <c r="A674" s="90" t="s">
        <v>723</v>
      </c>
      <c r="B674" s="96" t="s">
        <v>724</v>
      </c>
      <c r="C674" s="96" t="s">
        <v>733</v>
      </c>
      <c r="D674" s="96" t="s">
        <v>736</v>
      </c>
      <c r="E674" s="96">
        <v>2090961.0</v>
      </c>
      <c r="F674" s="96" t="s">
        <v>961</v>
      </c>
      <c r="G674" s="96" t="s">
        <v>962</v>
      </c>
      <c r="H674" s="90" t="s">
        <v>793</v>
      </c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</row>
    <row r="675" ht="40.5" customHeight="1">
      <c r="A675" s="90" t="s">
        <v>723</v>
      </c>
      <c r="B675" s="96" t="s">
        <v>724</v>
      </c>
      <c r="C675" s="96" t="s">
        <v>733</v>
      </c>
      <c r="D675" s="96" t="s">
        <v>737</v>
      </c>
      <c r="E675" s="96">
        <v>2090961.0</v>
      </c>
      <c r="F675" s="96" t="s">
        <v>961</v>
      </c>
      <c r="G675" s="96" t="s">
        <v>962</v>
      </c>
      <c r="H675" s="90" t="s">
        <v>793</v>
      </c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</row>
    <row r="676" ht="40.5" customHeight="1">
      <c r="A676" s="90" t="s">
        <v>723</v>
      </c>
      <c r="B676" s="96" t="s">
        <v>724</v>
      </c>
      <c r="C676" s="96" t="s">
        <v>733</v>
      </c>
      <c r="D676" s="96" t="s">
        <v>738</v>
      </c>
      <c r="E676" s="96">
        <v>2090961.0</v>
      </c>
      <c r="F676" s="96" t="s">
        <v>961</v>
      </c>
      <c r="G676" s="96" t="s">
        <v>962</v>
      </c>
      <c r="H676" s="90" t="s">
        <v>793</v>
      </c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</row>
    <row r="677" ht="40.5" customHeight="1">
      <c r="A677" s="90" t="s">
        <v>723</v>
      </c>
      <c r="B677" s="96" t="s">
        <v>724</v>
      </c>
      <c r="C677" s="96" t="s">
        <v>739</v>
      </c>
      <c r="D677" s="96" t="s">
        <v>740</v>
      </c>
      <c r="E677" s="96">
        <v>2080931.0</v>
      </c>
      <c r="F677" s="96" t="s">
        <v>961</v>
      </c>
      <c r="G677" s="96" t="s">
        <v>963</v>
      </c>
      <c r="H677" s="90" t="s">
        <v>793</v>
      </c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</row>
    <row r="678" ht="40.5" customHeight="1">
      <c r="A678" s="90" t="s">
        <v>723</v>
      </c>
      <c r="B678" s="96" t="s">
        <v>724</v>
      </c>
      <c r="C678" s="96" t="s">
        <v>739</v>
      </c>
      <c r="D678" s="96" t="s">
        <v>741</v>
      </c>
      <c r="E678" s="96">
        <v>2080931.0</v>
      </c>
      <c r="F678" s="96" t="s">
        <v>961</v>
      </c>
      <c r="G678" s="96" t="s">
        <v>963</v>
      </c>
      <c r="H678" s="90" t="s">
        <v>793</v>
      </c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</row>
    <row r="679" ht="40.5" customHeight="1">
      <c r="A679" s="90" t="s">
        <v>723</v>
      </c>
      <c r="B679" s="96" t="s">
        <v>724</v>
      </c>
      <c r="C679" s="96" t="s">
        <v>739</v>
      </c>
      <c r="D679" s="96" t="s">
        <v>742</v>
      </c>
      <c r="E679" s="96">
        <v>2080931.0</v>
      </c>
      <c r="F679" s="96" t="s">
        <v>961</v>
      </c>
      <c r="G679" s="96" t="s">
        <v>963</v>
      </c>
      <c r="H679" s="90" t="s">
        <v>793</v>
      </c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</row>
    <row r="680" ht="40.5" customHeight="1">
      <c r="A680" s="90" t="s">
        <v>723</v>
      </c>
      <c r="B680" s="96" t="s">
        <v>724</v>
      </c>
      <c r="C680" s="96" t="s">
        <v>739</v>
      </c>
      <c r="D680" s="96" t="s">
        <v>743</v>
      </c>
      <c r="E680" s="96">
        <v>2080931.0</v>
      </c>
      <c r="F680" s="96" t="s">
        <v>961</v>
      </c>
      <c r="G680" s="96" t="s">
        <v>963</v>
      </c>
      <c r="H680" s="90" t="s">
        <v>793</v>
      </c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</row>
    <row r="681" ht="40.5" customHeight="1">
      <c r="A681" s="90" t="s">
        <v>723</v>
      </c>
      <c r="B681" s="96" t="s">
        <v>724</v>
      </c>
      <c r="C681" s="96" t="s">
        <v>739</v>
      </c>
      <c r="D681" s="96" t="s">
        <v>744</v>
      </c>
      <c r="E681" s="96">
        <v>2080931.0</v>
      </c>
      <c r="F681" s="96" t="s">
        <v>961</v>
      </c>
      <c r="G681" s="96" t="s">
        <v>963</v>
      </c>
      <c r="H681" s="90" t="s">
        <v>793</v>
      </c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</row>
    <row r="682" ht="40.5" customHeight="1">
      <c r="A682" s="90" t="s">
        <v>723</v>
      </c>
      <c r="B682" s="96" t="s">
        <v>724</v>
      </c>
      <c r="C682" s="96" t="s">
        <v>739</v>
      </c>
      <c r="D682" s="96" t="s">
        <v>745</v>
      </c>
      <c r="E682" s="96">
        <v>2080931.0</v>
      </c>
      <c r="F682" s="96" t="s">
        <v>961</v>
      </c>
      <c r="G682" s="96" t="s">
        <v>963</v>
      </c>
      <c r="H682" s="90" t="s">
        <v>793</v>
      </c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</row>
    <row r="683" ht="40.5" customHeight="1">
      <c r="A683" s="90" t="s">
        <v>723</v>
      </c>
      <c r="B683" s="96" t="s">
        <v>724</v>
      </c>
      <c r="C683" s="96" t="s">
        <v>487</v>
      </c>
      <c r="D683" s="96" t="s">
        <v>746</v>
      </c>
      <c r="E683" s="96">
        <v>2090961.0</v>
      </c>
      <c r="F683" s="96" t="s">
        <v>961</v>
      </c>
      <c r="G683" s="96" t="s">
        <v>962</v>
      </c>
      <c r="H683" s="90" t="s">
        <v>793</v>
      </c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</row>
    <row r="684" ht="40.5" customHeight="1">
      <c r="A684" s="90" t="s">
        <v>723</v>
      </c>
      <c r="B684" s="96" t="s">
        <v>724</v>
      </c>
      <c r="C684" s="96" t="s">
        <v>487</v>
      </c>
      <c r="D684" s="96" t="s">
        <v>747</v>
      </c>
      <c r="E684" s="96">
        <v>2090961.0</v>
      </c>
      <c r="F684" s="96" t="s">
        <v>961</v>
      </c>
      <c r="G684" s="96" t="s">
        <v>962</v>
      </c>
      <c r="H684" s="90" t="s">
        <v>793</v>
      </c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</row>
    <row r="685" ht="40.5" customHeight="1">
      <c r="A685" s="90" t="s">
        <v>723</v>
      </c>
      <c r="B685" s="96" t="s">
        <v>724</v>
      </c>
      <c r="C685" s="96" t="s">
        <v>487</v>
      </c>
      <c r="D685" s="96" t="s">
        <v>748</v>
      </c>
      <c r="E685" s="96">
        <v>2090961.0</v>
      </c>
      <c r="F685" s="96" t="s">
        <v>961</v>
      </c>
      <c r="G685" s="96" t="s">
        <v>962</v>
      </c>
      <c r="H685" s="90" t="s">
        <v>793</v>
      </c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</row>
    <row r="686" ht="40.5" customHeight="1">
      <c r="A686" s="90" t="s">
        <v>723</v>
      </c>
      <c r="B686" s="96" t="s">
        <v>724</v>
      </c>
      <c r="C686" s="96" t="s">
        <v>487</v>
      </c>
      <c r="D686" s="96" t="s">
        <v>749</v>
      </c>
      <c r="E686" s="96">
        <v>2090961.0</v>
      </c>
      <c r="F686" s="96" t="s">
        <v>961</v>
      </c>
      <c r="G686" s="96" t="s">
        <v>962</v>
      </c>
      <c r="H686" s="90" t="s">
        <v>793</v>
      </c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</row>
    <row r="687" ht="40.5" customHeight="1">
      <c r="A687" s="90" t="s">
        <v>723</v>
      </c>
      <c r="B687" s="96" t="s">
        <v>724</v>
      </c>
      <c r="C687" s="96" t="s">
        <v>487</v>
      </c>
      <c r="D687" s="96" t="s">
        <v>750</v>
      </c>
      <c r="E687" s="96">
        <v>2090961.0</v>
      </c>
      <c r="F687" s="96" t="s">
        <v>961</v>
      </c>
      <c r="G687" s="96" t="s">
        <v>962</v>
      </c>
      <c r="H687" s="90" t="s">
        <v>793</v>
      </c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</row>
    <row r="688" ht="40.5" customHeight="1">
      <c r="A688" s="42" t="s">
        <v>25</v>
      </c>
      <c r="B688" s="42" t="s">
        <v>26</v>
      </c>
      <c r="C688" s="42" t="s">
        <v>27</v>
      </c>
      <c r="D688" s="42" t="s">
        <v>28</v>
      </c>
      <c r="E688" s="42">
        <v>2080028.0</v>
      </c>
      <c r="F688" s="42" t="s">
        <v>964</v>
      </c>
      <c r="G688" s="42" t="s">
        <v>28</v>
      </c>
      <c r="H688" s="90" t="s">
        <v>965</v>
      </c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</row>
    <row r="689" ht="40.5" customHeight="1">
      <c r="A689" s="42" t="s">
        <v>25</v>
      </c>
      <c r="B689" s="42" t="s">
        <v>26</v>
      </c>
      <c r="C689" s="42" t="s">
        <v>27</v>
      </c>
      <c r="D689" s="42" t="s">
        <v>29</v>
      </c>
      <c r="E689" s="42">
        <v>2082349.0</v>
      </c>
      <c r="F689" s="42" t="s">
        <v>794</v>
      </c>
      <c r="G689" s="42" t="s">
        <v>29</v>
      </c>
      <c r="H689" s="90" t="s">
        <v>965</v>
      </c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</row>
    <row r="690" ht="40.5" customHeight="1">
      <c r="A690" s="42" t="s">
        <v>25</v>
      </c>
      <c r="B690" s="42" t="s">
        <v>26</v>
      </c>
      <c r="C690" s="42" t="s">
        <v>27</v>
      </c>
      <c r="D690" s="42" t="s">
        <v>30</v>
      </c>
      <c r="E690" s="42">
        <v>2081202.0</v>
      </c>
      <c r="F690" s="42" t="s">
        <v>966</v>
      </c>
      <c r="G690" s="42" t="s">
        <v>30</v>
      </c>
      <c r="H690" s="90" t="s">
        <v>965</v>
      </c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</row>
    <row r="691" ht="40.5" customHeight="1">
      <c r="A691" s="42" t="s">
        <v>25</v>
      </c>
      <c r="B691" s="42" t="s">
        <v>26</v>
      </c>
      <c r="C691" s="42" t="s">
        <v>27</v>
      </c>
      <c r="D691" s="42" t="s">
        <v>31</v>
      </c>
      <c r="E691" s="42">
        <v>2081202.0</v>
      </c>
      <c r="F691" s="42" t="s">
        <v>966</v>
      </c>
      <c r="G691" s="42" t="s">
        <v>30</v>
      </c>
      <c r="H691" s="90" t="s">
        <v>965</v>
      </c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</row>
    <row r="692" ht="40.5" customHeight="1">
      <c r="A692" s="42" t="s">
        <v>25</v>
      </c>
      <c r="B692" s="42" t="s">
        <v>26</v>
      </c>
      <c r="C692" s="42" t="s">
        <v>27</v>
      </c>
      <c r="D692" s="42" t="s">
        <v>32</v>
      </c>
      <c r="E692" s="42">
        <v>6020917.0</v>
      </c>
      <c r="F692" s="42" t="s">
        <v>796</v>
      </c>
      <c r="G692" s="42" t="s">
        <v>32</v>
      </c>
      <c r="H692" s="90" t="s">
        <v>965</v>
      </c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</row>
    <row r="693" ht="40.5" customHeight="1">
      <c r="A693" s="42" t="s">
        <v>25</v>
      </c>
      <c r="B693" s="42" t="s">
        <v>26</v>
      </c>
      <c r="C693" s="42" t="s">
        <v>27</v>
      </c>
      <c r="D693" s="42" t="s">
        <v>33</v>
      </c>
      <c r="E693" s="42">
        <v>2027356.0</v>
      </c>
      <c r="F693" s="42" t="s">
        <v>967</v>
      </c>
      <c r="G693" s="42" t="s">
        <v>33</v>
      </c>
      <c r="H693" s="90" t="s">
        <v>965</v>
      </c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</row>
    <row r="694" ht="40.5" customHeight="1">
      <c r="A694" s="42" t="s">
        <v>25</v>
      </c>
      <c r="B694" s="42" t="s">
        <v>26</v>
      </c>
      <c r="C694" s="42" t="s">
        <v>27</v>
      </c>
      <c r="D694" s="42" t="s">
        <v>34</v>
      </c>
      <c r="E694" s="42">
        <v>2082594.0</v>
      </c>
      <c r="F694" s="42" t="s">
        <v>968</v>
      </c>
      <c r="G694" s="42" t="s">
        <v>34</v>
      </c>
      <c r="H694" s="90" t="s">
        <v>965</v>
      </c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</row>
    <row r="695" ht="40.5" customHeight="1">
      <c r="A695" s="42" t="s">
        <v>35</v>
      </c>
      <c r="B695" s="42" t="s">
        <v>26</v>
      </c>
      <c r="C695" s="42" t="s">
        <v>36</v>
      </c>
      <c r="D695" s="42" t="s">
        <v>37</v>
      </c>
      <c r="E695" s="42">
        <v>6451098.0</v>
      </c>
      <c r="F695" s="42" t="s">
        <v>969</v>
      </c>
      <c r="G695" s="42" t="s">
        <v>37</v>
      </c>
      <c r="H695" s="90" t="s">
        <v>965</v>
      </c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</row>
    <row r="696" ht="40.5" customHeight="1">
      <c r="A696" s="42" t="s">
        <v>35</v>
      </c>
      <c r="B696" s="42" t="s">
        <v>26</v>
      </c>
      <c r="C696" s="42" t="s">
        <v>36</v>
      </c>
      <c r="D696" s="42" t="s">
        <v>38</v>
      </c>
      <c r="E696" s="42">
        <v>2080052.0</v>
      </c>
      <c r="F696" s="42" t="s">
        <v>970</v>
      </c>
      <c r="G696" s="42" t="s">
        <v>43</v>
      </c>
      <c r="H696" s="90" t="s">
        <v>965</v>
      </c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</row>
    <row r="697" ht="40.5" customHeight="1">
      <c r="A697" s="42" t="s">
        <v>35</v>
      </c>
      <c r="B697" s="42" t="s">
        <v>26</v>
      </c>
      <c r="C697" s="42" t="s">
        <v>36</v>
      </c>
      <c r="D697" s="42" t="s">
        <v>39</v>
      </c>
      <c r="E697" s="42">
        <v>2080079.0</v>
      </c>
      <c r="F697" s="42" t="s">
        <v>971</v>
      </c>
      <c r="G697" s="42" t="s">
        <v>39</v>
      </c>
      <c r="H697" s="90" t="s">
        <v>965</v>
      </c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</row>
    <row r="698" ht="40.5" customHeight="1">
      <c r="A698" s="42" t="s">
        <v>35</v>
      </c>
      <c r="B698" s="42" t="s">
        <v>26</v>
      </c>
      <c r="C698" s="42" t="s">
        <v>36</v>
      </c>
      <c r="D698" s="42" t="s">
        <v>40</v>
      </c>
      <c r="E698" s="42">
        <v>2773333.0</v>
      </c>
      <c r="F698" s="42" t="s">
        <v>972</v>
      </c>
      <c r="G698" s="42" t="s">
        <v>40</v>
      </c>
      <c r="H698" s="90" t="s">
        <v>965</v>
      </c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</row>
    <row r="699" ht="40.5" customHeight="1">
      <c r="A699" s="42" t="s">
        <v>35</v>
      </c>
      <c r="B699" s="42" t="s">
        <v>26</v>
      </c>
      <c r="C699" s="42" t="s">
        <v>36</v>
      </c>
      <c r="D699" s="42" t="s">
        <v>41</v>
      </c>
      <c r="E699" s="42">
        <v>5200105.0</v>
      </c>
      <c r="F699" s="42" t="s">
        <v>973</v>
      </c>
      <c r="G699" s="42" t="s">
        <v>41</v>
      </c>
      <c r="H699" s="90" t="s">
        <v>965</v>
      </c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</row>
    <row r="700" ht="40.5" customHeight="1">
      <c r="A700" s="42" t="s">
        <v>35</v>
      </c>
      <c r="B700" s="42" t="s">
        <v>26</v>
      </c>
      <c r="C700" s="42" t="s">
        <v>36</v>
      </c>
      <c r="D700" s="42" t="s">
        <v>41</v>
      </c>
      <c r="E700" s="42">
        <v>2040069.0</v>
      </c>
      <c r="F700" s="42" t="s">
        <v>974</v>
      </c>
      <c r="G700" s="42" t="s">
        <v>41</v>
      </c>
      <c r="H700" s="90" t="s">
        <v>965</v>
      </c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</row>
    <row r="701" ht="40.5" customHeight="1">
      <c r="A701" s="42" t="s">
        <v>35</v>
      </c>
      <c r="B701" s="42" t="s">
        <v>26</v>
      </c>
      <c r="C701" s="42" t="s">
        <v>36</v>
      </c>
      <c r="D701" s="42" t="s">
        <v>41</v>
      </c>
      <c r="E701" s="42">
        <v>2080338.0</v>
      </c>
      <c r="F701" s="42" t="s">
        <v>975</v>
      </c>
      <c r="G701" s="42" t="s">
        <v>41</v>
      </c>
      <c r="H701" s="90" t="s">
        <v>965</v>
      </c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</row>
    <row r="702" ht="40.5" customHeight="1">
      <c r="A702" s="42" t="s">
        <v>35</v>
      </c>
      <c r="B702" s="42" t="s">
        <v>26</v>
      </c>
      <c r="C702" s="42" t="s">
        <v>36</v>
      </c>
      <c r="D702" s="42" t="s">
        <v>42</v>
      </c>
      <c r="E702" s="42">
        <v>2078562.0</v>
      </c>
      <c r="F702" s="42" t="s">
        <v>976</v>
      </c>
      <c r="G702" s="42" t="s">
        <v>42</v>
      </c>
      <c r="H702" s="90" t="s">
        <v>965</v>
      </c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</row>
    <row r="703" ht="40.5" customHeight="1">
      <c r="A703" s="42" t="s">
        <v>35</v>
      </c>
      <c r="B703" s="42" t="s">
        <v>26</v>
      </c>
      <c r="C703" s="42" t="s">
        <v>36</v>
      </c>
      <c r="D703" s="42" t="s">
        <v>43</v>
      </c>
      <c r="E703" s="42">
        <v>2080052.0</v>
      </c>
      <c r="F703" s="42" t="s">
        <v>970</v>
      </c>
      <c r="G703" s="42" t="s">
        <v>43</v>
      </c>
      <c r="H703" s="90" t="s">
        <v>965</v>
      </c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</row>
    <row r="704" ht="40.5" customHeight="1">
      <c r="A704" s="42" t="s">
        <v>35</v>
      </c>
      <c r="B704" s="42" t="s">
        <v>26</v>
      </c>
      <c r="C704" s="42" t="s">
        <v>36</v>
      </c>
      <c r="D704" s="103" t="s">
        <v>44</v>
      </c>
      <c r="E704" s="42">
        <v>2080079.0</v>
      </c>
      <c r="F704" s="42" t="s">
        <v>971</v>
      </c>
      <c r="G704" s="42" t="s">
        <v>39</v>
      </c>
      <c r="H704" s="90" t="s">
        <v>965</v>
      </c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</row>
    <row r="705" ht="40.5" customHeight="1">
      <c r="A705" s="42" t="s">
        <v>35</v>
      </c>
      <c r="B705" s="42" t="s">
        <v>26</v>
      </c>
      <c r="C705" s="42" t="s">
        <v>36</v>
      </c>
      <c r="D705" s="42" t="s">
        <v>45</v>
      </c>
      <c r="E705" s="42">
        <v>2080052.0</v>
      </c>
      <c r="F705" s="42" t="s">
        <v>970</v>
      </c>
      <c r="G705" s="42" t="s">
        <v>43</v>
      </c>
      <c r="H705" s="90" t="s">
        <v>965</v>
      </c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</row>
    <row r="706" ht="40.5" customHeight="1">
      <c r="A706" s="42" t="s">
        <v>35</v>
      </c>
      <c r="B706" s="42" t="s">
        <v>26</v>
      </c>
      <c r="C706" s="42" t="s">
        <v>36</v>
      </c>
      <c r="D706" s="42" t="s">
        <v>46</v>
      </c>
      <c r="E706" s="42">
        <v>2083140.0</v>
      </c>
      <c r="F706" s="42" t="s">
        <v>977</v>
      </c>
      <c r="G706" s="42" t="s">
        <v>46</v>
      </c>
      <c r="H706" s="90" t="s">
        <v>965</v>
      </c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</row>
    <row r="707" ht="40.5" customHeight="1">
      <c r="A707" s="42" t="s">
        <v>35</v>
      </c>
      <c r="B707" s="42" t="s">
        <v>26</v>
      </c>
      <c r="C707" s="42" t="s">
        <v>36</v>
      </c>
      <c r="D707" s="42" t="s">
        <v>47</v>
      </c>
      <c r="E707" s="42">
        <v>2079860.0</v>
      </c>
      <c r="F707" s="42" t="s">
        <v>978</v>
      </c>
      <c r="G707" s="42" t="s">
        <v>47</v>
      </c>
      <c r="H707" s="90" t="s">
        <v>965</v>
      </c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</row>
    <row r="708" ht="40.5" customHeight="1">
      <c r="A708" s="42" t="s">
        <v>48</v>
      </c>
      <c r="B708" s="26" t="s">
        <v>26</v>
      </c>
      <c r="C708" s="26" t="s">
        <v>49</v>
      </c>
      <c r="D708" s="26" t="s">
        <v>50</v>
      </c>
      <c r="E708" s="26">
        <v>7580770.0</v>
      </c>
      <c r="F708" s="26" t="s">
        <v>979</v>
      </c>
      <c r="G708" s="26" t="s">
        <v>50</v>
      </c>
      <c r="H708" s="90" t="s">
        <v>965</v>
      </c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</row>
    <row r="709" ht="40.5" customHeight="1">
      <c r="A709" s="42" t="s">
        <v>48</v>
      </c>
      <c r="B709" s="26" t="s">
        <v>26</v>
      </c>
      <c r="C709" s="26" t="s">
        <v>49</v>
      </c>
      <c r="D709" s="26" t="s">
        <v>51</v>
      </c>
      <c r="E709" s="26">
        <v>2096196.0</v>
      </c>
      <c r="F709" s="26" t="s">
        <v>980</v>
      </c>
      <c r="G709" s="26" t="s">
        <v>51</v>
      </c>
      <c r="H709" s="90" t="s">
        <v>965</v>
      </c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</row>
    <row r="710" ht="40.5" customHeight="1">
      <c r="A710" s="42" t="s">
        <v>48</v>
      </c>
      <c r="B710" s="26" t="s">
        <v>26</v>
      </c>
      <c r="C710" s="26" t="s">
        <v>49</v>
      </c>
      <c r="D710" s="26" t="s">
        <v>52</v>
      </c>
      <c r="E710" s="26">
        <v>2083876.0</v>
      </c>
      <c r="F710" s="26" t="s">
        <v>981</v>
      </c>
      <c r="G710" s="26" t="s">
        <v>52</v>
      </c>
      <c r="H710" s="90" t="s">
        <v>965</v>
      </c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</row>
    <row r="711" ht="40.5" customHeight="1">
      <c r="A711" s="42" t="s">
        <v>48</v>
      </c>
      <c r="B711" s="26" t="s">
        <v>26</v>
      </c>
      <c r="C711" s="26" t="s">
        <v>49</v>
      </c>
      <c r="D711" s="26" t="s">
        <v>49</v>
      </c>
      <c r="E711" s="26">
        <v>7580770.0</v>
      </c>
      <c r="F711" s="26" t="s">
        <v>979</v>
      </c>
      <c r="G711" s="26" t="s">
        <v>50</v>
      </c>
      <c r="H711" s="90" t="s">
        <v>965</v>
      </c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</row>
    <row r="712" ht="40.5" customHeight="1">
      <c r="A712" s="42" t="s">
        <v>48</v>
      </c>
      <c r="B712" s="26" t="s">
        <v>26</v>
      </c>
      <c r="C712" s="26" t="s">
        <v>49</v>
      </c>
      <c r="D712" s="26" t="s">
        <v>53</v>
      </c>
      <c r="E712" s="26">
        <v>7580770.0</v>
      </c>
      <c r="F712" s="26" t="s">
        <v>979</v>
      </c>
      <c r="G712" s="26" t="s">
        <v>50</v>
      </c>
      <c r="H712" s="90" t="s">
        <v>965</v>
      </c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</row>
    <row r="713" ht="40.5" customHeight="1">
      <c r="A713" s="42" t="s">
        <v>54</v>
      </c>
      <c r="B713" s="50" t="s">
        <v>26</v>
      </c>
      <c r="C713" s="50" t="s">
        <v>55</v>
      </c>
      <c r="D713" s="50" t="s">
        <v>56</v>
      </c>
      <c r="E713" s="50">
        <v>2792141.0</v>
      </c>
      <c r="F713" s="50" t="s">
        <v>982</v>
      </c>
      <c r="G713" s="50" t="s">
        <v>56</v>
      </c>
      <c r="H713" s="90" t="s">
        <v>965</v>
      </c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</row>
    <row r="714" ht="40.5" customHeight="1">
      <c r="A714" s="42" t="s">
        <v>54</v>
      </c>
      <c r="B714" s="50" t="s">
        <v>26</v>
      </c>
      <c r="C714" s="50" t="s">
        <v>55</v>
      </c>
      <c r="D714" s="50" t="s">
        <v>57</v>
      </c>
      <c r="E714" s="50">
        <v>2077078.0</v>
      </c>
      <c r="F714" s="50" t="s">
        <v>983</v>
      </c>
      <c r="G714" s="50" t="s">
        <v>834</v>
      </c>
      <c r="H714" s="90" t="s">
        <v>965</v>
      </c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</row>
    <row r="715" ht="40.5" customHeight="1">
      <c r="A715" s="42" t="s">
        <v>54</v>
      </c>
      <c r="B715" s="50" t="s">
        <v>26</v>
      </c>
      <c r="C715" s="50" t="s">
        <v>55</v>
      </c>
      <c r="D715" s="50" t="s">
        <v>57</v>
      </c>
      <c r="E715" s="50">
        <v>2079828.0</v>
      </c>
      <c r="F715" s="50" t="s">
        <v>984</v>
      </c>
      <c r="G715" s="50" t="s">
        <v>62</v>
      </c>
      <c r="H715" s="90" t="s">
        <v>965</v>
      </c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</row>
    <row r="716" ht="40.5" customHeight="1">
      <c r="A716" s="42" t="s">
        <v>54</v>
      </c>
      <c r="B716" s="50" t="s">
        <v>26</v>
      </c>
      <c r="C716" s="50" t="s">
        <v>55</v>
      </c>
      <c r="D716" s="50" t="s">
        <v>58</v>
      </c>
      <c r="E716" s="50">
        <v>2086271.0</v>
      </c>
      <c r="F716" s="50" t="s">
        <v>985</v>
      </c>
      <c r="G716" s="50" t="s">
        <v>59</v>
      </c>
      <c r="H716" s="90" t="s">
        <v>965</v>
      </c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</row>
    <row r="717" ht="40.5" customHeight="1">
      <c r="A717" s="42" t="s">
        <v>54</v>
      </c>
      <c r="B717" s="50" t="s">
        <v>26</v>
      </c>
      <c r="C717" s="50" t="s">
        <v>55</v>
      </c>
      <c r="D717" s="50" t="s">
        <v>58</v>
      </c>
      <c r="E717" s="50">
        <v>2792176.0</v>
      </c>
      <c r="F717" s="50" t="s">
        <v>835</v>
      </c>
      <c r="G717" s="50" t="s">
        <v>59</v>
      </c>
      <c r="H717" s="90" t="s">
        <v>965</v>
      </c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</row>
    <row r="718" ht="40.5" customHeight="1">
      <c r="A718" s="42" t="s">
        <v>54</v>
      </c>
      <c r="B718" s="50" t="s">
        <v>26</v>
      </c>
      <c r="C718" s="50" t="s">
        <v>55</v>
      </c>
      <c r="D718" s="50" t="s">
        <v>59</v>
      </c>
      <c r="E718" s="50">
        <v>2086271.0</v>
      </c>
      <c r="F718" s="50" t="s">
        <v>985</v>
      </c>
      <c r="G718" s="50" t="s">
        <v>59</v>
      </c>
      <c r="H718" s="90" t="s">
        <v>965</v>
      </c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</row>
    <row r="719" ht="40.5" customHeight="1">
      <c r="A719" s="42" t="s">
        <v>54</v>
      </c>
      <c r="B719" s="50" t="s">
        <v>26</v>
      </c>
      <c r="C719" s="50" t="s">
        <v>55</v>
      </c>
      <c r="D719" s="50" t="s">
        <v>59</v>
      </c>
      <c r="E719" s="50">
        <v>2792176.0</v>
      </c>
      <c r="F719" s="50" t="s">
        <v>835</v>
      </c>
      <c r="G719" s="50" t="s">
        <v>59</v>
      </c>
      <c r="H719" s="90" t="s">
        <v>965</v>
      </c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</row>
    <row r="720" ht="40.5" customHeight="1">
      <c r="A720" s="42" t="s">
        <v>54</v>
      </c>
      <c r="B720" s="50" t="s">
        <v>26</v>
      </c>
      <c r="C720" s="50" t="s">
        <v>55</v>
      </c>
      <c r="D720" s="50" t="s">
        <v>60</v>
      </c>
      <c r="E720" s="50">
        <v>2086271.0</v>
      </c>
      <c r="F720" s="50" t="s">
        <v>985</v>
      </c>
      <c r="G720" s="50" t="s">
        <v>59</v>
      </c>
      <c r="H720" s="90" t="s">
        <v>965</v>
      </c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</row>
    <row r="721" ht="40.5" customHeight="1">
      <c r="A721" s="42" t="s">
        <v>54</v>
      </c>
      <c r="B721" s="50" t="s">
        <v>26</v>
      </c>
      <c r="C721" s="50" t="s">
        <v>55</v>
      </c>
      <c r="D721" s="50" t="s">
        <v>60</v>
      </c>
      <c r="E721" s="50">
        <v>2792176.0</v>
      </c>
      <c r="F721" s="50" t="s">
        <v>835</v>
      </c>
      <c r="G721" s="50" t="s">
        <v>59</v>
      </c>
      <c r="H721" s="90" t="s">
        <v>965</v>
      </c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</row>
    <row r="722" ht="40.5" customHeight="1">
      <c r="A722" s="42" t="s">
        <v>54</v>
      </c>
      <c r="B722" s="50" t="s">
        <v>26</v>
      </c>
      <c r="C722" s="50" t="s">
        <v>55</v>
      </c>
      <c r="D722" s="50" t="s">
        <v>61</v>
      </c>
      <c r="E722" s="50">
        <v>2086271.0</v>
      </c>
      <c r="F722" s="50" t="s">
        <v>985</v>
      </c>
      <c r="G722" s="50" t="s">
        <v>59</v>
      </c>
      <c r="H722" s="90" t="s">
        <v>965</v>
      </c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</row>
    <row r="723" ht="40.5" customHeight="1">
      <c r="A723" s="42" t="s">
        <v>54</v>
      </c>
      <c r="B723" s="50" t="s">
        <v>26</v>
      </c>
      <c r="C723" s="50" t="s">
        <v>55</v>
      </c>
      <c r="D723" s="50" t="s">
        <v>61</v>
      </c>
      <c r="E723" s="50">
        <v>2792176.0</v>
      </c>
      <c r="F723" s="50" t="s">
        <v>835</v>
      </c>
      <c r="G723" s="50" t="s">
        <v>59</v>
      </c>
      <c r="H723" s="90" t="s">
        <v>965</v>
      </c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</row>
    <row r="724" ht="40.5" customHeight="1">
      <c r="A724" s="42" t="s">
        <v>54</v>
      </c>
      <c r="B724" s="50" t="s">
        <v>26</v>
      </c>
      <c r="C724" s="50" t="s">
        <v>55</v>
      </c>
      <c r="D724" s="50" t="s">
        <v>62</v>
      </c>
      <c r="E724" s="50">
        <v>2785188.0</v>
      </c>
      <c r="F724" s="50" t="s">
        <v>986</v>
      </c>
      <c r="G724" s="50" t="s">
        <v>987</v>
      </c>
      <c r="H724" s="90" t="s">
        <v>965</v>
      </c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</row>
    <row r="725" ht="40.5" customHeight="1">
      <c r="A725" s="42" t="s">
        <v>54</v>
      </c>
      <c r="B725" s="50" t="s">
        <v>26</v>
      </c>
      <c r="C725" s="50" t="s">
        <v>55</v>
      </c>
      <c r="D725" s="50" t="s">
        <v>62</v>
      </c>
      <c r="E725" s="50">
        <v>2079828.0</v>
      </c>
      <c r="F725" s="50" t="s">
        <v>984</v>
      </c>
      <c r="G725" s="50" t="s">
        <v>987</v>
      </c>
      <c r="H725" s="90" t="s">
        <v>965</v>
      </c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</row>
    <row r="726" ht="40.5" customHeight="1">
      <c r="A726" s="42" t="s">
        <v>54</v>
      </c>
      <c r="B726" s="50" t="s">
        <v>26</v>
      </c>
      <c r="C726" s="50" t="s">
        <v>55</v>
      </c>
      <c r="D726" s="50" t="s">
        <v>63</v>
      </c>
      <c r="E726" s="50">
        <v>2792141.0</v>
      </c>
      <c r="F726" s="50" t="s">
        <v>982</v>
      </c>
      <c r="G726" s="50" t="s">
        <v>56</v>
      </c>
      <c r="H726" s="90" t="s">
        <v>965</v>
      </c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</row>
    <row r="727" ht="40.5" customHeight="1">
      <c r="A727" s="42" t="s">
        <v>64</v>
      </c>
      <c r="B727" s="42" t="s">
        <v>26</v>
      </c>
      <c r="C727" s="42" t="s">
        <v>65</v>
      </c>
      <c r="D727" s="42" t="s">
        <v>66</v>
      </c>
      <c r="E727" s="42">
        <v>2082209.0</v>
      </c>
      <c r="F727" s="42" t="s">
        <v>988</v>
      </c>
      <c r="G727" s="42" t="s">
        <v>66</v>
      </c>
      <c r="H727" s="90" t="s">
        <v>965</v>
      </c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</row>
    <row r="728" ht="40.5" customHeight="1">
      <c r="A728" s="42" t="s">
        <v>64</v>
      </c>
      <c r="B728" s="42" t="s">
        <v>26</v>
      </c>
      <c r="C728" s="42" t="s">
        <v>65</v>
      </c>
      <c r="D728" s="42" t="s">
        <v>67</v>
      </c>
      <c r="E728" s="42">
        <v>2792168.0</v>
      </c>
      <c r="F728" s="42" t="s">
        <v>840</v>
      </c>
      <c r="G728" s="42" t="s">
        <v>67</v>
      </c>
      <c r="H728" s="90" t="s">
        <v>965</v>
      </c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</row>
    <row r="729" ht="40.5" customHeight="1">
      <c r="A729" s="42" t="s">
        <v>64</v>
      </c>
      <c r="B729" s="42" t="s">
        <v>26</v>
      </c>
      <c r="C729" s="42" t="s">
        <v>65</v>
      </c>
      <c r="D729" s="42" t="s">
        <v>68</v>
      </c>
      <c r="E729" s="42">
        <v>2078104.0</v>
      </c>
      <c r="F729" s="42" t="s">
        <v>989</v>
      </c>
      <c r="G729" s="42" t="s">
        <v>68</v>
      </c>
      <c r="H729" s="90" t="s">
        <v>965</v>
      </c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</row>
    <row r="730" ht="40.5" customHeight="1">
      <c r="A730" s="42" t="s">
        <v>64</v>
      </c>
      <c r="B730" s="42" t="s">
        <v>26</v>
      </c>
      <c r="C730" s="42" t="s">
        <v>65</v>
      </c>
      <c r="D730" s="42" t="s">
        <v>69</v>
      </c>
      <c r="E730" s="42">
        <v>2078104.0</v>
      </c>
      <c r="F730" s="42" t="s">
        <v>989</v>
      </c>
      <c r="G730" s="42" t="s">
        <v>68</v>
      </c>
      <c r="H730" s="90" t="s">
        <v>965</v>
      </c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</row>
    <row r="731" ht="40.5" customHeight="1">
      <c r="A731" s="42" t="s">
        <v>64</v>
      </c>
      <c r="B731" s="42" t="s">
        <v>26</v>
      </c>
      <c r="C731" s="42" t="s">
        <v>65</v>
      </c>
      <c r="D731" s="42" t="s">
        <v>70</v>
      </c>
      <c r="E731" s="92" t="s">
        <v>990</v>
      </c>
      <c r="F731" s="42" t="s">
        <v>991</v>
      </c>
      <c r="G731" s="42" t="s">
        <v>70</v>
      </c>
      <c r="H731" s="90" t="s">
        <v>965</v>
      </c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</row>
    <row r="732" ht="40.5" customHeight="1">
      <c r="A732" s="42" t="s">
        <v>64</v>
      </c>
      <c r="B732" s="42" t="s">
        <v>26</v>
      </c>
      <c r="C732" s="42" t="s">
        <v>65</v>
      </c>
      <c r="D732" s="42" t="s">
        <v>71</v>
      </c>
      <c r="E732" s="42">
        <v>2078104.0</v>
      </c>
      <c r="F732" s="42" t="s">
        <v>989</v>
      </c>
      <c r="G732" s="42" t="s">
        <v>68</v>
      </c>
      <c r="H732" s="90" t="s">
        <v>965</v>
      </c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</row>
    <row r="733" ht="40.5" customHeight="1">
      <c r="A733" s="42" t="s">
        <v>64</v>
      </c>
      <c r="B733" s="42" t="s">
        <v>26</v>
      </c>
      <c r="C733" s="42" t="s">
        <v>65</v>
      </c>
      <c r="D733" s="42" t="s">
        <v>72</v>
      </c>
      <c r="E733" s="42">
        <v>2072513.0</v>
      </c>
      <c r="F733" s="42" t="s">
        <v>992</v>
      </c>
      <c r="G733" s="42" t="s">
        <v>72</v>
      </c>
      <c r="H733" s="90" t="s">
        <v>965</v>
      </c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</row>
    <row r="734" ht="40.5" customHeight="1">
      <c r="A734" s="42" t="s">
        <v>73</v>
      </c>
      <c r="B734" s="34" t="s">
        <v>74</v>
      </c>
      <c r="C734" s="34" t="s">
        <v>74</v>
      </c>
      <c r="D734" s="34" t="s">
        <v>75</v>
      </c>
      <c r="E734" s="34">
        <v>2083272.0</v>
      </c>
      <c r="F734" s="34" t="s">
        <v>993</v>
      </c>
      <c r="G734" s="34" t="s">
        <v>75</v>
      </c>
      <c r="H734" s="90" t="s">
        <v>965</v>
      </c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</row>
    <row r="735" ht="40.5" customHeight="1">
      <c r="A735" s="42" t="s">
        <v>73</v>
      </c>
      <c r="B735" s="34" t="s">
        <v>74</v>
      </c>
      <c r="C735" s="34" t="s">
        <v>74</v>
      </c>
      <c r="D735" s="34" t="s">
        <v>76</v>
      </c>
      <c r="E735" s="34">
        <v>2078473.0</v>
      </c>
      <c r="F735" s="34" t="s">
        <v>994</v>
      </c>
      <c r="G735" s="34" t="s">
        <v>76</v>
      </c>
      <c r="H735" s="90" t="s">
        <v>965</v>
      </c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</row>
    <row r="736" ht="40.5" customHeight="1">
      <c r="A736" s="42" t="s">
        <v>73</v>
      </c>
      <c r="B736" s="34" t="s">
        <v>74</v>
      </c>
      <c r="C736" s="34" t="s">
        <v>74</v>
      </c>
      <c r="D736" s="34" t="s">
        <v>77</v>
      </c>
      <c r="E736" s="34">
        <v>2754843.0</v>
      </c>
      <c r="F736" s="34" t="s">
        <v>995</v>
      </c>
      <c r="G736" s="34" t="s">
        <v>77</v>
      </c>
      <c r="H736" s="90" t="s">
        <v>965</v>
      </c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</row>
    <row r="737" ht="40.5" customHeight="1">
      <c r="A737" s="42" t="s">
        <v>73</v>
      </c>
      <c r="B737" s="34" t="s">
        <v>74</v>
      </c>
      <c r="C737" s="34" t="s">
        <v>74</v>
      </c>
      <c r="D737" s="34" t="s">
        <v>78</v>
      </c>
      <c r="E737" s="34">
        <v>2087804.0</v>
      </c>
      <c r="F737" s="34" t="s">
        <v>996</v>
      </c>
      <c r="G737" s="34" t="s">
        <v>78</v>
      </c>
      <c r="H737" s="90" t="s">
        <v>965</v>
      </c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</row>
    <row r="738" ht="40.5" customHeight="1">
      <c r="A738" s="42" t="s">
        <v>73</v>
      </c>
      <c r="B738" s="34" t="s">
        <v>74</v>
      </c>
      <c r="C738" s="34" t="s">
        <v>74</v>
      </c>
      <c r="D738" s="34" t="s">
        <v>79</v>
      </c>
      <c r="E738" s="34">
        <v>2087804.0</v>
      </c>
      <c r="F738" s="34" t="s">
        <v>996</v>
      </c>
      <c r="G738" s="34" t="s">
        <v>78</v>
      </c>
      <c r="H738" s="90" t="s">
        <v>965</v>
      </c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</row>
    <row r="739" ht="40.5" customHeight="1">
      <c r="A739" s="42" t="s">
        <v>73</v>
      </c>
      <c r="B739" s="34" t="s">
        <v>74</v>
      </c>
      <c r="C739" s="34" t="s">
        <v>74</v>
      </c>
      <c r="D739" s="34" t="s">
        <v>80</v>
      </c>
      <c r="E739" s="34">
        <v>2087324.0</v>
      </c>
      <c r="F739" s="34" t="s">
        <v>997</v>
      </c>
      <c r="G739" s="34" t="s">
        <v>80</v>
      </c>
      <c r="H739" s="90" t="s">
        <v>965</v>
      </c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</row>
    <row r="740" ht="40.5" customHeight="1">
      <c r="A740" s="42" t="s">
        <v>73</v>
      </c>
      <c r="B740" s="34" t="s">
        <v>74</v>
      </c>
      <c r="C740" s="34" t="s">
        <v>74</v>
      </c>
      <c r="D740" s="34" t="s">
        <v>81</v>
      </c>
      <c r="E740" s="34">
        <v>2716097.0</v>
      </c>
      <c r="F740" s="34" t="s">
        <v>998</v>
      </c>
      <c r="G740" s="34" t="s">
        <v>81</v>
      </c>
      <c r="H740" s="90" t="s">
        <v>965</v>
      </c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</row>
    <row r="741" ht="40.5" customHeight="1">
      <c r="A741" s="42" t="s">
        <v>73</v>
      </c>
      <c r="B741" s="34" t="s">
        <v>74</v>
      </c>
      <c r="C741" s="34" t="s">
        <v>74</v>
      </c>
      <c r="D741" s="34" t="s">
        <v>82</v>
      </c>
      <c r="E741" s="34">
        <v>2698463.0</v>
      </c>
      <c r="F741" s="34" t="s">
        <v>999</v>
      </c>
      <c r="G741" s="34" t="s">
        <v>82</v>
      </c>
      <c r="H741" s="90" t="s">
        <v>965</v>
      </c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</row>
    <row r="742" ht="40.5" customHeight="1">
      <c r="A742" s="42" t="s">
        <v>73</v>
      </c>
      <c r="B742" s="34" t="s">
        <v>74</v>
      </c>
      <c r="C742" s="34" t="s">
        <v>74</v>
      </c>
      <c r="D742" s="34" t="s">
        <v>83</v>
      </c>
      <c r="E742" s="34">
        <v>6966594.0</v>
      </c>
      <c r="F742" s="34" t="s">
        <v>1000</v>
      </c>
      <c r="G742" s="34" t="s">
        <v>83</v>
      </c>
      <c r="H742" s="90" t="s">
        <v>965</v>
      </c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</row>
    <row r="743" ht="40.5" customHeight="1">
      <c r="A743" s="42" t="s">
        <v>100</v>
      </c>
      <c r="B743" s="42" t="s">
        <v>84</v>
      </c>
      <c r="C743" s="50" t="s">
        <v>85</v>
      </c>
      <c r="D743" s="50" t="s">
        <v>86</v>
      </c>
      <c r="E743" s="50">
        <v>2077434.0</v>
      </c>
      <c r="F743" s="50" t="s">
        <v>859</v>
      </c>
      <c r="G743" s="50" t="s">
        <v>97</v>
      </c>
      <c r="H743" s="90" t="s">
        <v>965</v>
      </c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</row>
    <row r="744" ht="40.5" customHeight="1">
      <c r="A744" s="42" t="s">
        <v>100</v>
      </c>
      <c r="B744" s="42" t="s">
        <v>84</v>
      </c>
      <c r="C744" s="50" t="s">
        <v>85</v>
      </c>
      <c r="D744" s="50" t="s">
        <v>87</v>
      </c>
      <c r="E744" s="50">
        <v>2077434.0</v>
      </c>
      <c r="F744" s="50" t="s">
        <v>859</v>
      </c>
      <c r="G744" s="50" t="s">
        <v>97</v>
      </c>
      <c r="H744" s="90" t="s">
        <v>965</v>
      </c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</row>
    <row r="745" ht="40.5" customHeight="1">
      <c r="A745" s="42" t="s">
        <v>100</v>
      </c>
      <c r="B745" s="42" t="s">
        <v>84</v>
      </c>
      <c r="C745" s="50" t="s">
        <v>85</v>
      </c>
      <c r="D745" s="50" t="s">
        <v>860</v>
      </c>
      <c r="E745" s="50">
        <v>2077434.0</v>
      </c>
      <c r="F745" s="50" t="s">
        <v>859</v>
      </c>
      <c r="G745" s="50" t="s">
        <v>97</v>
      </c>
      <c r="H745" s="90" t="s">
        <v>965</v>
      </c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</row>
    <row r="746" ht="40.5" customHeight="1">
      <c r="A746" s="42" t="s">
        <v>100</v>
      </c>
      <c r="B746" s="42" t="s">
        <v>84</v>
      </c>
      <c r="C746" s="50" t="s">
        <v>85</v>
      </c>
      <c r="D746" s="50" t="s">
        <v>89</v>
      </c>
      <c r="E746" s="50">
        <v>2077434.0</v>
      </c>
      <c r="F746" s="50" t="s">
        <v>859</v>
      </c>
      <c r="G746" s="50" t="s">
        <v>97</v>
      </c>
      <c r="H746" s="90" t="s">
        <v>965</v>
      </c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</row>
    <row r="747" ht="40.5" customHeight="1">
      <c r="A747" s="42" t="s">
        <v>100</v>
      </c>
      <c r="B747" s="42" t="s">
        <v>84</v>
      </c>
      <c r="C747" s="50" t="s">
        <v>85</v>
      </c>
      <c r="D747" s="50" t="s">
        <v>90</v>
      </c>
      <c r="E747" s="50">
        <v>2077434.0</v>
      </c>
      <c r="F747" s="50" t="s">
        <v>859</v>
      </c>
      <c r="G747" s="50" t="s">
        <v>97</v>
      </c>
      <c r="H747" s="90" t="s">
        <v>965</v>
      </c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</row>
    <row r="748" ht="40.5" customHeight="1">
      <c r="A748" s="42" t="s">
        <v>100</v>
      </c>
      <c r="B748" s="42" t="s">
        <v>84</v>
      </c>
      <c r="C748" s="50" t="s">
        <v>85</v>
      </c>
      <c r="D748" s="50" t="s">
        <v>91</v>
      </c>
      <c r="E748" s="50">
        <v>2077434.0</v>
      </c>
      <c r="F748" s="50" t="s">
        <v>859</v>
      </c>
      <c r="G748" s="50" t="s">
        <v>97</v>
      </c>
      <c r="H748" s="90" t="s">
        <v>965</v>
      </c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</row>
    <row r="749" ht="40.5" customHeight="1">
      <c r="A749" s="42" t="s">
        <v>100</v>
      </c>
      <c r="B749" s="42" t="s">
        <v>84</v>
      </c>
      <c r="C749" s="50" t="s">
        <v>85</v>
      </c>
      <c r="D749" s="50" t="s">
        <v>92</v>
      </c>
      <c r="E749" s="50">
        <v>2077434.0</v>
      </c>
      <c r="F749" s="50" t="s">
        <v>859</v>
      </c>
      <c r="G749" s="50" t="s">
        <v>97</v>
      </c>
      <c r="H749" s="90" t="s">
        <v>965</v>
      </c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</row>
    <row r="750" ht="40.5" customHeight="1">
      <c r="A750" s="42" t="s">
        <v>100</v>
      </c>
      <c r="B750" s="42" t="s">
        <v>84</v>
      </c>
      <c r="C750" s="50" t="s">
        <v>85</v>
      </c>
      <c r="D750" s="50" t="s">
        <v>93</v>
      </c>
      <c r="E750" s="50">
        <v>2087324.0</v>
      </c>
      <c r="F750" s="50" t="s">
        <v>1001</v>
      </c>
      <c r="G750" s="50" t="s">
        <v>80</v>
      </c>
      <c r="H750" s="90" t="s">
        <v>965</v>
      </c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</row>
    <row r="751" ht="40.5" customHeight="1">
      <c r="A751" s="42" t="s">
        <v>100</v>
      </c>
      <c r="B751" s="42" t="s">
        <v>84</v>
      </c>
      <c r="C751" s="50" t="s">
        <v>85</v>
      </c>
      <c r="D751" s="50" t="s">
        <v>94</v>
      </c>
      <c r="E751" s="50">
        <v>2077434.0</v>
      </c>
      <c r="F751" s="50" t="s">
        <v>859</v>
      </c>
      <c r="G751" s="50" t="s">
        <v>97</v>
      </c>
      <c r="H751" s="90" t="s">
        <v>965</v>
      </c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</row>
    <row r="752" ht="40.5" customHeight="1">
      <c r="A752" s="42" t="s">
        <v>100</v>
      </c>
      <c r="B752" s="42" t="s">
        <v>84</v>
      </c>
      <c r="C752" s="50" t="s">
        <v>85</v>
      </c>
      <c r="D752" s="50" t="s">
        <v>861</v>
      </c>
      <c r="E752" s="50">
        <v>2079593.0</v>
      </c>
      <c r="F752" s="50" t="s">
        <v>1002</v>
      </c>
      <c r="G752" s="50" t="s">
        <v>84</v>
      </c>
      <c r="H752" s="90" t="s">
        <v>965</v>
      </c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</row>
    <row r="753" ht="40.5" customHeight="1">
      <c r="A753" s="42" t="s">
        <v>100</v>
      </c>
      <c r="B753" s="42" t="s">
        <v>84</v>
      </c>
      <c r="C753" s="50" t="s">
        <v>85</v>
      </c>
      <c r="D753" s="50" t="s">
        <v>96</v>
      </c>
      <c r="E753" s="50">
        <v>2079593.0</v>
      </c>
      <c r="F753" s="50" t="s">
        <v>1002</v>
      </c>
      <c r="G753" s="50" t="s">
        <v>84</v>
      </c>
      <c r="H753" s="90" t="s">
        <v>965</v>
      </c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</row>
    <row r="754" ht="40.5" customHeight="1">
      <c r="A754" s="42" t="s">
        <v>100</v>
      </c>
      <c r="B754" s="42" t="s">
        <v>84</v>
      </c>
      <c r="C754" s="50" t="s">
        <v>85</v>
      </c>
      <c r="D754" s="50" t="s">
        <v>97</v>
      </c>
      <c r="E754" s="50">
        <v>2077434.0</v>
      </c>
      <c r="F754" s="50" t="s">
        <v>859</v>
      </c>
      <c r="G754" s="50" t="s">
        <v>97</v>
      </c>
      <c r="H754" s="90" t="s">
        <v>965</v>
      </c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</row>
    <row r="755" ht="40.5" customHeight="1">
      <c r="A755" s="42" t="s">
        <v>100</v>
      </c>
      <c r="B755" s="42" t="s">
        <v>84</v>
      </c>
      <c r="C755" s="50" t="s">
        <v>85</v>
      </c>
      <c r="D755" s="50" t="s">
        <v>98</v>
      </c>
      <c r="E755" s="50">
        <v>2087324.0</v>
      </c>
      <c r="F755" s="50" t="s">
        <v>1001</v>
      </c>
      <c r="G755" s="50" t="s">
        <v>80</v>
      </c>
      <c r="H755" s="90" t="s">
        <v>965</v>
      </c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</row>
    <row r="756" ht="40.5" customHeight="1">
      <c r="A756" s="42" t="s">
        <v>100</v>
      </c>
      <c r="B756" s="42" t="s">
        <v>84</v>
      </c>
      <c r="C756" s="50" t="s">
        <v>85</v>
      </c>
      <c r="D756" s="50" t="s">
        <v>84</v>
      </c>
      <c r="E756" s="50">
        <v>2079593.0</v>
      </c>
      <c r="F756" s="50" t="s">
        <v>1002</v>
      </c>
      <c r="G756" s="50" t="s">
        <v>84</v>
      </c>
      <c r="H756" s="90" t="s">
        <v>965</v>
      </c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</row>
    <row r="757" ht="40.5" customHeight="1">
      <c r="A757" s="42" t="s">
        <v>100</v>
      </c>
      <c r="B757" s="42" t="s">
        <v>84</v>
      </c>
      <c r="C757" s="50" t="s">
        <v>85</v>
      </c>
      <c r="D757" s="50" t="s">
        <v>99</v>
      </c>
      <c r="E757" s="50">
        <v>2079593.0</v>
      </c>
      <c r="F757" s="50" t="s">
        <v>1002</v>
      </c>
      <c r="G757" s="50" t="s">
        <v>84</v>
      </c>
      <c r="H757" s="90" t="s">
        <v>965</v>
      </c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</row>
    <row r="758" ht="40.5" customHeight="1">
      <c r="A758" s="90" t="s">
        <v>150</v>
      </c>
      <c r="B758" s="96" t="s">
        <v>151</v>
      </c>
      <c r="C758" s="96" t="s">
        <v>151</v>
      </c>
      <c r="D758" s="96" t="s">
        <v>152</v>
      </c>
      <c r="E758" s="96">
        <v>2774720.0</v>
      </c>
      <c r="F758" s="96" t="s">
        <v>1003</v>
      </c>
      <c r="G758" s="96" t="s">
        <v>152</v>
      </c>
      <c r="H758" s="90" t="s">
        <v>965</v>
      </c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</row>
    <row r="759" ht="40.5" customHeight="1">
      <c r="A759" s="90" t="s">
        <v>150</v>
      </c>
      <c r="B759" s="96" t="s">
        <v>151</v>
      </c>
      <c r="C759" s="96" t="s">
        <v>151</v>
      </c>
      <c r="D759" s="96" t="s">
        <v>153</v>
      </c>
      <c r="E759" s="96">
        <v>2791668.0</v>
      </c>
      <c r="F759" s="96" t="s">
        <v>1004</v>
      </c>
      <c r="G759" s="96" t="s">
        <v>153</v>
      </c>
      <c r="H759" s="90" t="s">
        <v>965</v>
      </c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</row>
    <row r="760" ht="40.5" customHeight="1">
      <c r="A760" s="90" t="s">
        <v>150</v>
      </c>
      <c r="B760" s="96" t="s">
        <v>151</v>
      </c>
      <c r="C760" s="96" t="s">
        <v>151</v>
      </c>
      <c r="D760" s="96" t="s">
        <v>154</v>
      </c>
      <c r="E760" s="96">
        <v>2790580.0</v>
      </c>
      <c r="F760" s="96" t="s">
        <v>1005</v>
      </c>
      <c r="G760" s="96" t="s">
        <v>151</v>
      </c>
      <c r="H760" s="90" t="s">
        <v>965</v>
      </c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</row>
    <row r="761" ht="40.5" customHeight="1">
      <c r="A761" s="90" t="s">
        <v>150</v>
      </c>
      <c r="B761" s="96" t="s">
        <v>151</v>
      </c>
      <c r="C761" s="96" t="s">
        <v>151</v>
      </c>
      <c r="D761" s="96" t="s">
        <v>155</v>
      </c>
      <c r="E761" s="96">
        <v>2790580.0</v>
      </c>
      <c r="F761" s="96" t="s">
        <v>1005</v>
      </c>
      <c r="G761" s="96" t="s">
        <v>151</v>
      </c>
      <c r="H761" s="90" t="s">
        <v>965</v>
      </c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</row>
    <row r="762" ht="40.5" customHeight="1">
      <c r="A762" s="90" t="s">
        <v>150</v>
      </c>
      <c r="B762" s="96" t="s">
        <v>151</v>
      </c>
      <c r="C762" s="96" t="s">
        <v>151</v>
      </c>
      <c r="D762" s="96" t="s">
        <v>151</v>
      </c>
      <c r="E762" s="96">
        <v>2790580.0</v>
      </c>
      <c r="F762" s="96" t="s">
        <v>1005</v>
      </c>
      <c r="G762" s="96" t="s">
        <v>151</v>
      </c>
      <c r="H762" s="90" t="s">
        <v>965</v>
      </c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</row>
    <row r="763" ht="40.5" customHeight="1">
      <c r="A763" s="90" t="s">
        <v>150</v>
      </c>
      <c r="B763" s="96" t="s">
        <v>151</v>
      </c>
      <c r="C763" s="96" t="s">
        <v>151</v>
      </c>
      <c r="D763" s="96" t="s">
        <v>156</v>
      </c>
      <c r="E763" s="96">
        <v>2774720.0</v>
      </c>
      <c r="F763" s="96" t="s">
        <v>1003</v>
      </c>
      <c r="G763" s="96" t="s">
        <v>152</v>
      </c>
      <c r="H763" s="90" t="s">
        <v>965</v>
      </c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</row>
    <row r="764" ht="40.5" customHeight="1">
      <c r="A764" s="90" t="s">
        <v>150</v>
      </c>
      <c r="B764" s="96" t="s">
        <v>151</v>
      </c>
      <c r="C764" s="96" t="s">
        <v>151</v>
      </c>
      <c r="D764" s="96" t="s">
        <v>157</v>
      </c>
      <c r="E764" s="96">
        <v>2790637.0</v>
      </c>
      <c r="F764" s="96" t="s">
        <v>1006</v>
      </c>
      <c r="G764" s="96" t="s">
        <v>158</v>
      </c>
      <c r="H764" s="90" t="s">
        <v>965</v>
      </c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</row>
    <row r="765" ht="40.5" customHeight="1">
      <c r="A765" s="90" t="s">
        <v>150</v>
      </c>
      <c r="B765" s="96" t="s">
        <v>151</v>
      </c>
      <c r="C765" s="96" t="s">
        <v>151</v>
      </c>
      <c r="D765" s="96" t="s">
        <v>158</v>
      </c>
      <c r="E765" s="96">
        <v>2790637.0</v>
      </c>
      <c r="F765" s="96" t="s">
        <v>1006</v>
      </c>
      <c r="G765" s="96" t="s">
        <v>158</v>
      </c>
      <c r="H765" s="90" t="s">
        <v>965</v>
      </c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</row>
    <row r="766" ht="40.5" customHeight="1">
      <c r="A766" s="90" t="s">
        <v>150</v>
      </c>
      <c r="B766" s="96" t="s">
        <v>151</v>
      </c>
      <c r="C766" s="96" t="s">
        <v>151</v>
      </c>
      <c r="D766" s="96" t="s">
        <v>159</v>
      </c>
      <c r="E766" s="96">
        <v>2791714.0</v>
      </c>
      <c r="F766" s="96" t="s">
        <v>1007</v>
      </c>
      <c r="G766" s="96" t="s">
        <v>159</v>
      </c>
      <c r="H766" s="90" t="s">
        <v>965</v>
      </c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</row>
    <row r="767" ht="40.5" customHeight="1">
      <c r="A767" s="90" t="s">
        <v>150</v>
      </c>
      <c r="B767" s="96" t="s">
        <v>151</v>
      </c>
      <c r="C767" s="96" t="s">
        <v>151</v>
      </c>
      <c r="D767" s="96" t="s">
        <v>160</v>
      </c>
      <c r="E767" s="96">
        <v>2077582.0</v>
      </c>
      <c r="F767" s="96" t="s">
        <v>1008</v>
      </c>
      <c r="G767" s="96" t="s">
        <v>160</v>
      </c>
      <c r="H767" s="90" t="s">
        <v>965</v>
      </c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</row>
    <row r="768" ht="40.5" customHeight="1">
      <c r="A768" s="90" t="s">
        <v>150</v>
      </c>
      <c r="B768" s="96" t="s">
        <v>151</v>
      </c>
      <c r="C768" s="96" t="s">
        <v>151</v>
      </c>
      <c r="D768" s="96" t="s">
        <v>161</v>
      </c>
      <c r="E768" s="96">
        <v>2790637.0</v>
      </c>
      <c r="F768" s="96" t="s">
        <v>1006</v>
      </c>
      <c r="G768" s="96" t="s">
        <v>158</v>
      </c>
      <c r="H768" s="90" t="s">
        <v>965</v>
      </c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</row>
    <row r="769" ht="40.5" customHeight="1">
      <c r="A769" s="90" t="s">
        <v>150</v>
      </c>
      <c r="B769" s="96" t="s">
        <v>151</v>
      </c>
      <c r="C769" s="96" t="s">
        <v>151</v>
      </c>
      <c r="D769" s="96" t="s">
        <v>162</v>
      </c>
      <c r="E769" s="96">
        <v>2082942.0</v>
      </c>
      <c r="F769" s="96" t="s">
        <v>1009</v>
      </c>
      <c r="G769" s="96" t="s">
        <v>162</v>
      </c>
      <c r="H769" s="90" t="s">
        <v>965</v>
      </c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</row>
    <row r="770" ht="40.5" customHeight="1">
      <c r="A770" s="90" t="s">
        <v>150</v>
      </c>
      <c r="B770" s="96" t="s">
        <v>151</v>
      </c>
      <c r="C770" s="96" t="s">
        <v>151</v>
      </c>
      <c r="D770" s="96" t="s">
        <v>163</v>
      </c>
      <c r="E770" s="96">
        <v>2790580.0</v>
      </c>
      <c r="F770" s="96" t="s">
        <v>1005</v>
      </c>
      <c r="G770" s="96" t="s">
        <v>151</v>
      </c>
      <c r="H770" s="90" t="s">
        <v>965</v>
      </c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</row>
    <row r="771" ht="40.5" customHeight="1">
      <c r="A771" s="90" t="s">
        <v>150</v>
      </c>
      <c r="B771" s="96" t="s">
        <v>151</v>
      </c>
      <c r="C771" s="96" t="s">
        <v>151</v>
      </c>
      <c r="D771" s="96" t="s">
        <v>164</v>
      </c>
      <c r="E771" s="96">
        <v>2791749.0</v>
      </c>
      <c r="F771" s="96" t="s">
        <v>1010</v>
      </c>
      <c r="G771" s="96" t="s">
        <v>164</v>
      </c>
      <c r="H771" s="90" t="s">
        <v>965</v>
      </c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</row>
    <row r="772" ht="40.5" customHeight="1">
      <c r="A772" s="90" t="s">
        <v>150</v>
      </c>
      <c r="B772" s="96" t="s">
        <v>151</v>
      </c>
      <c r="C772" s="96" t="s">
        <v>151</v>
      </c>
      <c r="D772" s="96" t="s">
        <v>165</v>
      </c>
      <c r="E772" s="96">
        <v>2080370.0</v>
      </c>
      <c r="F772" s="96" t="s">
        <v>1011</v>
      </c>
      <c r="G772" s="96" t="s">
        <v>165</v>
      </c>
      <c r="H772" s="90" t="s">
        <v>965</v>
      </c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</row>
    <row r="773" ht="40.5" customHeight="1">
      <c r="A773" s="90" t="s">
        <v>150</v>
      </c>
      <c r="B773" s="96" t="s">
        <v>151</v>
      </c>
      <c r="C773" s="96" t="s">
        <v>151</v>
      </c>
      <c r="D773" s="96" t="s">
        <v>166</v>
      </c>
      <c r="E773" s="96">
        <v>2790580.0</v>
      </c>
      <c r="F773" s="96" t="s">
        <v>1005</v>
      </c>
      <c r="G773" s="96" t="s">
        <v>151</v>
      </c>
      <c r="H773" s="90" t="s">
        <v>965</v>
      </c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</row>
    <row r="774" ht="40.5" customHeight="1">
      <c r="A774" s="90" t="s">
        <v>150</v>
      </c>
      <c r="B774" s="96" t="s">
        <v>151</v>
      </c>
      <c r="C774" s="96" t="s">
        <v>151</v>
      </c>
      <c r="D774" s="96" t="s">
        <v>167</v>
      </c>
      <c r="E774" s="96">
        <v>2790580.0</v>
      </c>
      <c r="F774" s="96" t="s">
        <v>1005</v>
      </c>
      <c r="G774" s="96" t="s">
        <v>151</v>
      </c>
      <c r="H774" s="90" t="s">
        <v>965</v>
      </c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</row>
    <row r="775" ht="40.5" customHeight="1">
      <c r="A775" s="90" t="s">
        <v>150</v>
      </c>
      <c r="B775" s="96" t="s">
        <v>151</v>
      </c>
      <c r="C775" s="96" t="s">
        <v>151</v>
      </c>
      <c r="D775" s="96" t="s">
        <v>168</v>
      </c>
      <c r="E775" s="96">
        <v>2790580.0</v>
      </c>
      <c r="F775" s="96" t="s">
        <v>1005</v>
      </c>
      <c r="G775" s="96" t="s">
        <v>151</v>
      </c>
      <c r="H775" s="90" t="s">
        <v>965</v>
      </c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</row>
    <row r="776" ht="40.5" customHeight="1">
      <c r="A776" s="90" t="s">
        <v>150</v>
      </c>
      <c r="B776" s="96" t="s">
        <v>151</v>
      </c>
      <c r="C776" s="96" t="s">
        <v>169</v>
      </c>
      <c r="D776" s="96" t="s">
        <v>170</v>
      </c>
      <c r="E776" s="96">
        <v>2791676.0</v>
      </c>
      <c r="F776" s="96" t="s">
        <v>1012</v>
      </c>
      <c r="G776" s="96" t="s">
        <v>170</v>
      </c>
      <c r="H776" s="90" t="s">
        <v>965</v>
      </c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</row>
    <row r="777" ht="40.5" customHeight="1">
      <c r="A777" s="90" t="s">
        <v>150</v>
      </c>
      <c r="B777" s="96" t="s">
        <v>151</v>
      </c>
      <c r="C777" s="96" t="s">
        <v>169</v>
      </c>
      <c r="D777" s="96" t="s">
        <v>171</v>
      </c>
      <c r="E777" s="96">
        <v>2082632.0</v>
      </c>
      <c r="F777" s="96" t="s">
        <v>1013</v>
      </c>
      <c r="G777" s="96" t="s">
        <v>171</v>
      </c>
      <c r="H777" s="90" t="s">
        <v>965</v>
      </c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</row>
    <row r="778" ht="40.5" customHeight="1">
      <c r="A778" s="90" t="s">
        <v>150</v>
      </c>
      <c r="B778" s="96" t="s">
        <v>151</v>
      </c>
      <c r="C778" s="96" t="s">
        <v>169</v>
      </c>
      <c r="D778" s="96" t="s">
        <v>172</v>
      </c>
      <c r="E778" s="96">
        <v>2791722.0</v>
      </c>
      <c r="F778" s="96" t="s">
        <v>1014</v>
      </c>
      <c r="G778" s="96" t="s">
        <v>169</v>
      </c>
      <c r="H778" s="90" t="s">
        <v>965</v>
      </c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</row>
    <row r="779" ht="40.5" customHeight="1">
      <c r="A779" s="90" t="s">
        <v>150</v>
      </c>
      <c r="B779" s="96" t="s">
        <v>151</v>
      </c>
      <c r="C779" s="96" t="s">
        <v>169</v>
      </c>
      <c r="D779" s="96" t="s">
        <v>173</v>
      </c>
      <c r="E779" s="96">
        <v>2791676.0</v>
      </c>
      <c r="F779" s="96" t="s">
        <v>1012</v>
      </c>
      <c r="G779" s="96" t="s">
        <v>170</v>
      </c>
      <c r="H779" s="90" t="s">
        <v>965</v>
      </c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</row>
    <row r="780" ht="40.5" customHeight="1">
      <c r="A780" s="90" t="s">
        <v>150</v>
      </c>
      <c r="B780" s="96" t="s">
        <v>151</v>
      </c>
      <c r="C780" s="96" t="s">
        <v>169</v>
      </c>
      <c r="D780" s="96" t="s">
        <v>174</v>
      </c>
      <c r="E780" s="96">
        <v>2081784.0</v>
      </c>
      <c r="F780" s="96" t="s">
        <v>1015</v>
      </c>
      <c r="G780" s="96" t="s">
        <v>174</v>
      </c>
      <c r="H780" s="90" t="s">
        <v>965</v>
      </c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</row>
    <row r="781" ht="40.5" customHeight="1">
      <c r="A781" s="90" t="s">
        <v>150</v>
      </c>
      <c r="B781" s="96" t="s">
        <v>151</v>
      </c>
      <c r="C781" s="96" t="s">
        <v>169</v>
      </c>
      <c r="D781" s="96" t="s">
        <v>175</v>
      </c>
      <c r="E781" s="96">
        <v>2791692.0</v>
      </c>
      <c r="F781" s="96" t="s">
        <v>1016</v>
      </c>
      <c r="G781" s="96" t="s">
        <v>175</v>
      </c>
      <c r="H781" s="90" t="s">
        <v>965</v>
      </c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</row>
    <row r="782" ht="40.5" customHeight="1">
      <c r="A782" s="90" t="s">
        <v>150</v>
      </c>
      <c r="B782" s="96" t="s">
        <v>151</v>
      </c>
      <c r="C782" s="96" t="s">
        <v>169</v>
      </c>
      <c r="D782" s="96" t="s">
        <v>176</v>
      </c>
      <c r="E782" s="96">
        <v>2082632.0</v>
      </c>
      <c r="F782" s="96" t="s">
        <v>1013</v>
      </c>
      <c r="G782" s="96" t="s">
        <v>171</v>
      </c>
      <c r="H782" s="90" t="s">
        <v>965</v>
      </c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</row>
    <row r="783" ht="40.5" customHeight="1">
      <c r="A783" s="90" t="s">
        <v>150</v>
      </c>
      <c r="B783" s="96" t="s">
        <v>151</v>
      </c>
      <c r="C783" s="96" t="s">
        <v>169</v>
      </c>
      <c r="D783" s="96" t="s">
        <v>177</v>
      </c>
      <c r="E783" s="96">
        <v>2791676.0</v>
      </c>
      <c r="F783" s="96" t="s">
        <v>1012</v>
      </c>
      <c r="G783" s="96" t="s">
        <v>170</v>
      </c>
      <c r="H783" s="90" t="s">
        <v>965</v>
      </c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</row>
    <row r="784" ht="40.5" customHeight="1">
      <c r="A784" s="90" t="s">
        <v>150</v>
      </c>
      <c r="B784" s="96" t="s">
        <v>151</v>
      </c>
      <c r="C784" s="96" t="s">
        <v>169</v>
      </c>
      <c r="D784" s="96" t="s">
        <v>178</v>
      </c>
      <c r="E784" s="96">
        <v>2791722.0</v>
      </c>
      <c r="F784" s="96" t="s">
        <v>1014</v>
      </c>
      <c r="G784" s="96" t="s">
        <v>169</v>
      </c>
      <c r="H784" s="90" t="s">
        <v>965</v>
      </c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</row>
    <row r="785" ht="40.5" customHeight="1">
      <c r="A785" s="90" t="s">
        <v>150</v>
      </c>
      <c r="B785" s="96" t="s">
        <v>151</v>
      </c>
      <c r="C785" s="96" t="s">
        <v>169</v>
      </c>
      <c r="D785" s="96" t="s">
        <v>169</v>
      </c>
      <c r="E785" s="96">
        <v>2791722.0</v>
      </c>
      <c r="F785" s="96" t="s">
        <v>1014</v>
      </c>
      <c r="G785" s="96" t="s">
        <v>169</v>
      </c>
      <c r="H785" s="90" t="s">
        <v>965</v>
      </c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</row>
    <row r="786" ht="40.5" customHeight="1">
      <c r="A786" s="90" t="s">
        <v>150</v>
      </c>
      <c r="B786" s="96" t="s">
        <v>151</v>
      </c>
      <c r="C786" s="96" t="s">
        <v>169</v>
      </c>
      <c r="D786" s="96" t="s">
        <v>179</v>
      </c>
      <c r="E786" s="96">
        <v>2791722.0</v>
      </c>
      <c r="F786" s="96" t="s">
        <v>1014</v>
      </c>
      <c r="G786" s="96" t="s">
        <v>169</v>
      </c>
      <c r="H786" s="90" t="s">
        <v>965</v>
      </c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</row>
    <row r="787" ht="40.5" customHeight="1">
      <c r="A787" s="90" t="s">
        <v>150</v>
      </c>
      <c r="B787" s="96" t="s">
        <v>151</v>
      </c>
      <c r="C787" s="96" t="s">
        <v>169</v>
      </c>
      <c r="D787" s="96" t="s">
        <v>180</v>
      </c>
      <c r="E787" s="96">
        <v>2791722.0</v>
      </c>
      <c r="F787" s="96" t="s">
        <v>1014</v>
      </c>
      <c r="G787" s="96" t="s">
        <v>169</v>
      </c>
      <c r="H787" s="90" t="s">
        <v>965</v>
      </c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</row>
    <row r="788" ht="40.5" customHeight="1">
      <c r="A788" s="90" t="s">
        <v>150</v>
      </c>
      <c r="B788" s="96" t="s">
        <v>151</v>
      </c>
      <c r="C788" s="96" t="s">
        <v>181</v>
      </c>
      <c r="D788" s="96" t="s">
        <v>182</v>
      </c>
      <c r="E788" s="96">
        <v>2791684.0</v>
      </c>
      <c r="F788" s="96" t="s">
        <v>1017</v>
      </c>
      <c r="G788" s="96" t="s">
        <v>182</v>
      </c>
      <c r="H788" s="90" t="s">
        <v>965</v>
      </c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</row>
    <row r="789" ht="40.5" customHeight="1">
      <c r="A789" s="90" t="s">
        <v>150</v>
      </c>
      <c r="B789" s="96" t="s">
        <v>151</v>
      </c>
      <c r="C789" s="96" t="s">
        <v>181</v>
      </c>
      <c r="D789" s="96" t="s">
        <v>183</v>
      </c>
      <c r="E789" s="96">
        <v>2758245.0</v>
      </c>
      <c r="F789" s="96" t="s">
        <v>1018</v>
      </c>
      <c r="G789" s="96" t="s">
        <v>181</v>
      </c>
      <c r="H789" s="90" t="s">
        <v>965</v>
      </c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</row>
    <row r="790" ht="40.5" customHeight="1">
      <c r="A790" s="90" t="s">
        <v>150</v>
      </c>
      <c r="B790" s="96" t="s">
        <v>151</v>
      </c>
      <c r="C790" s="96" t="s">
        <v>181</v>
      </c>
      <c r="D790" s="96" t="s">
        <v>184</v>
      </c>
      <c r="E790" s="96">
        <v>2758245.0</v>
      </c>
      <c r="F790" s="96" t="s">
        <v>1018</v>
      </c>
      <c r="G790" s="96" t="s">
        <v>181</v>
      </c>
      <c r="H790" s="90" t="s">
        <v>965</v>
      </c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</row>
    <row r="791" ht="40.5" customHeight="1">
      <c r="A791" s="90" t="s">
        <v>150</v>
      </c>
      <c r="B791" s="96" t="s">
        <v>151</v>
      </c>
      <c r="C791" s="96" t="s">
        <v>181</v>
      </c>
      <c r="D791" s="96" t="s">
        <v>181</v>
      </c>
      <c r="E791" s="96">
        <v>2758245.0</v>
      </c>
      <c r="F791" s="96" t="s">
        <v>1018</v>
      </c>
      <c r="G791" s="96" t="s">
        <v>181</v>
      </c>
      <c r="H791" s="90" t="s">
        <v>965</v>
      </c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</row>
    <row r="792" ht="40.5" customHeight="1">
      <c r="A792" s="90" t="s">
        <v>150</v>
      </c>
      <c r="B792" s="96" t="s">
        <v>151</v>
      </c>
      <c r="C792" s="96" t="s">
        <v>181</v>
      </c>
      <c r="D792" s="96" t="s">
        <v>185</v>
      </c>
      <c r="E792" s="96">
        <v>2791684.0</v>
      </c>
      <c r="F792" s="96" t="s">
        <v>1017</v>
      </c>
      <c r="G792" s="96" t="s">
        <v>182</v>
      </c>
      <c r="H792" s="90" t="s">
        <v>965</v>
      </c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</row>
    <row r="793" ht="40.5" customHeight="1">
      <c r="A793" s="90" t="s">
        <v>150</v>
      </c>
      <c r="B793" s="96" t="s">
        <v>151</v>
      </c>
      <c r="C793" s="96" t="s">
        <v>181</v>
      </c>
      <c r="D793" s="96" t="s">
        <v>186</v>
      </c>
      <c r="E793" s="96">
        <v>2758245.0</v>
      </c>
      <c r="F793" s="96" t="s">
        <v>1018</v>
      </c>
      <c r="G793" s="96" t="s">
        <v>181</v>
      </c>
      <c r="H793" s="90" t="s">
        <v>965</v>
      </c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</row>
    <row r="794" ht="40.5" customHeight="1">
      <c r="A794" s="90" t="s">
        <v>150</v>
      </c>
      <c r="B794" s="96" t="s">
        <v>151</v>
      </c>
      <c r="C794" s="96" t="s">
        <v>181</v>
      </c>
      <c r="D794" s="96" t="s">
        <v>187</v>
      </c>
      <c r="E794" s="96">
        <v>2758245.0</v>
      </c>
      <c r="F794" s="96" t="s">
        <v>1018</v>
      </c>
      <c r="G794" s="96" t="s">
        <v>181</v>
      </c>
      <c r="H794" s="90" t="s">
        <v>965</v>
      </c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</row>
    <row r="795" ht="40.5" customHeight="1">
      <c r="A795" s="90" t="s">
        <v>150</v>
      </c>
      <c r="B795" s="96" t="s">
        <v>151</v>
      </c>
      <c r="C795" s="96" t="s">
        <v>181</v>
      </c>
      <c r="D795" s="96" t="s">
        <v>188</v>
      </c>
      <c r="E795" s="96">
        <v>2791684.0</v>
      </c>
      <c r="F795" s="96" t="s">
        <v>1017</v>
      </c>
      <c r="G795" s="96" t="s">
        <v>182</v>
      </c>
      <c r="H795" s="90" t="s">
        <v>965</v>
      </c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</row>
    <row r="796" ht="40.5" customHeight="1">
      <c r="A796" s="90" t="s">
        <v>150</v>
      </c>
      <c r="B796" s="96" t="s">
        <v>151</v>
      </c>
      <c r="C796" s="96" t="s">
        <v>189</v>
      </c>
      <c r="D796" s="96" t="s">
        <v>190</v>
      </c>
      <c r="E796" s="96">
        <v>2748223.0</v>
      </c>
      <c r="F796" s="96" t="s">
        <v>865</v>
      </c>
      <c r="G796" s="96" t="s">
        <v>193</v>
      </c>
      <c r="H796" s="90" t="s">
        <v>965</v>
      </c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</row>
    <row r="797" ht="40.5" customHeight="1">
      <c r="A797" s="90" t="s">
        <v>150</v>
      </c>
      <c r="B797" s="96" t="s">
        <v>151</v>
      </c>
      <c r="C797" s="96" t="s">
        <v>189</v>
      </c>
      <c r="D797" s="96" t="s">
        <v>191</v>
      </c>
      <c r="E797" s="96">
        <v>2080443.0</v>
      </c>
      <c r="F797" s="96" t="s">
        <v>1019</v>
      </c>
      <c r="G797" s="96" t="s">
        <v>201</v>
      </c>
      <c r="H797" s="90" t="s">
        <v>965</v>
      </c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</row>
    <row r="798" ht="40.5" customHeight="1">
      <c r="A798" s="90" t="s">
        <v>150</v>
      </c>
      <c r="B798" s="96" t="s">
        <v>151</v>
      </c>
      <c r="C798" s="96" t="s">
        <v>189</v>
      </c>
      <c r="D798" s="96" t="s">
        <v>192</v>
      </c>
      <c r="E798" s="96">
        <v>2748223.0</v>
      </c>
      <c r="F798" s="96" t="s">
        <v>865</v>
      </c>
      <c r="G798" s="96" t="s">
        <v>193</v>
      </c>
      <c r="H798" s="90" t="s">
        <v>965</v>
      </c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</row>
    <row r="799" ht="40.5" customHeight="1">
      <c r="A799" s="90" t="s">
        <v>150</v>
      </c>
      <c r="B799" s="96" t="s">
        <v>151</v>
      </c>
      <c r="C799" s="96" t="s">
        <v>189</v>
      </c>
      <c r="D799" s="96" t="s">
        <v>193</v>
      </c>
      <c r="E799" s="96">
        <v>2748223.0</v>
      </c>
      <c r="F799" s="96" t="s">
        <v>865</v>
      </c>
      <c r="G799" s="96" t="s">
        <v>193</v>
      </c>
      <c r="H799" s="90" t="s">
        <v>965</v>
      </c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</row>
    <row r="800" ht="40.5" customHeight="1">
      <c r="A800" s="90" t="s">
        <v>150</v>
      </c>
      <c r="B800" s="96" t="s">
        <v>151</v>
      </c>
      <c r="C800" s="96" t="s">
        <v>189</v>
      </c>
      <c r="D800" s="96" t="s">
        <v>194</v>
      </c>
      <c r="E800" s="96">
        <v>2079976.0</v>
      </c>
      <c r="F800" s="96" t="s">
        <v>1020</v>
      </c>
      <c r="G800" s="96" t="s">
        <v>196</v>
      </c>
      <c r="H800" s="90" t="s">
        <v>965</v>
      </c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</row>
    <row r="801" ht="40.5" customHeight="1">
      <c r="A801" s="90" t="s">
        <v>150</v>
      </c>
      <c r="B801" s="96" t="s">
        <v>151</v>
      </c>
      <c r="C801" s="96" t="s">
        <v>189</v>
      </c>
      <c r="D801" s="96" t="s">
        <v>195</v>
      </c>
      <c r="E801" s="96">
        <v>2748223.0</v>
      </c>
      <c r="F801" s="96" t="s">
        <v>865</v>
      </c>
      <c r="G801" s="96" t="s">
        <v>193</v>
      </c>
      <c r="H801" s="90" t="s">
        <v>965</v>
      </c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</row>
    <row r="802" ht="40.5" customHeight="1">
      <c r="A802" s="90" t="s">
        <v>150</v>
      </c>
      <c r="B802" s="96" t="s">
        <v>151</v>
      </c>
      <c r="C802" s="96" t="s">
        <v>189</v>
      </c>
      <c r="D802" s="96" t="s">
        <v>196</v>
      </c>
      <c r="E802" s="96">
        <v>2079976.0</v>
      </c>
      <c r="F802" s="96" t="s">
        <v>1020</v>
      </c>
      <c r="G802" s="96" t="s">
        <v>196</v>
      </c>
      <c r="H802" s="90" t="s">
        <v>965</v>
      </c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</row>
    <row r="803" ht="40.5" customHeight="1">
      <c r="A803" s="90" t="s">
        <v>150</v>
      </c>
      <c r="B803" s="96" t="s">
        <v>151</v>
      </c>
      <c r="C803" s="96" t="s">
        <v>189</v>
      </c>
      <c r="D803" s="96" t="s">
        <v>197</v>
      </c>
      <c r="E803" s="96">
        <v>2748223.0</v>
      </c>
      <c r="F803" s="96" t="s">
        <v>865</v>
      </c>
      <c r="G803" s="96" t="s">
        <v>193</v>
      </c>
      <c r="H803" s="90" t="s">
        <v>965</v>
      </c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</row>
    <row r="804" ht="40.5" customHeight="1">
      <c r="A804" s="90" t="s">
        <v>150</v>
      </c>
      <c r="B804" s="96" t="s">
        <v>151</v>
      </c>
      <c r="C804" s="96" t="s">
        <v>189</v>
      </c>
      <c r="D804" s="96" t="s">
        <v>198</v>
      </c>
      <c r="E804" s="96">
        <v>2079976.0</v>
      </c>
      <c r="F804" s="96" t="s">
        <v>1020</v>
      </c>
      <c r="G804" s="96" t="s">
        <v>196</v>
      </c>
      <c r="H804" s="90" t="s">
        <v>965</v>
      </c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</row>
    <row r="805" ht="40.5" customHeight="1">
      <c r="A805" s="90" t="s">
        <v>150</v>
      </c>
      <c r="B805" s="96" t="s">
        <v>151</v>
      </c>
      <c r="C805" s="96" t="s">
        <v>189</v>
      </c>
      <c r="D805" s="96" t="s">
        <v>199</v>
      </c>
      <c r="E805" s="96">
        <v>2748223.0</v>
      </c>
      <c r="F805" s="96" t="s">
        <v>865</v>
      </c>
      <c r="G805" s="96" t="s">
        <v>193</v>
      </c>
      <c r="H805" s="90" t="s">
        <v>965</v>
      </c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</row>
    <row r="806" ht="40.5" customHeight="1">
      <c r="A806" s="90" t="s">
        <v>150</v>
      </c>
      <c r="B806" s="96" t="s">
        <v>151</v>
      </c>
      <c r="C806" s="96" t="s">
        <v>189</v>
      </c>
      <c r="D806" s="96" t="s">
        <v>200</v>
      </c>
      <c r="E806" s="96">
        <v>2080443.0</v>
      </c>
      <c r="F806" s="96" t="s">
        <v>1019</v>
      </c>
      <c r="G806" s="96" t="s">
        <v>201</v>
      </c>
      <c r="H806" s="90" t="s">
        <v>965</v>
      </c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</row>
    <row r="807" ht="40.5" customHeight="1">
      <c r="A807" s="90" t="s">
        <v>150</v>
      </c>
      <c r="B807" s="96" t="s">
        <v>151</v>
      </c>
      <c r="C807" s="96" t="s">
        <v>189</v>
      </c>
      <c r="D807" s="96" t="s">
        <v>201</v>
      </c>
      <c r="E807" s="96">
        <v>2080443.0</v>
      </c>
      <c r="F807" s="96" t="s">
        <v>1019</v>
      </c>
      <c r="G807" s="96" t="s">
        <v>201</v>
      </c>
      <c r="H807" s="90" t="s">
        <v>965</v>
      </c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</row>
    <row r="808" ht="40.5" customHeight="1">
      <c r="A808" s="90" t="s">
        <v>150</v>
      </c>
      <c r="B808" s="96" t="s">
        <v>151</v>
      </c>
      <c r="C808" s="96" t="s">
        <v>189</v>
      </c>
      <c r="D808" s="96" t="s">
        <v>202</v>
      </c>
      <c r="E808" s="96">
        <v>2748223.0</v>
      </c>
      <c r="F808" s="96" t="s">
        <v>865</v>
      </c>
      <c r="G808" s="96" t="s">
        <v>193</v>
      </c>
      <c r="H808" s="90" t="s">
        <v>965</v>
      </c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</row>
    <row r="809" ht="40.5" customHeight="1">
      <c r="A809" s="90" t="s">
        <v>150</v>
      </c>
      <c r="B809" s="96" t="s">
        <v>151</v>
      </c>
      <c r="C809" s="96" t="s">
        <v>203</v>
      </c>
      <c r="D809" s="96" t="s">
        <v>204</v>
      </c>
      <c r="E809" s="96">
        <v>2090333.0</v>
      </c>
      <c r="F809" s="96" t="s">
        <v>1021</v>
      </c>
      <c r="G809" s="96" t="s">
        <v>208</v>
      </c>
      <c r="H809" s="90" t="s">
        <v>965</v>
      </c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</row>
    <row r="810" ht="40.5" customHeight="1">
      <c r="A810" s="90" t="s">
        <v>150</v>
      </c>
      <c r="B810" s="96" t="s">
        <v>151</v>
      </c>
      <c r="C810" s="96" t="s">
        <v>203</v>
      </c>
      <c r="D810" s="96" t="s">
        <v>205</v>
      </c>
      <c r="E810" s="96">
        <v>2083604.0</v>
      </c>
      <c r="F810" s="96" t="s">
        <v>1022</v>
      </c>
      <c r="G810" s="96" t="s">
        <v>206</v>
      </c>
      <c r="H810" s="90" t="s">
        <v>965</v>
      </c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</row>
    <row r="811" ht="40.5" customHeight="1">
      <c r="A811" s="90" t="s">
        <v>150</v>
      </c>
      <c r="B811" s="96" t="s">
        <v>151</v>
      </c>
      <c r="C811" s="96" t="s">
        <v>203</v>
      </c>
      <c r="D811" s="96" t="s">
        <v>206</v>
      </c>
      <c r="E811" s="96">
        <v>2083604.0</v>
      </c>
      <c r="F811" s="96" t="s">
        <v>1022</v>
      </c>
      <c r="G811" s="96" t="s">
        <v>206</v>
      </c>
      <c r="H811" s="90" t="s">
        <v>965</v>
      </c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</row>
    <row r="812" ht="40.5" customHeight="1">
      <c r="A812" s="90" t="s">
        <v>150</v>
      </c>
      <c r="B812" s="96" t="s">
        <v>151</v>
      </c>
      <c r="C812" s="96" t="s">
        <v>203</v>
      </c>
      <c r="D812" s="96" t="s">
        <v>207</v>
      </c>
      <c r="E812" s="96">
        <v>2751674.0</v>
      </c>
      <c r="F812" s="96" t="s">
        <v>1023</v>
      </c>
      <c r="G812" s="96" t="s">
        <v>213</v>
      </c>
      <c r="H812" s="90" t="s">
        <v>965</v>
      </c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</row>
    <row r="813" ht="40.5" customHeight="1">
      <c r="A813" s="90" t="s">
        <v>150</v>
      </c>
      <c r="B813" s="96" t="s">
        <v>151</v>
      </c>
      <c r="C813" s="96" t="s">
        <v>203</v>
      </c>
      <c r="D813" s="96" t="s">
        <v>208</v>
      </c>
      <c r="E813" s="96">
        <v>2090333.0</v>
      </c>
      <c r="F813" s="96" t="s">
        <v>1021</v>
      </c>
      <c r="G813" s="96" t="s">
        <v>208</v>
      </c>
      <c r="H813" s="90" t="s">
        <v>965</v>
      </c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</row>
    <row r="814" ht="40.5" customHeight="1">
      <c r="A814" s="90" t="s">
        <v>150</v>
      </c>
      <c r="B814" s="96" t="s">
        <v>151</v>
      </c>
      <c r="C814" s="96" t="s">
        <v>203</v>
      </c>
      <c r="D814" s="96" t="s">
        <v>209</v>
      </c>
      <c r="E814" s="96">
        <v>2751674.0</v>
      </c>
      <c r="F814" s="96" t="s">
        <v>1023</v>
      </c>
      <c r="G814" s="96" t="s">
        <v>213</v>
      </c>
      <c r="H814" s="90" t="s">
        <v>965</v>
      </c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</row>
    <row r="815" ht="40.5" customHeight="1">
      <c r="A815" s="90" t="s">
        <v>150</v>
      </c>
      <c r="B815" s="96" t="s">
        <v>151</v>
      </c>
      <c r="C815" s="96" t="s">
        <v>203</v>
      </c>
      <c r="D815" s="96" t="s">
        <v>210</v>
      </c>
      <c r="E815" s="96">
        <v>2092638.0</v>
      </c>
      <c r="F815" s="96" t="s">
        <v>1024</v>
      </c>
      <c r="G815" s="96" t="s">
        <v>210</v>
      </c>
      <c r="H815" s="90" t="s">
        <v>965</v>
      </c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</row>
    <row r="816" ht="40.5" customHeight="1">
      <c r="A816" s="90" t="s">
        <v>150</v>
      </c>
      <c r="B816" s="96" t="s">
        <v>151</v>
      </c>
      <c r="C816" s="96" t="s">
        <v>203</v>
      </c>
      <c r="D816" s="96" t="s">
        <v>211</v>
      </c>
      <c r="E816" s="96">
        <v>2090333.0</v>
      </c>
      <c r="F816" s="96" t="s">
        <v>1021</v>
      </c>
      <c r="G816" s="96" t="s">
        <v>208</v>
      </c>
      <c r="H816" s="90" t="s">
        <v>965</v>
      </c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</row>
    <row r="817" ht="40.5" customHeight="1">
      <c r="A817" s="90" t="s">
        <v>150</v>
      </c>
      <c r="B817" s="96" t="s">
        <v>151</v>
      </c>
      <c r="C817" s="96" t="s">
        <v>203</v>
      </c>
      <c r="D817" s="96" t="s">
        <v>212</v>
      </c>
      <c r="E817" s="96">
        <v>2093227.0</v>
      </c>
      <c r="F817" s="96" t="s">
        <v>1025</v>
      </c>
      <c r="G817" s="96" t="s">
        <v>212</v>
      </c>
      <c r="H817" s="90" t="s">
        <v>965</v>
      </c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</row>
    <row r="818" ht="40.5" customHeight="1">
      <c r="A818" s="90" t="s">
        <v>150</v>
      </c>
      <c r="B818" s="96" t="s">
        <v>151</v>
      </c>
      <c r="C818" s="96" t="s">
        <v>203</v>
      </c>
      <c r="D818" s="96" t="s">
        <v>213</v>
      </c>
      <c r="E818" s="96">
        <v>2751674.0</v>
      </c>
      <c r="F818" s="96" t="s">
        <v>1023</v>
      </c>
      <c r="G818" s="96" t="s">
        <v>213</v>
      </c>
      <c r="H818" s="90" t="s">
        <v>965</v>
      </c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</row>
    <row r="819" ht="40.5" customHeight="1">
      <c r="A819" s="90" t="s">
        <v>150</v>
      </c>
      <c r="B819" s="96" t="s">
        <v>151</v>
      </c>
      <c r="C819" s="96" t="s">
        <v>203</v>
      </c>
      <c r="D819" s="96" t="s">
        <v>214</v>
      </c>
      <c r="E819" s="96">
        <v>2090333.0</v>
      </c>
      <c r="F819" s="96" t="s">
        <v>1021</v>
      </c>
      <c r="G819" s="96" t="s">
        <v>208</v>
      </c>
      <c r="H819" s="90" t="s">
        <v>965</v>
      </c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</row>
    <row r="820" ht="40.5" customHeight="1">
      <c r="A820" s="90" t="s">
        <v>150</v>
      </c>
      <c r="B820" s="96" t="s">
        <v>151</v>
      </c>
      <c r="C820" s="96" t="s">
        <v>203</v>
      </c>
      <c r="D820" s="96" t="s">
        <v>215</v>
      </c>
      <c r="E820" s="96">
        <v>6603378.0</v>
      </c>
      <c r="F820" s="96" t="s">
        <v>1026</v>
      </c>
      <c r="G820" s="96" t="s">
        <v>215</v>
      </c>
      <c r="H820" s="90" t="s">
        <v>965</v>
      </c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</row>
    <row r="821" ht="40.5" customHeight="1">
      <c r="A821" s="90" t="s">
        <v>150</v>
      </c>
      <c r="B821" s="96" t="s">
        <v>151</v>
      </c>
      <c r="C821" s="96" t="s">
        <v>203</v>
      </c>
      <c r="D821" s="96" t="s">
        <v>216</v>
      </c>
      <c r="E821" s="96">
        <v>2081350.0</v>
      </c>
      <c r="F821" s="96" t="s">
        <v>1027</v>
      </c>
      <c r="G821" s="96" t="s">
        <v>216</v>
      </c>
      <c r="H821" s="90" t="s">
        <v>965</v>
      </c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</row>
    <row r="822" ht="40.5" customHeight="1">
      <c r="A822" s="90" t="s">
        <v>150</v>
      </c>
      <c r="B822" s="96" t="s">
        <v>151</v>
      </c>
      <c r="C822" s="96" t="s">
        <v>203</v>
      </c>
      <c r="D822" s="96" t="s">
        <v>217</v>
      </c>
      <c r="E822" s="96">
        <v>2081350.0</v>
      </c>
      <c r="F822" s="96" t="s">
        <v>1027</v>
      </c>
      <c r="G822" s="96" t="s">
        <v>216</v>
      </c>
      <c r="H822" s="90" t="s">
        <v>965</v>
      </c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</row>
    <row r="823" ht="40.5" customHeight="1">
      <c r="A823" s="90" t="s">
        <v>150</v>
      </c>
      <c r="B823" s="96" t="s">
        <v>151</v>
      </c>
      <c r="C823" s="96" t="s">
        <v>203</v>
      </c>
      <c r="D823" s="96" t="s">
        <v>218</v>
      </c>
      <c r="E823" s="96">
        <v>2082934.0</v>
      </c>
      <c r="F823" s="96" t="s">
        <v>1028</v>
      </c>
      <c r="G823" s="96" t="s">
        <v>218</v>
      </c>
      <c r="H823" s="90" t="s">
        <v>965</v>
      </c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</row>
    <row r="824" ht="40.5" customHeight="1">
      <c r="A824" s="90" t="s">
        <v>150</v>
      </c>
      <c r="B824" s="96" t="s">
        <v>151</v>
      </c>
      <c r="C824" s="96" t="s">
        <v>203</v>
      </c>
      <c r="D824" s="96" t="s">
        <v>219</v>
      </c>
      <c r="E824" s="96">
        <v>2079879.0</v>
      </c>
      <c r="F824" s="96" t="s">
        <v>1029</v>
      </c>
      <c r="G824" s="96" t="s">
        <v>219</v>
      </c>
      <c r="H824" s="90" t="s">
        <v>965</v>
      </c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</row>
    <row r="825" ht="40.5" customHeight="1">
      <c r="A825" s="90" t="s">
        <v>150</v>
      </c>
      <c r="B825" s="96" t="s">
        <v>151</v>
      </c>
      <c r="C825" s="96" t="s">
        <v>203</v>
      </c>
      <c r="D825" s="96" t="s">
        <v>220</v>
      </c>
      <c r="E825" s="96">
        <v>2081350.0</v>
      </c>
      <c r="F825" s="96" t="s">
        <v>1027</v>
      </c>
      <c r="G825" s="96" t="s">
        <v>216</v>
      </c>
      <c r="H825" s="90" t="s">
        <v>965</v>
      </c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</row>
    <row r="826" ht="40.5" customHeight="1">
      <c r="A826" s="90" t="s">
        <v>221</v>
      </c>
      <c r="B826" s="96" t="s">
        <v>222</v>
      </c>
      <c r="C826" s="96" t="s">
        <v>223</v>
      </c>
      <c r="D826" s="96" t="s">
        <v>223</v>
      </c>
      <c r="E826" s="96">
        <v>2077647.0</v>
      </c>
      <c r="F826" s="96" t="s">
        <v>1030</v>
      </c>
      <c r="G826" s="96" t="s">
        <v>223</v>
      </c>
      <c r="H826" s="90" t="s">
        <v>965</v>
      </c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</row>
    <row r="827" ht="40.5" customHeight="1">
      <c r="A827" s="90" t="s">
        <v>221</v>
      </c>
      <c r="B827" s="96" t="s">
        <v>222</v>
      </c>
      <c r="C827" s="96" t="s">
        <v>223</v>
      </c>
      <c r="D827" s="96" t="s">
        <v>224</v>
      </c>
      <c r="E827" s="96">
        <v>2745402.0</v>
      </c>
      <c r="F827" s="96" t="s">
        <v>1031</v>
      </c>
      <c r="G827" s="96" t="s">
        <v>224</v>
      </c>
      <c r="H827" s="90" t="s">
        <v>965</v>
      </c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</row>
    <row r="828" ht="40.5" customHeight="1">
      <c r="A828" s="90" t="s">
        <v>221</v>
      </c>
      <c r="B828" s="96" t="s">
        <v>222</v>
      </c>
      <c r="C828" s="96" t="s">
        <v>223</v>
      </c>
      <c r="D828" s="96" t="s">
        <v>225</v>
      </c>
      <c r="E828" s="96">
        <v>2077647.0</v>
      </c>
      <c r="F828" s="96" t="s">
        <v>1030</v>
      </c>
      <c r="G828" s="96" t="s">
        <v>223</v>
      </c>
      <c r="H828" s="90" t="s">
        <v>965</v>
      </c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</row>
    <row r="829" ht="40.5" customHeight="1">
      <c r="A829" s="90" t="s">
        <v>221</v>
      </c>
      <c r="B829" s="96" t="s">
        <v>222</v>
      </c>
      <c r="C829" s="96" t="s">
        <v>223</v>
      </c>
      <c r="D829" s="96" t="s">
        <v>226</v>
      </c>
      <c r="E829" s="96">
        <v>2077647.0</v>
      </c>
      <c r="F829" s="96" t="s">
        <v>1030</v>
      </c>
      <c r="G829" s="96" t="s">
        <v>223</v>
      </c>
      <c r="H829" s="90" t="s">
        <v>965</v>
      </c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</row>
    <row r="830" ht="40.5" customHeight="1">
      <c r="A830" s="90" t="s">
        <v>221</v>
      </c>
      <c r="B830" s="96" t="s">
        <v>222</v>
      </c>
      <c r="C830" s="96" t="s">
        <v>223</v>
      </c>
      <c r="D830" s="96" t="s">
        <v>227</v>
      </c>
      <c r="E830" s="96">
        <v>2077647.0</v>
      </c>
      <c r="F830" s="96" t="s">
        <v>1030</v>
      </c>
      <c r="G830" s="96" t="s">
        <v>223</v>
      </c>
      <c r="H830" s="90" t="s">
        <v>965</v>
      </c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</row>
    <row r="831" ht="40.5" customHeight="1">
      <c r="A831" s="90" t="s">
        <v>221</v>
      </c>
      <c r="B831" s="96" t="s">
        <v>222</v>
      </c>
      <c r="C831" s="96" t="s">
        <v>223</v>
      </c>
      <c r="D831" s="96" t="s">
        <v>228</v>
      </c>
      <c r="E831" s="96">
        <v>2082586.0</v>
      </c>
      <c r="F831" s="96" t="s">
        <v>1032</v>
      </c>
      <c r="G831" s="96" t="s">
        <v>228</v>
      </c>
      <c r="H831" s="90" t="s">
        <v>965</v>
      </c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</row>
    <row r="832" ht="40.5" customHeight="1">
      <c r="A832" s="90" t="s">
        <v>221</v>
      </c>
      <c r="B832" s="96" t="s">
        <v>222</v>
      </c>
      <c r="C832" s="96" t="s">
        <v>223</v>
      </c>
      <c r="D832" s="96" t="s">
        <v>229</v>
      </c>
      <c r="E832" s="96">
        <v>2077647.0</v>
      </c>
      <c r="F832" s="96" t="s">
        <v>1030</v>
      </c>
      <c r="G832" s="96" t="s">
        <v>223</v>
      </c>
      <c r="H832" s="90" t="s">
        <v>965</v>
      </c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</row>
    <row r="833" ht="40.5" customHeight="1">
      <c r="A833" s="90" t="s">
        <v>221</v>
      </c>
      <c r="B833" s="96" t="s">
        <v>222</v>
      </c>
      <c r="C833" s="96" t="s">
        <v>223</v>
      </c>
      <c r="D833" s="96" t="s">
        <v>230</v>
      </c>
      <c r="E833" s="96">
        <v>2077647.0</v>
      </c>
      <c r="F833" s="96" t="s">
        <v>1030</v>
      </c>
      <c r="G833" s="96" t="s">
        <v>223</v>
      </c>
      <c r="H833" s="90" t="s">
        <v>965</v>
      </c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</row>
    <row r="834" ht="40.5" customHeight="1">
      <c r="A834" s="90" t="s">
        <v>221</v>
      </c>
      <c r="B834" s="96" t="s">
        <v>222</v>
      </c>
      <c r="C834" s="96" t="s">
        <v>223</v>
      </c>
      <c r="D834" s="96" t="s">
        <v>231</v>
      </c>
      <c r="E834" s="96">
        <v>2082586.0</v>
      </c>
      <c r="F834" s="96" t="s">
        <v>1032</v>
      </c>
      <c r="G834" s="96" t="s">
        <v>228</v>
      </c>
      <c r="H834" s="90" t="s">
        <v>965</v>
      </c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</row>
    <row r="835" ht="40.5" customHeight="1">
      <c r="A835" s="90" t="s">
        <v>221</v>
      </c>
      <c r="B835" s="96" t="s">
        <v>222</v>
      </c>
      <c r="C835" s="96" t="s">
        <v>223</v>
      </c>
      <c r="D835" s="96" t="s">
        <v>232</v>
      </c>
      <c r="E835" s="96">
        <v>2082586.0</v>
      </c>
      <c r="F835" s="96" t="s">
        <v>1032</v>
      </c>
      <c r="G835" s="96" t="s">
        <v>228</v>
      </c>
      <c r="H835" s="90" t="s">
        <v>965</v>
      </c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</row>
    <row r="836" ht="40.5" customHeight="1">
      <c r="A836" s="90" t="s">
        <v>221</v>
      </c>
      <c r="B836" s="96" t="s">
        <v>222</v>
      </c>
      <c r="C836" s="96" t="s">
        <v>233</v>
      </c>
      <c r="D836" s="96" t="s">
        <v>233</v>
      </c>
      <c r="E836" s="96">
        <v>2081083.0</v>
      </c>
      <c r="F836" s="96" t="s">
        <v>1033</v>
      </c>
      <c r="G836" s="96" t="s">
        <v>233</v>
      </c>
      <c r="H836" s="90" t="s">
        <v>965</v>
      </c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</row>
    <row r="837" ht="40.5" customHeight="1">
      <c r="A837" s="90" t="s">
        <v>221</v>
      </c>
      <c r="B837" s="96" t="s">
        <v>222</v>
      </c>
      <c r="C837" s="96" t="s">
        <v>233</v>
      </c>
      <c r="D837" s="96" t="s">
        <v>234</v>
      </c>
      <c r="E837" s="96">
        <v>2082519.0</v>
      </c>
      <c r="F837" s="96" t="s">
        <v>1034</v>
      </c>
      <c r="G837" s="96" t="s">
        <v>241</v>
      </c>
      <c r="H837" s="90" t="s">
        <v>965</v>
      </c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</row>
    <row r="838" ht="40.5" customHeight="1">
      <c r="A838" s="90" t="s">
        <v>221</v>
      </c>
      <c r="B838" s="96" t="s">
        <v>222</v>
      </c>
      <c r="C838" s="96" t="s">
        <v>233</v>
      </c>
      <c r="D838" s="96" t="s">
        <v>235</v>
      </c>
      <c r="E838" s="96">
        <v>2080842.0</v>
      </c>
      <c r="F838" s="96" t="s">
        <v>1035</v>
      </c>
      <c r="G838" s="96" t="s">
        <v>235</v>
      </c>
      <c r="H838" s="90" t="s">
        <v>965</v>
      </c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</row>
    <row r="839" ht="40.5" customHeight="1">
      <c r="A839" s="90" t="s">
        <v>221</v>
      </c>
      <c r="B839" s="96" t="s">
        <v>222</v>
      </c>
      <c r="C839" s="96" t="s">
        <v>233</v>
      </c>
      <c r="D839" s="96" t="s">
        <v>236</v>
      </c>
      <c r="E839" s="96">
        <v>2081083.0</v>
      </c>
      <c r="F839" s="96" t="s">
        <v>1033</v>
      </c>
      <c r="G839" s="96" t="s">
        <v>233</v>
      </c>
      <c r="H839" s="90" t="s">
        <v>965</v>
      </c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</row>
    <row r="840" ht="40.5" customHeight="1">
      <c r="A840" s="90" t="s">
        <v>221</v>
      </c>
      <c r="B840" s="96" t="s">
        <v>222</v>
      </c>
      <c r="C840" s="96" t="s">
        <v>233</v>
      </c>
      <c r="D840" s="96" t="s">
        <v>237</v>
      </c>
      <c r="E840" s="96">
        <v>2081083.0</v>
      </c>
      <c r="F840" s="96" t="s">
        <v>1033</v>
      </c>
      <c r="G840" s="96" t="s">
        <v>233</v>
      </c>
      <c r="H840" s="90" t="s">
        <v>965</v>
      </c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</row>
    <row r="841" ht="40.5" customHeight="1">
      <c r="A841" s="90" t="s">
        <v>221</v>
      </c>
      <c r="B841" s="96" t="s">
        <v>222</v>
      </c>
      <c r="C841" s="96" t="s">
        <v>233</v>
      </c>
      <c r="D841" s="96" t="s">
        <v>238</v>
      </c>
      <c r="E841" s="96">
        <v>2082519.0</v>
      </c>
      <c r="F841" s="96" t="s">
        <v>1034</v>
      </c>
      <c r="G841" s="96" t="s">
        <v>241</v>
      </c>
      <c r="H841" s="90" t="s">
        <v>965</v>
      </c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</row>
    <row r="842" ht="40.5" customHeight="1">
      <c r="A842" s="90" t="s">
        <v>221</v>
      </c>
      <c r="B842" s="96" t="s">
        <v>222</v>
      </c>
      <c r="C842" s="96" t="s">
        <v>233</v>
      </c>
      <c r="D842" s="96" t="s">
        <v>239</v>
      </c>
      <c r="E842" s="96">
        <v>2081083.0</v>
      </c>
      <c r="F842" s="96" t="s">
        <v>1033</v>
      </c>
      <c r="G842" s="96" t="s">
        <v>233</v>
      </c>
      <c r="H842" s="90" t="s">
        <v>965</v>
      </c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</row>
    <row r="843" ht="40.5" customHeight="1">
      <c r="A843" s="90" t="s">
        <v>221</v>
      </c>
      <c r="B843" s="96" t="s">
        <v>222</v>
      </c>
      <c r="C843" s="96" t="s">
        <v>233</v>
      </c>
      <c r="D843" s="96" t="s">
        <v>240</v>
      </c>
      <c r="E843" s="96">
        <v>2080958.0</v>
      </c>
      <c r="F843" s="96" t="s">
        <v>1036</v>
      </c>
      <c r="G843" s="96" t="s">
        <v>240</v>
      </c>
      <c r="H843" s="90" t="s">
        <v>965</v>
      </c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</row>
    <row r="844" ht="40.5" customHeight="1">
      <c r="A844" s="90" t="s">
        <v>221</v>
      </c>
      <c r="B844" s="96" t="s">
        <v>222</v>
      </c>
      <c r="C844" s="96" t="s">
        <v>233</v>
      </c>
      <c r="D844" s="96" t="s">
        <v>241</v>
      </c>
      <c r="E844" s="96">
        <v>2082519.0</v>
      </c>
      <c r="F844" s="96" t="s">
        <v>1034</v>
      </c>
      <c r="G844" s="96" t="s">
        <v>241</v>
      </c>
      <c r="H844" s="90" t="s">
        <v>965</v>
      </c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</row>
    <row r="845" ht="40.5" customHeight="1">
      <c r="A845" s="90" t="s">
        <v>221</v>
      </c>
      <c r="B845" s="96" t="s">
        <v>222</v>
      </c>
      <c r="C845" s="96" t="s">
        <v>233</v>
      </c>
      <c r="D845" s="96" t="s">
        <v>242</v>
      </c>
      <c r="E845" s="96">
        <v>2081083.0</v>
      </c>
      <c r="F845" s="96" t="s">
        <v>1033</v>
      </c>
      <c r="G845" s="96" t="s">
        <v>233</v>
      </c>
      <c r="H845" s="90" t="s">
        <v>965</v>
      </c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</row>
    <row r="846" ht="40.5" customHeight="1">
      <c r="A846" s="90" t="s">
        <v>221</v>
      </c>
      <c r="B846" s="96" t="s">
        <v>222</v>
      </c>
      <c r="C846" s="96" t="s">
        <v>233</v>
      </c>
      <c r="D846" s="96" t="s">
        <v>243</v>
      </c>
      <c r="E846" s="96">
        <v>2081083.0</v>
      </c>
      <c r="F846" s="96" t="s">
        <v>1033</v>
      </c>
      <c r="G846" s="96" t="s">
        <v>233</v>
      </c>
      <c r="H846" s="90" t="s">
        <v>965</v>
      </c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</row>
    <row r="847" ht="40.5" customHeight="1">
      <c r="A847" s="90" t="s">
        <v>221</v>
      </c>
      <c r="B847" s="96" t="s">
        <v>222</v>
      </c>
      <c r="C847" s="96" t="s">
        <v>233</v>
      </c>
      <c r="D847" s="96" t="s">
        <v>244</v>
      </c>
      <c r="E847" s="96">
        <v>2081083.0</v>
      </c>
      <c r="F847" s="96" t="s">
        <v>1033</v>
      </c>
      <c r="G847" s="96" t="s">
        <v>233</v>
      </c>
      <c r="H847" s="90" t="s">
        <v>965</v>
      </c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</row>
    <row r="848" ht="40.5" customHeight="1">
      <c r="A848" s="90" t="s">
        <v>221</v>
      </c>
      <c r="B848" s="96" t="s">
        <v>222</v>
      </c>
      <c r="C848" s="96" t="s">
        <v>222</v>
      </c>
      <c r="D848" s="96" t="s">
        <v>245</v>
      </c>
      <c r="E848" s="96">
        <v>9680500.0</v>
      </c>
      <c r="F848" s="96" t="s">
        <v>1037</v>
      </c>
      <c r="G848" s="96" t="s">
        <v>251</v>
      </c>
      <c r="H848" s="90" t="s">
        <v>965</v>
      </c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</row>
    <row r="849" ht="40.5" customHeight="1">
      <c r="A849" s="90" t="s">
        <v>221</v>
      </c>
      <c r="B849" s="96" t="s">
        <v>222</v>
      </c>
      <c r="C849" s="96" t="s">
        <v>222</v>
      </c>
      <c r="D849" s="96" t="s">
        <v>246</v>
      </c>
      <c r="E849" s="96">
        <v>2086050.0</v>
      </c>
      <c r="F849" s="96" t="s">
        <v>1038</v>
      </c>
      <c r="G849" s="96" t="s">
        <v>222</v>
      </c>
      <c r="H849" s="90" t="s">
        <v>965</v>
      </c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</row>
    <row r="850" ht="40.5" customHeight="1">
      <c r="A850" s="90" t="s">
        <v>221</v>
      </c>
      <c r="B850" s="96" t="s">
        <v>222</v>
      </c>
      <c r="C850" s="96" t="s">
        <v>222</v>
      </c>
      <c r="D850" s="96" t="s">
        <v>247</v>
      </c>
      <c r="E850" s="96">
        <v>2086050.0</v>
      </c>
      <c r="F850" s="96" t="s">
        <v>1038</v>
      </c>
      <c r="G850" s="96" t="s">
        <v>222</v>
      </c>
      <c r="H850" s="90" t="s">
        <v>965</v>
      </c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</row>
    <row r="851" ht="40.5" customHeight="1">
      <c r="A851" s="90" t="s">
        <v>221</v>
      </c>
      <c r="B851" s="96" t="s">
        <v>222</v>
      </c>
      <c r="C851" s="96" t="s">
        <v>222</v>
      </c>
      <c r="D851" s="96" t="s">
        <v>248</v>
      </c>
      <c r="E851" s="96">
        <v>2086050.0</v>
      </c>
      <c r="F851" s="96" t="s">
        <v>1038</v>
      </c>
      <c r="G851" s="96" t="s">
        <v>222</v>
      </c>
      <c r="H851" s="90" t="s">
        <v>965</v>
      </c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</row>
    <row r="852" ht="40.5" customHeight="1">
      <c r="A852" s="90" t="s">
        <v>221</v>
      </c>
      <c r="B852" s="96" t="s">
        <v>222</v>
      </c>
      <c r="C852" s="96" t="s">
        <v>222</v>
      </c>
      <c r="D852" s="96" t="s">
        <v>249</v>
      </c>
      <c r="E852" s="96">
        <v>2086050.0</v>
      </c>
      <c r="F852" s="96" t="s">
        <v>1038</v>
      </c>
      <c r="G852" s="96" t="s">
        <v>222</v>
      </c>
      <c r="H852" s="90" t="s">
        <v>965</v>
      </c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</row>
    <row r="853" ht="40.5" customHeight="1">
      <c r="A853" s="90" t="s">
        <v>221</v>
      </c>
      <c r="B853" s="96" t="s">
        <v>222</v>
      </c>
      <c r="C853" s="96" t="s">
        <v>222</v>
      </c>
      <c r="D853" s="96" t="s">
        <v>250</v>
      </c>
      <c r="E853" s="96">
        <v>9680500.0</v>
      </c>
      <c r="F853" s="96" t="s">
        <v>1037</v>
      </c>
      <c r="G853" s="96" t="s">
        <v>251</v>
      </c>
      <c r="H853" s="90" t="s">
        <v>965</v>
      </c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</row>
    <row r="854" ht="40.5" customHeight="1">
      <c r="A854" s="90" t="s">
        <v>221</v>
      </c>
      <c r="B854" s="96" t="s">
        <v>222</v>
      </c>
      <c r="C854" s="96" t="s">
        <v>222</v>
      </c>
      <c r="D854" s="96" t="s">
        <v>251</v>
      </c>
      <c r="E854" s="96">
        <v>9680500.0</v>
      </c>
      <c r="F854" s="96" t="s">
        <v>1037</v>
      </c>
      <c r="G854" s="96" t="s">
        <v>251</v>
      </c>
      <c r="H854" s="90" t="s">
        <v>965</v>
      </c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</row>
    <row r="855" ht="40.5" customHeight="1">
      <c r="A855" s="90" t="s">
        <v>221</v>
      </c>
      <c r="B855" s="96" t="s">
        <v>222</v>
      </c>
      <c r="C855" s="96" t="s">
        <v>222</v>
      </c>
      <c r="D855" s="96" t="s">
        <v>252</v>
      </c>
      <c r="E855" s="96">
        <v>2086050.0</v>
      </c>
      <c r="F855" s="96" t="s">
        <v>1038</v>
      </c>
      <c r="G855" s="96" t="s">
        <v>222</v>
      </c>
      <c r="H855" s="90" t="s">
        <v>965</v>
      </c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</row>
    <row r="856" ht="40.5" customHeight="1">
      <c r="A856" s="90" t="s">
        <v>221</v>
      </c>
      <c r="B856" s="96" t="s">
        <v>222</v>
      </c>
      <c r="C856" s="96" t="s">
        <v>222</v>
      </c>
      <c r="D856" s="96" t="s">
        <v>253</v>
      </c>
      <c r="E856" s="96">
        <v>2086050.0</v>
      </c>
      <c r="F856" s="96" t="s">
        <v>1038</v>
      </c>
      <c r="G856" s="96" t="s">
        <v>222</v>
      </c>
      <c r="H856" s="90" t="s">
        <v>965</v>
      </c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</row>
    <row r="857" ht="40.5" customHeight="1">
      <c r="A857" s="90" t="s">
        <v>221</v>
      </c>
      <c r="B857" s="96" t="s">
        <v>222</v>
      </c>
      <c r="C857" s="96" t="s">
        <v>222</v>
      </c>
      <c r="D857" s="96" t="s">
        <v>254</v>
      </c>
      <c r="E857" s="96">
        <v>2086050.0</v>
      </c>
      <c r="F857" s="96" t="s">
        <v>1038</v>
      </c>
      <c r="G857" s="96" t="s">
        <v>222</v>
      </c>
      <c r="H857" s="90" t="s">
        <v>965</v>
      </c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</row>
    <row r="858" ht="40.5" customHeight="1">
      <c r="A858" s="90" t="s">
        <v>221</v>
      </c>
      <c r="B858" s="96" t="s">
        <v>222</v>
      </c>
      <c r="C858" s="96" t="s">
        <v>222</v>
      </c>
      <c r="D858" s="96" t="s">
        <v>255</v>
      </c>
      <c r="E858" s="96">
        <v>2086050.0</v>
      </c>
      <c r="F858" s="96" t="s">
        <v>1038</v>
      </c>
      <c r="G858" s="96" t="s">
        <v>222</v>
      </c>
      <c r="H858" s="90" t="s">
        <v>965</v>
      </c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</row>
    <row r="859" ht="40.5" customHeight="1">
      <c r="A859" s="90" t="s">
        <v>221</v>
      </c>
      <c r="B859" s="96" t="s">
        <v>222</v>
      </c>
      <c r="C859" s="96" t="s">
        <v>222</v>
      </c>
      <c r="D859" s="96" t="s">
        <v>222</v>
      </c>
      <c r="E859" s="96">
        <v>2086050.0</v>
      </c>
      <c r="F859" s="96" t="s">
        <v>1038</v>
      </c>
      <c r="G859" s="96" t="s">
        <v>222</v>
      </c>
      <c r="H859" s="90" t="s">
        <v>965</v>
      </c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</row>
    <row r="860" ht="40.5" customHeight="1">
      <c r="A860" s="90" t="s">
        <v>221</v>
      </c>
      <c r="B860" s="96" t="s">
        <v>222</v>
      </c>
      <c r="C860" s="96" t="s">
        <v>222</v>
      </c>
      <c r="D860" s="96" t="s">
        <v>256</v>
      </c>
      <c r="E860" s="96">
        <v>2086050.0</v>
      </c>
      <c r="F860" s="96" t="s">
        <v>1038</v>
      </c>
      <c r="G860" s="96" t="s">
        <v>222</v>
      </c>
      <c r="H860" s="90" t="s">
        <v>965</v>
      </c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</row>
    <row r="861" ht="40.5" customHeight="1">
      <c r="A861" s="90" t="s">
        <v>221</v>
      </c>
      <c r="B861" s="96" t="s">
        <v>222</v>
      </c>
      <c r="C861" s="96" t="s">
        <v>222</v>
      </c>
      <c r="D861" s="96" t="s">
        <v>257</v>
      </c>
      <c r="E861" s="96">
        <v>2086050.0</v>
      </c>
      <c r="F861" s="96" t="s">
        <v>1038</v>
      </c>
      <c r="G861" s="96" t="s">
        <v>222</v>
      </c>
      <c r="H861" s="90" t="s">
        <v>965</v>
      </c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</row>
    <row r="862" ht="40.5" customHeight="1">
      <c r="A862" s="90" t="s">
        <v>221</v>
      </c>
      <c r="B862" s="96" t="s">
        <v>222</v>
      </c>
      <c r="C862" s="96" t="s">
        <v>222</v>
      </c>
      <c r="D862" s="96" t="s">
        <v>258</v>
      </c>
      <c r="E862" s="96">
        <v>2086050.0</v>
      </c>
      <c r="F862" s="96" t="s">
        <v>1038</v>
      </c>
      <c r="G862" s="96" t="s">
        <v>222</v>
      </c>
      <c r="H862" s="90" t="s">
        <v>965</v>
      </c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</row>
    <row r="863" ht="40.5" customHeight="1">
      <c r="A863" s="90" t="s">
        <v>221</v>
      </c>
      <c r="B863" s="96" t="s">
        <v>222</v>
      </c>
      <c r="C863" s="96" t="s">
        <v>222</v>
      </c>
      <c r="D863" s="96" t="s">
        <v>259</v>
      </c>
      <c r="E863" s="96">
        <v>2086050.0</v>
      </c>
      <c r="F863" s="96" t="s">
        <v>1038</v>
      </c>
      <c r="G863" s="96" t="s">
        <v>222</v>
      </c>
      <c r="H863" s="90" t="s">
        <v>965</v>
      </c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</row>
    <row r="864" ht="40.5" customHeight="1">
      <c r="A864" s="90" t="s">
        <v>221</v>
      </c>
      <c r="B864" s="96" t="s">
        <v>222</v>
      </c>
      <c r="C864" s="96" t="s">
        <v>222</v>
      </c>
      <c r="D864" s="96" t="s">
        <v>260</v>
      </c>
      <c r="E864" s="96">
        <v>2086050.0</v>
      </c>
      <c r="F864" s="96" t="s">
        <v>1038</v>
      </c>
      <c r="G864" s="96" t="s">
        <v>222</v>
      </c>
      <c r="H864" s="90" t="s">
        <v>965</v>
      </c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</row>
    <row r="865" ht="40.5" customHeight="1">
      <c r="A865" s="90" t="s">
        <v>221</v>
      </c>
      <c r="B865" s="96" t="s">
        <v>222</v>
      </c>
      <c r="C865" s="96" t="s">
        <v>222</v>
      </c>
      <c r="D865" s="96" t="s">
        <v>261</v>
      </c>
      <c r="E865" s="96">
        <v>2086050.0</v>
      </c>
      <c r="F865" s="96" t="s">
        <v>1038</v>
      </c>
      <c r="G865" s="96" t="s">
        <v>222</v>
      </c>
      <c r="H865" s="90" t="s">
        <v>965</v>
      </c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</row>
    <row r="866" ht="40.5" customHeight="1">
      <c r="A866" s="90" t="s">
        <v>221</v>
      </c>
      <c r="B866" s="96" t="s">
        <v>222</v>
      </c>
      <c r="C866" s="96" t="s">
        <v>222</v>
      </c>
      <c r="D866" s="96" t="s">
        <v>262</v>
      </c>
      <c r="E866" s="96">
        <v>2086050.0</v>
      </c>
      <c r="F866" s="96" t="s">
        <v>1038</v>
      </c>
      <c r="G866" s="96" t="s">
        <v>222</v>
      </c>
      <c r="H866" s="90" t="s">
        <v>965</v>
      </c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</row>
    <row r="867" ht="40.5" customHeight="1">
      <c r="A867" s="90" t="s">
        <v>221</v>
      </c>
      <c r="B867" s="96" t="s">
        <v>222</v>
      </c>
      <c r="C867" s="96" t="s">
        <v>263</v>
      </c>
      <c r="D867" s="96" t="s">
        <v>264</v>
      </c>
      <c r="E867" s="96">
        <v>2084058.0</v>
      </c>
      <c r="F867" s="96" t="s">
        <v>1039</v>
      </c>
      <c r="G867" s="96" t="s">
        <v>263</v>
      </c>
      <c r="H867" s="90" t="s">
        <v>965</v>
      </c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</row>
    <row r="868" ht="40.5" customHeight="1">
      <c r="A868" s="90" t="s">
        <v>221</v>
      </c>
      <c r="B868" s="96" t="s">
        <v>222</v>
      </c>
      <c r="C868" s="96" t="s">
        <v>263</v>
      </c>
      <c r="D868" s="96" t="s">
        <v>265</v>
      </c>
      <c r="E868" s="96">
        <v>3586812.0</v>
      </c>
      <c r="F868" s="96" t="s">
        <v>1040</v>
      </c>
      <c r="G868" s="96" t="s">
        <v>263</v>
      </c>
      <c r="H868" s="90" t="s">
        <v>965</v>
      </c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</row>
    <row r="869" ht="40.5" customHeight="1">
      <c r="A869" s="90" t="s">
        <v>221</v>
      </c>
      <c r="B869" s="96" t="s">
        <v>222</v>
      </c>
      <c r="C869" s="96" t="s">
        <v>263</v>
      </c>
      <c r="D869" s="96" t="s">
        <v>266</v>
      </c>
      <c r="E869" s="96">
        <v>2082438.0</v>
      </c>
      <c r="F869" s="96" t="s">
        <v>1041</v>
      </c>
      <c r="G869" s="96" t="s">
        <v>266</v>
      </c>
      <c r="H869" s="90" t="s">
        <v>965</v>
      </c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</row>
    <row r="870" ht="40.5" customHeight="1">
      <c r="A870" s="90" t="s">
        <v>221</v>
      </c>
      <c r="B870" s="96" t="s">
        <v>222</v>
      </c>
      <c r="C870" s="96" t="s">
        <v>263</v>
      </c>
      <c r="D870" s="96" t="s">
        <v>267</v>
      </c>
      <c r="E870" s="96">
        <v>2084058.0</v>
      </c>
      <c r="F870" s="96" t="s">
        <v>1039</v>
      </c>
      <c r="G870" s="96" t="s">
        <v>263</v>
      </c>
      <c r="H870" s="90" t="s">
        <v>965</v>
      </c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</row>
    <row r="871" ht="40.5" customHeight="1">
      <c r="A871" s="90" t="s">
        <v>221</v>
      </c>
      <c r="B871" s="96" t="s">
        <v>222</v>
      </c>
      <c r="C871" s="96" t="s">
        <v>263</v>
      </c>
      <c r="D871" s="96" t="s">
        <v>268</v>
      </c>
      <c r="E871" s="96">
        <v>3586812.0</v>
      </c>
      <c r="F871" s="96" t="s">
        <v>1040</v>
      </c>
      <c r="G871" s="96" t="s">
        <v>263</v>
      </c>
      <c r="H871" s="90" t="s">
        <v>965</v>
      </c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</row>
    <row r="872" ht="40.5" customHeight="1">
      <c r="A872" s="90" t="s">
        <v>221</v>
      </c>
      <c r="B872" s="96" t="s">
        <v>222</v>
      </c>
      <c r="C872" s="96" t="s">
        <v>263</v>
      </c>
      <c r="D872" s="96" t="s">
        <v>269</v>
      </c>
      <c r="E872" s="96">
        <v>2081660.0</v>
      </c>
      <c r="F872" s="96" t="s">
        <v>1042</v>
      </c>
      <c r="G872" s="96" t="s">
        <v>263</v>
      </c>
      <c r="H872" s="90" t="s">
        <v>965</v>
      </c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</row>
    <row r="873" ht="40.5" customHeight="1">
      <c r="A873" s="90" t="s">
        <v>221</v>
      </c>
      <c r="B873" s="96" t="s">
        <v>222</v>
      </c>
      <c r="C873" s="96" t="s">
        <v>263</v>
      </c>
      <c r="D873" s="96" t="s">
        <v>270</v>
      </c>
      <c r="E873" s="96">
        <v>3586812.0</v>
      </c>
      <c r="F873" s="96" t="s">
        <v>1040</v>
      </c>
      <c r="G873" s="96" t="s">
        <v>263</v>
      </c>
      <c r="H873" s="90" t="s">
        <v>965</v>
      </c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</row>
    <row r="874" ht="40.5" customHeight="1">
      <c r="A874" s="90" t="s">
        <v>221</v>
      </c>
      <c r="B874" s="96" t="s">
        <v>222</v>
      </c>
      <c r="C874" s="96" t="s">
        <v>263</v>
      </c>
      <c r="D874" s="96" t="s">
        <v>263</v>
      </c>
      <c r="E874" s="96">
        <v>3586812.0</v>
      </c>
      <c r="F874" s="96" t="s">
        <v>1040</v>
      </c>
      <c r="G874" s="96" t="s">
        <v>263</v>
      </c>
      <c r="H874" s="90" t="s">
        <v>965</v>
      </c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</row>
    <row r="875" ht="40.5" customHeight="1">
      <c r="A875" s="90" t="s">
        <v>221</v>
      </c>
      <c r="B875" s="96" t="s">
        <v>222</v>
      </c>
      <c r="C875" s="96" t="s">
        <v>263</v>
      </c>
      <c r="D875" s="96" t="s">
        <v>271</v>
      </c>
      <c r="E875" s="96">
        <v>3586812.0</v>
      </c>
      <c r="F875" s="96" t="s">
        <v>1040</v>
      </c>
      <c r="G875" s="96" t="s">
        <v>263</v>
      </c>
      <c r="H875" s="90" t="s">
        <v>965</v>
      </c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</row>
    <row r="876" ht="40.5" customHeight="1">
      <c r="A876" s="90" t="s">
        <v>221</v>
      </c>
      <c r="B876" s="96" t="s">
        <v>222</v>
      </c>
      <c r="C876" s="96" t="s">
        <v>263</v>
      </c>
      <c r="D876" s="96" t="s">
        <v>272</v>
      </c>
      <c r="E876" s="96">
        <v>3586812.0</v>
      </c>
      <c r="F876" s="96" t="s">
        <v>1040</v>
      </c>
      <c r="G876" s="96" t="s">
        <v>263</v>
      </c>
      <c r="H876" s="90" t="s">
        <v>965</v>
      </c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</row>
    <row r="877" ht="40.5" customHeight="1">
      <c r="A877" s="90" t="s">
        <v>221</v>
      </c>
      <c r="B877" s="96" t="s">
        <v>222</v>
      </c>
      <c r="C877" s="96" t="s">
        <v>263</v>
      </c>
      <c r="D877" s="96" t="s">
        <v>273</v>
      </c>
      <c r="E877" s="96">
        <v>2084058.0</v>
      </c>
      <c r="F877" s="96" t="s">
        <v>1039</v>
      </c>
      <c r="G877" s="96" t="s">
        <v>263</v>
      </c>
      <c r="H877" s="90" t="s">
        <v>965</v>
      </c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</row>
    <row r="878" ht="40.5" customHeight="1">
      <c r="A878" s="90" t="s">
        <v>221</v>
      </c>
      <c r="B878" s="96" t="s">
        <v>222</v>
      </c>
      <c r="C878" s="96" t="s">
        <v>263</v>
      </c>
      <c r="D878" s="96" t="s">
        <v>274</v>
      </c>
      <c r="E878" s="96">
        <v>3586812.0</v>
      </c>
      <c r="F878" s="96" t="s">
        <v>1040</v>
      </c>
      <c r="G878" s="96" t="s">
        <v>263</v>
      </c>
      <c r="H878" s="90" t="s">
        <v>965</v>
      </c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</row>
    <row r="879" ht="40.5" customHeight="1">
      <c r="A879" s="90" t="s">
        <v>221</v>
      </c>
      <c r="B879" s="96" t="s">
        <v>222</v>
      </c>
      <c r="C879" s="96" t="s">
        <v>263</v>
      </c>
      <c r="D879" s="96" t="s">
        <v>275</v>
      </c>
      <c r="E879" s="96">
        <v>3586812.0</v>
      </c>
      <c r="F879" s="96" t="s">
        <v>1040</v>
      </c>
      <c r="G879" s="96" t="s">
        <v>263</v>
      </c>
      <c r="H879" s="90" t="s">
        <v>965</v>
      </c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</row>
    <row r="880" ht="40.5" customHeight="1">
      <c r="A880" s="90" t="s">
        <v>221</v>
      </c>
      <c r="B880" s="96" t="s">
        <v>222</v>
      </c>
      <c r="C880" s="96" t="s">
        <v>276</v>
      </c>
      <c r="D880" s="96" t="s">
        <v>277</v>
      </c>
      <c r="E880" s="96">
        <v>2080664.0</v>
      </c>
      <c r="F880" s="96" t="s">
        <v>1043</v>
      </c>
      <c r="G880" s="96" t="s">
        <v>276</v>
      </c>
      <c r="H880" s="90" t="s">
        <v>965</v>
      </c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</row>
    <row r="881" ht="40.5" customHeight="1">
      <c r="A881" s="90" t="s">
        <v>221</v>
      </c>
      <c r="B881" s="96" t="s">
        <v>222</v>
      </c>
      <c r="C881" s="96" t="s">
        <v>276</v>
      </c>
      <c r="D881" s="96" t="s">
        <v>278</v>
      </c>
      <c r="E881" s="96">
        <v>2080664.0</v>
      </c>
      <c r="F881" s="96" t="s">
        <v>1043</v>
      </c>
      <c r="G881" s="96" t="s">
        <v>276</v>
      </c>
      <c r="H881" s="90" t="s">
        <v>965</v>
      </c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</row>
    <row r="882" ht="40.5" customHeight="1">
      <c r="A882" s="90" t="s">
        <v>221</v>
      </c>
      <c r="B882" s="96" t="s">
        <v>222</v>
      </c>
      <c r="C882" s="96" t="s">
        <v>276</v>
      </c>
      <c r="D882" s="96" t="s">
        <v>279</v>
      </c>
      <c r="E882" s="96">
        <v>2080664.0</v>
      </c>
      <c r="F882" s="96" t="s">
        <v>1043</v>
      </c>
      <c r="G882" s="96" t="s">
        <v>276</v>
      </c>
      <c r="H882" s="90" t="s">
        <v>965</v>
      </c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</row>
    <row r="883" ht="40.5" customHeight="1">
      <c r="A883" s="90" t="s">
        <v>221</v>
      </c>
      <c r="B883" s="96" t="s">
        <v>222</v>
      </c>
      <c r="C883" s="96" t="s">
        <v>276</v>
      </c>
      <c r="D883" s="96" t="s">
        <v>280</v>
      </c>
      <c r="E883" s="96">
        <v>2080664.0</v>
      </c>
      <c r="F883" s="96" t="s">
        <v>1043</v>
      </c>
      <c r="G883" s="96" t="s">
        <v>276</v>
      </c>
      <c r="H883" s="90" t="s">
        <v>965</v>
      </c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</row>
    <row r="884" ht="40.5" customHeight="1">
      <c r="A884" s="90" t="s">
        <v>221</v>
      </c>
      <c r="B884" s="96" t="s">
        <v>222</v>
      </c>
      <c r="C884" s="96" t="s">
        <v>276</v>
      </c>
      <c r="D884" s="96" t="s">
        <v>281</v>
      </c>
      <c r="E884" s="96">
        <v>2080664.0</v>
      </c>
      <c r="F884" s="96" t="s">
        <v>1043</v>
      </c>
      <c r="G884" s="96" t="s">
        <v>276</v>
      </c>
      <c r="H884" s="90" t="s">
        <v>965</v>
      </c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</row>
    <row r="885" ht="40.5" customHeight="1">
      <c r="A885" s="90" t="s">
        <v>221</v>
      </c>
      <c r="B885" s="96" t="s">
        <v>222</v>
      </c>
      <c r="C885" s="96" t="s">
        <v>276</v>
      </c>
      <c r="D885" s="96" t="s">
        <v>282</v>
      </c>
      <c r="E885" s="96">
        <v>2080664.0</v>
      </c>
      <c r="F885" s="96" t="s">
        <v>1043</v>
      </c>
      <c r="G885" s="96" t="s">
        <v>276</v>
      </c>
      <c r="H885" s="90" t="s">
        <v>965</v>
      </c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</row>
    <row r="886" ht="40.5" customHeight="1">
      <c r="A886" s="90" t="s">
        <v>221</v>
      </c>
      <c r="B886" s="96" t="s">
        <v>222</v>
      </c>
      <c r="C886" s="96" t="s">
        <v>276</v>
      </c>
      <c r="D886" s="96" t="s">
        <v>283</v>
      </c>
      <c r="E886" s="96">
        <v>2080664.0</v>
      </c>
      <c r="F886" s="96" t="s">
        <v>1043</v>
      </c>
      <c r="G886" s="96" t="s">
        <v>276</v>
      </c>
      <c r="H886" s="90" t="s">
        <v>965</v>
      </c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</row>
    <row r="887" ht="40.5" customHeight="1">
      <c r="A887" s="90" t="s">
        <v>221</v>
      </c>
      <c r="B887" s="96" t="s">
        <v>222</v>
      </c>
      <c r="C887" s="96" t="s">
        <v>276</v>
      </c>
      <c r="D887" s="96" t="s">
        <v>276</v>
      </c>
      <c r="E887" s="96">
        <v>2080664.0</v>
      </c>
      <c r="F887" s="96" t="s">
        <v>1043</v>
      </c>
      <c r="G887" s="96" t="s">
        <v>276</v>
      </c>
      <c r="H887" s="90" t="s">
        <v>965</v>
      </c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</row>
    <row r="888" ht="40.5" customHeight="1">
      <c r="A888" s="90" t="s">
        <v>284</v>
      </c>
      <c r="B888" s="82" t="s">
        <v>285</v>
      </c>
      <c r="C888" s="82" t="s">
        <v>286</v>
      </c>
      <c r="D888" s="82" t="s">
        <v>287</v>
      </c>
      <c r="E888" s="82">
        <v>2750988.0</v>
      </c>
      <c r="F888" s="82" t="s">
        <v>1044</v>
      </c>
      <c r="G888" s="82" t="s">
        <v>287</v>
      </c>
      <c r="H888" s="90" t="s">
        <v>965</v>
      </c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</row>
    <row r="889" ht="40.5" customHeight="1">
      <c r="A889" s="90" t="s">
        <v>284</v>
      </c>
      <c r="B889" s="82" t="s">
        <v>285</v>
      </c>
      <c r="C889" s="82" t="s">
        <v>286</v>
      </c>
      <c r="D889" s="82" t="s">
        <v>288</v>
      </c>
      <c r="E889" s="82">
        <v>2751003.0</v>
      </c>
      <c r="F889" s="82" t="s">
        <v>1045</v>
      </c>
      <c r="G889" s="82" t="s">
        <v>290</v>
      </c>
      <c r="H889" s="90" t="s">
        <v>965</v>
      </c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</row>
    <row r="890" ht="40.5" customHeight="1">
      <c r="A890" s="90" t="s">
        <v>284</v>
      </c>
      <c r="B890" s="82" t="s">
        <v>285</v>
      </c>
      <c r="C890" s="82" t="s">
        <v>286</v>
      </c>
      <c r="D890" s="82" t="s">
        <v>289</v>
      </c>
      <c r="E890" s="82">
        <v>2751003.0</v>
      </c>
      <c r="F890" s="82" t="s">
        <v>1045</v>
      </c>
      <c r="G890" s="82" t="s">
        <v>290</v>
      </c>
      <c r="H890" s="90" t="s">
        <v>965</v>
      </c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</row>
    <row r="891" ht="40.5" customHeight="1">
      <c r="A891" s="90" t="s">
        <v>284</v>
      </c>
      <c r="B891" s="82" t="s">
        <v>285</v>
      </c>
      <c r="C891" s="82" t="s">
        <v>286</v>
      </c>
      <c r="D891" s="82" t="s">
        <v>290</v>
      </c>
      <c r="E891" s="82">
        <v>2751003.0</v>
      </c>
      <c r="F891" s="82" t="s">
        <v>1045</v>
      </c>
      <c r="G891" s="82" t="s">
        <v>290</v>
      </c>
      <c r="H891" s="90" t="s">
        <v>965</v>
      </c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</row>
    <row r="892" ht="40.5" customHeight="1">
      <c r="A892" s="90" t="s">
        <v>284</v>
      </c>
      <c r="B892" s="82" t="s">
        <v>285</v>
      </c>
      <c r="C892" s="82" t="s">
        <v>286</v>
      </c>
      <c r="D892" s="82" t="s">
        <v>291</v>
      </c>
      <c r="E892" s="104">
        <v>2081385.0</v>
      </c>
      <c r="F892" s="104" t="s">
        <v>1046</v>
      </c>
      <c r="G892" s="82" t="s">
        <v>298</v>
      </c>
      <c r="H892" s="90" t="s">
        <v>965</v>
      </c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</row>
    <row r="893" ht="40.5" customHeight="1">
      <c r="A893" s="90" t="s">
        <v>284</v>
      </c>
      <c r="B893" s="82" t="s">
        <v>285</v>
      </c>
      <c r="C893" s="82" t="s">
        <v>286</v>
      </c>
      <c r="D893" s="82" t="s">
        <v>292</v>
      </c>
      <c r="E893" s="104">
        <v>2081385.0</v>
      </c>
      <c r="F893" s="104" t="s">
        <v>1046</v>
      </c>
      <c r="G893" s="82" t="s">
        <v>298</v>
      </c>
      <c r="H893" s="90" t="s">
        <v>965</v>
      </c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</row>
    <row r="894" ht="40.5" customHeight="1">
      <c r="A894" s="90" t="s">
        <v>284</v>
      </c>
      <c r="B894" s="82" t="s">
        <v>285</v>
      </c>
      <c r="C894" s="82" t="s">
        <v>286</v>
      </c>
      <c r="D894" s="82" t="s">
        <v>293</v>
      </c>
      <c r="E894" s="82">
        <v>2750988.0</v>
      </c>
      <c r="F894" s="82" t="s">
        <v>1044</v>
      </c>
      <c r="G894" s="82" t="s">
        <v>287</v>
      </c>
      <c r="H894" s="90" t="s">
        <v>965</v>
      </c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</row>
    <row r="895" ht="40.5" customHeight="1">
      <c r="A895" s="90" t="s">
        <v>284</v>
      </c>
      <c r="B895" s="82" t="s">
        <v>285</v>
      </c>
      <c r="C895" s="82" t="s">
        <v>286</v>
      </c>
      <c r="D895" s="82" t="s">
        <v>294</v>
      </c>
      <c r="E895" s="82">
        <v>2750988.0</v>
      </c>
      <c r="F895" s="82" t="s">
        <v>1044</v>
      </c>
      <c r="G895" s="82" t="s">
        <v>287</v>
      </c>
      <c r="H895" s="90" t="s">
        <v>965</v>
      </c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</row>
    <row r="896" ht="40.5" customHeight="1">
      <c r="A896" s="90" t="s">
        <v>284</v>
      </c>
      <c r="B896" s="82" t="s">
        <v>285</v>
      </c>
      <c r="C896" s="82" t="s">
        <v>286</v>
      </c>
      <c r="D896" s="82" t="s">
        <v>295</v>
      </c>
      <c r="E896" s="82">
        <v>2751003.0</v>
      </c>
      <c r="F896" s="82" t="s">
        <v>1045</v>
      </c>
      <c r="G896" s="82" t="s">
        <v>1047</v>
      </c>
      <c r="H896" s="90" t="s">
        <v>965</v>
      </c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</row>
    <row r="897" ht="40.5" customHeight="1">
      <c r="A897" s="90" t="s">
        <v>284</v>
      </c>
      <c r="B897" s="82" t="s">
        <v>285</v>
      </c>
      <c r="C897" s="82" t="s">
        <v>286</v>
      </c>
      <c r="D897" s="82" t="s">
        <v>296</v>
      </c>
      <c r="E897" s="104">
        <v>2081385.0</v>
      </c>
      <c r="F897" s="104" t="s">
        <v>1046</v>
      </c>
      <c r="G897" s="82" t="s">
        <v>298</v>
      </c>
      <c r="H897" s="90" t="s">
        <v>965</v>
      </c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</row>
    <row r="898" ht="40.5" customHeight="1">
      <c r="A898" s="90" t="s">
        <v>284</v>
      </c>
      <c r="B898" s="82" t="s">
        <v>285</v>
      </c>
      <c r="C898" s="82" t="s">
        <v>286</v>
      </c>
      <c r="D898" s="82" t="s">
        <v>297</v>
      </c>
      <c r="E898" s="104">
        <v>2081385.0</v>
      </c>
      <c r="F898" s="104" t="s">
        <v>1046</v>
      </c>
      <c r="G898" s="82" t="s">
        <v>298</v>
      </c>
      <c r="H898" s="90" t="s">
        <v>965</v>
      </c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</row>
    <row r="899" ht="40.5" customHeight="1">
      <c r="A899" s="90" t="s">
        <v>284</v>
      </c>
      <c r="B899" s="82" t="s">
        <v>285</v>
      </c>
      <c r="C899" s="82" t="s">
        <v>286</v>
      </c>
      <c r="D899" s="82" t="s">
        <v>298</v>
      </c>
      <c r="E899" s="104">
        <v>2081385.0</v>
      </c>
      <c r="F899" s="104" t="s">
        <v>1046</v>
      </c>
      <c r="G899" s="82" t="s">
        <v>298</v>
      </c>
      <c r="H899" s="90" t="s">
        <v>965</v>
      </c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</row>
    <row r="900" ht="40.5" customHeight="1">
      <c r="A900" s="90" t="s">
        <v>284</v>
      </c>
      <c r="B900" s="82" t="s">
        <v>285</v>
      </c>
      <c r="C900" s="82" t="s">
        <v>299</v>
      </c>
      <c r="D900" s="82" t="s">
        <v>300</v>
      </c>
      <c r="E900" s="82">
        <v>2750511.0</v>
      </c>
      <c r="F900" s="82" t="s">
        <v>872</v>
      </c>
      <c r="G900" s="82" t="s">
        <v>285</v>
      </c>
      <c r="H900" s="90" t="s">
        <v>965</v>
      </c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</row>
    <row r="901" ht="40.5" customHeight="1">
      <c r="A901" s="90" t="s">
        <v>284</v>
      </c>
      <c r="B901" s="82" t="s">
        <v>285</v>
      </c>
      <c r="C901" s="82" t="s">
        <v>299</v>
      </c>
      <c r="D901" s="82" t="s">
        <v>301</v>
      </c>
      <c r="E901" s="82">
        <v>2750511.0</v>
      </c>
      <c r="F901" s="82" t="s">
        <v>872</v>
      </c>
      <c r="G901" s="82" t="s">
        <v>285</v>
      </c>
      <c r="H901" s="90" t="s">
        <v>965</v>
      </c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</row>
    <row r="902" ht="40.5" customHeight="1">
      <c r="A902" s="90" t="s">
        <v>284</v>
      </c>
      <c r="B902" s="82" t="s">
        <v>285</v>
      </c>
      <c r="C902" s="82" t="s">
        <v>299</v>
      </c>
      <c r="D902" s="82" t="s">
        <v>302</v>
      </c>
      <c r="E902" s="82">
        <v>2750511.0</v>
      </c>
      <c r="F902" s="82" t="s">
        <v>872</v>
      </c>
      <c r="G902" s="82" t="s">
        <v>285</v>
      </c>
      <c r="H902" s="90" t="s">
        <v>965</v>
      </c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</row>
    <row r="903" ht="40.5" customHeight="1">
      <c r="A903" s="90" t="s">
        <v>284</v>
      </c>
      <c r="B903" s="82" t="s">
        <v>285</v>
      </c>
      <c r="C903" s="82" t="s">
        <v>299</v>
      </c>
      <c r="D903" s="82" t="s">
        <v>303</v>
      </c>
      <c r="E903" s="82">
        <v>2751011.0</v>
      </c>
      <c r="F903" s="82" t="s">
        <v>1048</v>
      </c>
      <c r="G903" s="82" t="s">
        <v>307</v>
      </c>
      <c r="H903" s="90" t="s">
        <v>965</v>
      </c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</row>
    <row r="904" ht="40.5" customHeight="1">
      <c r="A904" s="90" t="s">
        <v>284</v>
      </c>
      <c r="B904" s="82" t="s">
        <v>285</v>
      </c>
      <c r="C904" s="82" t="s">
        <v>299</v>
      </c>
      <c r="D904" s="82" t="s">
        <v>304</v>
      </c>
      <c r="E904" s="82">
        <v>2750511.0</v>
      </c>
      <c r="F904" s="82" t="s">
        <v>872</v>
      </c>
      <c r="G904" s="82" t="s">
        <v>285</v>
      </c>
      <c r="H904" s="90" t="s">
        <v>965</v>
      </c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</row>
    <row r="905" ht="40.5" customHeight="1">
      <c r="A905" s="90" t="s">
        <v>284</v>
      </c>
      <c r="B905" s="82" t="s">
        <v>285</v>
      </c>
      <c r="C905" s="82" t="s">
        <v>299</v>
      </c>
      <c r="D905" s="82" t="s">
        <v>305</v>
      </c>
      <c r="E905" s="82">
        <v>2750511.0</v>
      </c>
      <c r="F905" s="82" t="s">
        <v>872</v>
      </c>
      <c r="G905" s="82" t="s">
        <v>285</v>
      </c>
      <c r="H905" s="90" t="s">
        <v>965</v>
      </c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</row>
    <row r="906" ht="40.5" customHeight="1">
      <c r="A906" s="90" t="s">
        <v>284</v>
      </c>
      <c r="B906" s="82" t="s">
        <v>285</v>
      </c>
      <c r="C906" s="82" t="s">
        <v>299</v>
      </c>
      <c r="D906" s="82" t="s">
        <v>306</v>
      </c>
      <c r="E906" s="82">
        <v>2751011.0</v>
      </c>
      <c r="F906" s="82" t="s">
        <v>1048</v>
      </c>
      <c r="G906" s="82" t="s">
        <v>307</v>
      </c>
      <c r="H906" s="90" t="s">
        <v>965</v>
      </c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</row>
    <row r="907" ht="40.5" customHeight="1">
      <c r="A907" s="90" t="s">
        <v>284</v>
      </c>
      <c r="B907" s="82" t="s">
        <v>285</v>
      </c>
      <c r="C907" s="82" t="s">
        <v>299</v>
      </c>
      <c r="D907" s="82" t="s">
        <v>307</v>
      </c>
      <c r="E907" s="82">
        <v>2751011.0</v>
      </c>
      <c r="F907" s="82" t="s">
        <v>1048</v>
      </c>
      <c r="G907" s="82" t="s">
        <v>307</v>
      </c>
      <c r="H907" s="90" t="s">
        <v>965</v>
      </c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</row>
    <row r="908" ht="40.5" customHeight="1">
      <c r="A908" s="90" t="s">
        <v>284</v>
      </c>
      <c r="B908" s="82" t="s">
        <v>285</v>
      </c>
      <c r="C908" s="82" t="s">
        <v>299</v>
      </c>
      <c r="D908" s="82" t="s">
        <v>308</v>
      </c>
      <c r="E908" s="82">
        <v>2750511.0</v>
      </c>
      <c r="F908" s="82" t="s">
        <v>872</v>
      </c>
      <c r="G908" s="82" t="s">
        <v>285</v>
      </c>
      <c r="H908" s="90" t="s">
        <v>965</v>
      </c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</row>
    <row r="909" ht="40.5" customHeight="1">
      <c r="A909" s="90" t="s">
        <v>284</v>
      </c>
      <c r="B909" s="82" t="s">
        <v>285</v>
      </c>
      <c r="C909" s="82" t="s">
        <v>299</v>
      </c>
      <c r="D909" s="82" t="s">
        <v>309</v>
      </c>
      <c r="E909" s="82">
        <v>2750511.0</v>
      </c>
      <c r="F909" s="82" t="s">
        <v>872</v>
      </c>
      <c r="G909" s="82" t="s">
        <v>285</v>
      </c>
      <c r="H909" s="90" t="s">
        <v>965</v>
      </c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</row>
    <row r="910" ht="40.5" customHeight="1">
      <c r="A910" s="90" t="s">
        <v>284</v>
      </c>
      <c r="B910" s="82" t="s">
        <v>285</v>
      </c>
      <c r="C910" s="82" t="s">
        <v>299</v>
      </c>
      <c r="D910" s="82" t="s">
        <v>310</v>
      </c>
      <c r="E910" s="82">
        <v>2750511.0</v>
      </c>
      <c r="F910" s="82" t="s">
        <v>872</v>
      </c>
      <c r="G910" s="82" t="s">
        <v>285</v>
      </c>
      <c r="H910" s="90" t="s">
        <v>965</v>
      </c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</row>
    <row r="911" ht="40.5" customHeight="1">
      <c r="A911" s="90" t="s">
        <v>284</v>
      </c>
      <c r="B911" s="82" t="s">
        <v>285</v>
      </c>
      <c r="C911" s="82" t="s">
        <v>299</v>
      </c>
      <c r="D911" s="82" t="s">
        <v>285</v>
      </c>
      <c r="E911" s="82">
        <v>2750511.0</v>
      </c>
      <c r="F911" s="82" t="s">
        <v>872</v>
      </c>
      <c r="G911" s="82" t="s">
        <v>285</v>
      </c>
      <c r="H911" s="90" t="s">
        <v>965</v>
      </c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</row>
    <row r="912" ht="40.5" customHeight="1">
      <c r="A912" s="90" t="s">
        <v>284</v>
      </c>
      <c r="B912" s="82" t="s">
        <v>285</v>
      </c>
      <c r="C912" s="82" t="s">
        <v>299</v>
      </c>
      <c r="D912" s="82" t="s">
        <v>311</v>
      </c>
      <c r="E912" s="82">
        <v>2750511.0</v>
      </c>
      <c r="F912" s="82" t="s">
        <v>872</v>
      </c>
      <c r="G912" s="82" t="s">
        <v>285</v>
      </c>
      <c r="H912" s="90" t="s">
        <v>965</v>
      </c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</row>
    <row r="913" ht="40.5" customHeight="1">
      <c r="A913" s="90" t="s">
        <v>284</v>
      </c>
      <c r="B913" s="82" t="s">
        <v>285</v>
      </c>
      <c r="C913" s="82" t="s">
        <v>299</v>
      </c>
      <c r="D913" s="82" t="s">
        <v>312</v>
      </c>
      <c r="E913" s="82">
        <v>2751046.0</v>
      </c>
      <c r="F913" s="82" t="s">
        <v>1049</v>
      </c>
      <c r="G913" s="82" t="s">
        <v>314</v>
      </c>
      <c r="H913" s="90" t="s">
        <v>965</v>
      </c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</row>
    <row r="914" ht="40.5" customHeight="1">
      <c r="A914" s="90" t="s">
        <v>284</v>
      </c>
      <c r="B914" s="82" t="s">
        <v>285</v>
      </c>
      <c r="C914" s="82" t="s">
        <v>299</v>
      </c>
      <c r="D914" s="82" t="s">
        <v>313</v>
      </c>
      <c r="E914" s="82">
        <v>2750511.0</v>
      </c>
      <c r="F914" s="82" t="s">
        <v>872</v>
      </c>
      <c r="G914" s="82" t="s">
        <v>285</v>
      </c>
      <c r="H914" s="90" t="s">
        <v>965</v>
      </c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</row>
    <row r="915" ht="40.5" customHeight="1">
      <c r="A915" s="90" t="s">
        <v>284</v>
      </c>
      <c r="B915" s="82" t="s">
        <v>285</v>
      </c>
      <c r="C915" s="82" t="s">
        <v>299</v>
      </c>
      <c r="D915" s="82" t="s">
        <v>314</v>
      </c>
      <c r="E915" s="82">
        <v>2751046.0</v>
      </c>
      <c r="F915" s="82" t="s">
        <v>1049</v>
      </c>
      <c r="G915" s="82" t="s">
        <v>314</v>
      </c>
      <c r="H915" s="90" t="s">
        <v>965</v>
      </c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</row>
    <row r="916" ht="40.5" customHeight="1">
      <c r="A916" s="90" t="s">
        <v>284</v>
      </c>
      <c r="B916" s="82" t="s">
        <v>285</v>
      </c>
      <c r="C916" s="82" t="s">
        <v>299</v>
      </c>
      <c r="D916" s="82" t="s">
        <v>315</v>
      </c>
      <c r="E916" s="82">
        <v>2750511.0</v>
      </c>
      <c r="F916" s="82" t="s">
        <v>872</v>
      </c>
      <c r="G916" s="82" t="s">
        <v>285</v>
      </c>
      <c r="H916" s="90" t="s">
        <v>965</v>
      </c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</row>
    <row r="917" ht="40.5" customHeight="1">
      <c r="A917" s="90" t="s">
        <v>284</v>
      </c>
      <c r="B917" s="82" t="s">
        <v>285</v>
      </c>
      <c r="C917" s="82" t="s">
        <v>299</v>
      </c>
      <c r="D917" s="82" t="s">
        <v>316</v>
      </c>
      <c r="E917" s="82">
        <v>2750511.0</v>
      </c>
      <c r="F917" s="82" t="s">
        <v>872</v>
      </c>
      <c r="G917" s="82" t="s">
        <v>285</v>
      </c>
      <c r="H917" s="90" t="s">
        <v>965</v>
      </c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</row>
    <row r="918" ht="40.5" customHeight="1">
      <c r="A918" s="90" t="s">
        <v>284</v>
      </c>
      <c r="B918" s="82" t="s">
        <v>285</v>
      </c>
      <c r="C918" s="82" t="s">
        <v>299</v>
      </c>
      <c r="D918" s="82" t="s">
        <v>317</v>
      </c>
      <c r="E918" s="82">
        <v>2750511.0</v>
      </c>
      <c r="F918" s="82" t="s">
        <v>872</v>
      </c>
      <c r="G918" s="82" t="s">
        <v>285</v>
      </c>
      <c r="H918" s="90" t="s">
        <v>965</v>
      </c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</row>
    <row r="919" ht="40.5" customHeight="1">
      <c r="A919" s="90" t="s">
        <v>284</v>
      </c>
      <c r="B919" s="82" t="s">
        <v>285</v>
      </c>
      <c r="C919" s="82" t="s">
        <v>318</v>
      </c>
      <c r="D919" s="82" t="s">
        <v>319</v>
      </c>
      <c r="E919" s="82">
        <v>2081873.0</v>
      </c>
      <c r="F919" s="82" t="s">
        <v>1050</v>
      </c>
      <c r="G919" s="82" t="s">
        <v>323</v>
      </c>
      <c r="H919" s="90" t="s">
        <v>965</v>
      </c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</row>
    <row r="920" ht="40.5" customHeight="1">
      <c r="A920" s="90" t="s">
        <v>284</v>
      </c>
      <c r="B920" s="82" t="s">
        <v>285</v>
      </c>
      <c r="C920" s="82" t="s">
        <v>318</v>
      </c>
      <c r="D920" s="82" t="s">
        <v>320</v>
      </c>
      <c r="E920" s="82">
        <v>2081873.0</v>
      </c>
      <c r="F920" s="82" t="s">
        <v>1050</v>
      </c>
      <c r="G920" s="82" t="s">
        <v>323</v>
      </c>
      <c r="H920" s="90" t="s">
        <v>965</v>
      </c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</row>
    <row r="921" ht="40.5" customHeight="1">
      <c r="A921" s="90" t="s">
        <v>284</v>
      </c>
      <c r="B921" s="82" t="s">
        <v>285</v>
      </c>
      <c r="C921" s="82" t="s">
        <v>318</v>
      </c>
      <c r="D921" s="82" t="s">
        <v>321</v>
      </c>
      <c r="E921" s="82">
        <v>2081873.0</v>
      </c>
      <c r="F921" s="82" t="s">
        <v>1050</v>
      </c>
      <c r="G921" s="82" t="s">
        <v>323</v>
      </c>
      <c r="H921" s="90" t="s">
        <v>965</v>
      </c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</row>
    <row r="922" ht="40.5" customHeight="1">
      <c r="A922" s="90" t="s">
        <v>284</v>
      </c>
      <c r="B922" s="82" t="s">
        <v>285</v>
      </c>
      <c r="C922" s="82" t="s">
        <v>318</v>
      </c>
      <c r="D922" s="82" t="s">
        <v>322</v>
      </c>
      <c r="E922" s="82">
        <v>2081873.0</v>
      </c>
      <c r="F922" s="82" t="s">
        <v>1050</v>
      </c>
      <c r="G922" s="82" t="s">
        <v>323</v>
      </c>
      <c r="H922" s="90" t="s">
        <v>965</v>
      </c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</row>
    <row r="923" ht="40.5" customHeight="1">
      <c r="A923" s="90" t="s">
        <v>284</v>
      </c>
      <c r="B923" s="82" t="s">
        <v>285</v>
      </c>
      <c r="C923" s="82" t="s">
        <v>318</v>
      </c>
      <c r="D923" s="82" t="s">
        <v>323</v>
      </c>
      <c r="E923" s="82">
        <v>2081873.0</v>
      </c>
      <c r="F923" s="82" t="s">
        <v>1050</v>
      </c>
      <c r="G923" s="82" t="s">
        <v>323</v>
      </c>
      <c r="H923" s="90" t="s">
        <v>965</v>
      </c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</row>
    <row r="924" ht="40.5" customHeight="1">
      <c r="A924" s="90" t="s">
        <v>284</v>
      </c>
      <c r="B924" s="82" t="s">
        <v>285</v>
      </c>
      <c r="C924" s="82" t="s">
        <v>324</v>
      </c>
      <c r="D924" s="82" t="s">
        <v>325</v>
      </c>
      <c r="E924" s="82">
        <v>2078139.0</v>
      </c>
      <c r="F924" s="82" t="s">
        <v>1051</v>
      </c>
      <c r="G924" s="82" t="s">
        <v>329</v>
      </c>
      <c r="H924" s="90" t="s">
        <v>965</v>
      </c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</row>
    <row r="925" ht="40.5" customHeight="1">
      <c r="A925" s="90" t="s">
        <v>284</v>
      </c>
      <c r="B925" s="82" t="s">
        <v>285</v>
      </c>
      <c r="C925" s="82" t="s">
        <v>324</v>
      </c>
      <c r="D925" s="82" t="s">
        <v>326</v>
      </c>
      <c r="E925" s="82">
        <v>2078139.0</v>
      </c>
      <c r="F925" s="82" t="s">
        <v>1051</v>
      </c>
      <c r="G925" s="82" t="s">
        <v>329</v>
      </c>
      <c r="H925" s="90" t="s">
        <v>965</v>
      </c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</row>
    <row r="926" ht="40.5" customHeight="1">
      <c r="A926" s="90" t="s">
        <v>284</v>
      </c>
      <c r="B926" s="82" t="s">
        <v>285</v>
      </c>
      <c r="C926" s="82" t="s">
        <v>324</v>
      </c>
      <c r="D926" s="82" t="s">
        <v>327</v>
      </c>
      <c r="E926" s="82">
        <v>2078139.0</v>
      </c>
      <c r="F926" s="82" t="s">
        <v>1051</v>
      </c>
      <c r="G926" s="82" t="s">
        <v>329</v>
      </c>
      <c r="H926" s="90" t="s">
        <v>965</v>
      </c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</row>
    <row r="927" ht="40.5" customHeight="1">
      <c r="A927" s="90" t="s">
        <v>284</v>
      </c>
      <c r="B927" s="82" t="s">
        <v>285</v>
      </c>
      <c r="C927" s="82" t="s">
        <v>324</v>
      </c>
      <c r="D927" s="82" t="s">
        <v>328</v>
      </c>
      <c r="E927" s="82">
        <v>2751038.0</v>
      </c>
      <c r="F927" s="82" t="s">
        <v>1052</v>
      </c>
      <c r="G927" s="82" t="s">
        <v>328</v>
      </c>
      <c r="H927" s="90" t="s">
        <v>965</v>
      </c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</row>
    <row r="928" ht="40.5" customHeight="1">
      <c r="A928" s="90" t="s">
        <v>284</v>
      </c>
      <c r="B928" s="82" t="s">
        <v>285</v>
      </c>
      <c r="C928" s="82" t="s">
        <v>324</v>
      </c>
      <c r="D928" s="82" t="s">
        <v>329</v>
      </c>
      <c r="E928" s="82">
        <v>2078139.0</v>
      </c>
      <c r="F928" s="82" t="s">
        <v>1051</v>
      </c>
      <c r="G928" s="82" t="s">
        <v>329</v>
      </c>
      <c r="H928" s="90" t="s">
        <v>965</v>
      </c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</row>
    <row r="929" ht="40.5" customHeight="1">
      <c r="A929" s="90" t="s">
        <v>284</v>
      </c>
      <c r="B929" s="82" t="s">
        <v>285</v>
      </c>
      <c r="C929" s="82" t="s">
        <v>330</v>
      </c>
      <c r="D929" s="82" t="s">
        <v>331</v>
      </c>
      <c r="E929" s="82">
        <v>2750546.0</v>
      </c>
      <c r="F929" s="82" t="s">
        <v>1053</v>
      </c>
      <c r="G929" s="82" t="s">
        <v>333</v>
      </c>
      <c r="H929" s="90" t="s">
        <v>965</v>
      </c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</row>
    <row r="930" ht="40.5" customHeight="1">
      <c r="A930" s="90" t="s">
        <v>284</v>
      </c>
      <c r="B930" s="82" t="s">
        <v>285</v>
      </c>
      <c r="C930" s="82" t="s">
        <v>330</v>
      </c>
      <c r="D930" s="82" t="s">
        <v>332</v>
      </c>
      <c r="E930" s="82">
        <v>2750511.0</v>
      </c>
      <c r="F930" s="82" t="s">
        <v>872</v>
      </c>
      <c r="G930" s="82" t="s">
        <v>285</v>
      </c>
      <c r="H930" s="90" t="s">
        <v>965</v>
      </c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</row>
    <row r="931" ht="40.5" customHeight="1">
      <c r="A931" s="90" t="s">
        <v>284</v>
      </c>
      <c r="B931" s="82" t="s">
        <v>285</v>
      </c>
      <c r="C931" s="82" t="s">
        <v>330</v>
      </c>
      <c r="D931" s="82" t="s">
        <v>333</v>
      </c>
      <c r="E931" s="82">
        <v>2750546.0</v>
      </c>
      <c r="F931" s="82" t="s">
        <v>1053</v>
      </c>
      <c r="G931" s="82" t="s">
        <v>333</v>
      </c>
      <c r="H931" s="90" t="s">
        <v>965</v>
      </c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</row>
    <row r="932" ht="40.5" customHeight="1">
      <c r="A932" s="90" t="s">
        <v>284</v>
      </c>
      <c r="B932" s="82" t="s">
        <v>285</v>
      </c>
      <c r="C932" s="82" t="s">
        <v>330</v>
      </c>
      <c r="D932" s="82" t="s">
        <v>334</v>
      </c>
      <c r="E932" s="82">
        <v>2028239.0</v>
      </c>
      <c r="F932" s="82" t="s">
        <v>1054</v>
      </c>
      <c r="G932" s="82" t="s">
        <v>334</v>
      </c>
      <c r="H932" s="90" t="s">
        <v>965</v>
      </c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</row>
    <row r="933" ht="40.5" customHeight="1">
      <c r="A933" s="90" t="s">
        <v>335</v>
      </c>
      <c r="B933" s="82" t="s">
        <v>336</v>
      </c>
      <c r="C933" s="82" t="s">
        <v>337</v>
      </c>
      <c r="D933" s="82" t="s">
        <v>336</v>
      </c>
      <c r="E933" s="82">
        <v>2078775.0</v>
      </c>
      <c r="F933" s="82" t="s">
        <v>1055</v>
      </c>
      <c r="G933" s="82" t="s">
        <v>336</v>
      </c>
      <c r="H933" s="90" t="s">
        <v>965</v>
      </c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</row>
    <row r="934" ht="40.5" customHeight="1">
      <c r="A934" s="90" t="s">
        <v>335</v>
      </c>
      <c r="B934" s="82" t="s">
        <v>336</v>
      </c>
      <c r="C934" s="82" t="s">
        <v>337</v>
      </c>
      <c r="D934" s="82" t="s">
        <v>338</v>
      </c>
      <c r="E934" s="82">
        <v>2081768.0</v>
      </c>
      <c r="F934" s="82" t="s">
        <v>1056</v>
      </c>
      <c r="G934" s="82" t="s">
        <v>338</v>
      </c>
      <c r="H934" s="90" t="s">
        <v>965</v>
      </c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</row>
    <row r="935" ht="40.5" customHeight="1">
      <c r="A935" s="90" t="s">
        <v>335</v>
      </c>
      <c r="B935" s="82" t="s">
        <v>336</v>
      </c>
      <c r="C935" s="82" t="s">
        <v>337</v>
      </c>
      <c r="D935" s="82" t="s">
        <v>339</v>
      </c>
      <c r="E935" s="82">
        <v>2081105.0</v>
      </c>
      <c r="F935" s="82" t="s">
        <v>1057</v>
      </c>
      <c r="G935" s="82" t="s">
        <v>347</v>
      </c>
      <c r="H935" s="90" t="s">
        <v>965</v>
      </c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</row>
    <row r="936" ht="40.5" customHeight="1">
      <c r="A936" s="90" t="s">
        <v>335</v>
      </c>
      <c r="B936" s="82" t="s">
        <v>336</v>
      </c>
      <c r="C936" s="82" t="s">
        <v>337</v>
      </c>
      <c r="D936" s="82" t="s">
        <v>340</v>
      </c>
      <c r="E936" s="82">
        <v>2078775.0</v>
      </c>
      <c r="F936" s="82" t="s">
        <v>1055</v>
      </c>
      <c r="G936" s="82" t="s">
        <v>336</v>
      </c>
      <c r="H936" s="90" t="s">
        <v>965</v>
      </c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</row>
    <row r="937" ht="40.5" customHeight="1">
      <c r="A937" s="90" t="s">
        <v>335</v>
      </c>
      <c r="B937" s="82" t="s">
        <v>336</v>
      </c>
      <c r="C937" s="82" t="s">
        <v>337</v>
      </c>
      <c r="D937" s="82" t="s">
        <v>341</v>
      </c>
      <c r="E937" s="82">
        <v>2081814.0</v>
      </c>
      <c r="F937" s="82" t="s">
        <v>1058</v>
      </c>
      <c r="G937" s="82" t="s">
        <v>341</v>
      </c>
      <c r="H937" s="90" t="s">
        <v>965</v>
      </c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</row>
    <row r="938" ht="40.5" customHeight="1">
      <c r="A938" s="90" t="s">
        <v>335</v>
      </c>
      <c r="B938" s="82" t="s">
        <v>336</v>
      </c>
      <c r="C938" s="82" t="s">
        <v>337</v>
      </c>
      <c r="D938" s="82" t="s">
        <v>342</v>
      </c>
      <c r="E938" s="82">
        <v>2081768.0</v>
      </c>
      <c r="F938" s="82" t="s">
        <v>1056</v>
      </c>
      <c r="G938" s="82" t="s">
        <v>338</v>
      </c>
      <c r="H938" s="90" t="s">
        <v>965</v>
      </c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</row>
    <row r="939" ht="40.5" customHeight="1">
      <c r="A939" s="90" t="s">
        <v>335</v>
      </c>
      <c r="B939" s="82" t="s">
        <v>336</v>
      </c>
      <c r="C939" s="82" t="s">
        <v>337</v>
      </c>
      <c r="D939" s="82" t="s">
        <v>343</v>
      </c>
      <c r="E939" s="82">
        <v>2081768.0</v>
      </c>
      <c r="F939" s="82" t="s">
        <v>1056</v>
      </c>
      <c r="G939" s="82" t="s">
        <v>338</v>
      </c>
      <c r="H939" s="90" t="s">
        <v>965</v>
      </c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</row>
    <row r="940" ht="40.5" customHeight="1">
      <c r="A940" s="90" t="s">
        <v>335</v>
      </c>
      <c r="B940" s="82" t="s">
        <v>336</v>
      </c>
      <c r="C940" s="82" t="s">
        <v>337</v>
      </c>
      <c r="D940" s="82" t="s">
        <v>344</v>
      </c>
      <c r="E940" s="82">
        <v>2078775.0</v>
      </c>
      <c r="F940" s="82" t="s">
        <v>1055</v>
      </c>
      <c r="G940" s="82" t="s">
        <v>336</v>
      </c>
      <c r="H940" s="90" t="s">
        <v>965</v>
      </c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</row>
    <row r="941" ht="40.5" customHeight="1">
      <c r="A941" s="90" t="s">
        <v>335</v>
      </c>
      <c r="B941" s="82" t="s">
        <v>336</v>
      </c>
      <c r="C941" s="82" t="s">
        <v>337</v>
      </c>
      <c r="D941" s="82" t="s">
        <v>345</v>
      </c>
      <c r="E941" s="82">
        <v>2081814.0</v>
      </c>
      <c r="F941" s="82" t="s">
        <v>1058</v>
      </c>
      <c r="G941" s="82" t="s">
        <v>341</v>
      </c>
      <c r="H941" s="90" t="s">
        <v>965</v>
      </c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</row>
    <row r="942" ht="40.5" customHeight="1">
      <c r="A942" s="90" t="s">
        <v>335</v>
      </c>
      <c r="B942" s="82" t="s">
        <v>336</v>
      </c>
      <c r="C942" s="82" t="s">
        <v>337</v>
      </c>
      <c r="D942" s="82" t="s">
        <v>346</v>
      </c>
      <c r="E942" s="82">
        <v>2078775.0</v>
      </c>
      <c r="F942" s="82" t="s">
        <v>1055</v>
      </c>
      <c r="G942" s="82" t="s">
        <v>336</v>
      </c>
      <c r="H942" s="90" t="s">
        <v>965</v>
      </c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</row>
    <row r="943" ht="40.5" customHeight="1">
      <c r="A943" s="90" t="s">
        <v>335</v>
      </c>
      <c r="B943" s="82" t="s">
        <v>336</v>
      </c>
      <c r="C943" s="82" t="s">
        <v>337</v>
      </c>
      <c r="D943" s="82" t="s">
        <v>347</v>
      </c>
      <c r="E943" s="82">
        <v>2081105.0</v>
      </c>
      <c r="F943" s="82" t="s">
        <v>1057</v>
      </c>
      <c r="G943" s="82" t="s">
        <v>347</v>
      </c>
      <c r="H943" s="90" t="s">
        <v>965</v>
      </c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</row>
    <row r="944" ht="40.5" customHeight="1">
      <c r="A944" s="90" t="s">
        <v>335</v>
      </c>
      <c r="B944" s="82" t="s">
        <v>336</v>
      </c>
      <c r="C944" s="82" t="s">
        <v>348</v>
      </c>
      <c r="D944" s="82" t="s">
        <v>349</v>
      </c>
      <c r="E944" s="82">
        <v>2082691.0</v>
      </c>
      <c r="F944" s="82" t="s">
        <v>1059</v>
      </c>
      <c r="G944" s="82" t="s">
        <v>349</v>
      </c>
      <c r="H944" s="90" t="s">
        <v>965</v>
      </c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</row>
    <row r="945" ht="40.5" customHeight="1">
      <c r="A945" s="90" t="s">
        <v>335</v>
      </c>
      <c r="B945" s="82" t="s">
        <v>336</v>
      </c>
      <c r="C945" s="82" t="s">
        <v>348</v>
      </c>
      <c r="D945" s="82" t="s">
        <v>350</v>
      </c>
      <c r="E945" s="82">
        <v>2083019.0</v>
      </c>
      <c r="F945" s="82" t="s">
        <v>1060</v>
      </c>
      <c r="G945" s="82" t="s">
        <v>355</v>
      </c>
      <c r="H945" s="90" t="s">
        <v>965</v>
      </c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</row>
    <row r="946" ht="40.5" customHeight="1">
      <c r="A946" s="90" t="s">
        <v>335</v>
      </c>
      <c r="B946" s="82" t="s">
        <v>336</v>
      </c>
      <c r="C946" s="82" t="s">
        <v>348</v>
      </c>
      <c r="D946" s="82" t="s">
        <v>351</v>
      </c>
      <c r="E946" s="82">
        <v>2083019.0</v>
      </c>
      <c r="F946" s="82" t="s">
        <v>1060</v>
      </c>
      <c r="G946" s="82" t="s">
        <v>355</v>
      </c>
      <c r="H946" s="90" t="s">
        <v>965</v>
      </c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</row>
    <row r="947" ht="40.5" customHeight="1">
      <c r="A947" s="90" t="s">
        <v>335</v>
      </c>
      <c r="B947" s="82" t="s">
        <v>336</v>
      </c>
      <c r="C947" s="82" t="s">
        <v>348</v>
      </c>
      <c r="D947" s="82" t="s">
        <v>352</v>
      </c>
      <c r="E947" s="82">
        <v>2078511.0</v>
      </c>
      <c r="F947" s="82" t="s">
        <v>1061</v>
      </c>
      <c r="G947" s="82" t="s">
        <v>352</v>
      </c>
      <c r="H947" s="90" t="s">
        <v>965</v>
      </c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</row>
    <row r="948" ht="40.5" customHeight="1">
      <c r="A948" s="90" t="s">
        <v>335</v>
      </c>
      <c r="B948" s="82" t="s">
        <v>336</v>
      </c>
      <c r="C948" s="82" t="s">
        <v>348</v>
      </c>
      <c r="D948" s="82" t="s">
        <v>353</v>
      </c>
      <c r="E948" s="82">
        <v>2078511.0</v>
      </c>
      <c r="F948" s="82" t="s">
        <v>1061</v>
      </c>
      <c r="G948" s="82" t="s">
        <v>352</v>
      </c>
      <c r="H948" s="90" t="s">
        <v>965</v>
      </c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</row>
    <row r="949" ht="40.5" customHeight="1">
      <c r="A949" s="90" t="s">
        <v>335</v>
      </c>
      <c r="B949" s="82" t="s">
        <v>336</v>
      </c>
      <c r="C949" s="82" t="s">
        <v>348</v>
      </c>
      <c r="D949" s="82" t="s">
        <v>354</v>
      </c>
      <c r="E949" s="82">
        <v>2083019.0</v>
      </c>
      <c r="F949" s="82" t="s">
        <v>1060</v>
      </c>
      <c r="G949" s="82" t="s">
        <v>355</v>
      </c>
      <c r="H949" s="90" t="s">
        <v>965</v>
      </c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</row>
    <row r="950" ht="40.5" customHeight="1">
      <c r="A950" s="90" t="s">
        <v>335</v>
      </c>
      <c r="B950" s="82" t="s">
        <v>336</v>
      </c>
      <c r="C950" s="82" t="s">
        <v>348</v>
      </c>
      <c r="D950" s="82" t="s">
        <v>355</v>
      </c>
      <c r="E950" s="82">
        <v>2083019.0</v>
      </c>
      <c r="F950" s="82" t="s">
        <v>1060</v>
      </c>
      <c r="G950" s="82" t="s">
        <v>355</v>
      </c>
      <c r="H950" s="90" t="s">
        <v>965</v>
      </c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</row>
    <row r="951" ht="40.5" customHeight="1">
      <c r="A951" s="90" t="s">
        <v>335</v>
      </c>
      <c r="B951" s="82" t="s">
        <v>336</v>
      </c>
      <c r="C951" s="82" t="s">
        <v>348</v>
      </c>
      <c r="D951" s="82" t="s">
        <v>356</v>
      </c>
      <c r="E951" s="82">
        <v>2082691.0</v>
      </c>
      <c r="F951" s="82" t="s">
        <v>1059</v>
      </c>
      <c r="G951" s="82" t="s">
        <v>349</v>
      </c>
      <c r="H951" s="90" t="s">
        <v>965</v>
      </c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</row>
    <row r="952" ht="40.5" customHeight="1">
      <c r="A952" s="90" t="s">
        <v>335</v>
      </c>
      <c r="B952" s="82" t="s">
        <v>336</v>
      </c>
      <c r="C952" s="82" t="s">
        <v>348</v>
      </c>
      <c r="D952" s="82" t="s">
        <v>357</v>
      </c>
      <c r="E952" s="82">
        <v>2082691.0</v>
      </c>
      <c r="F952" s="82" t="s">
        <v>1059</v>
      </c>
      <c r="G952" s="82" t="s">
        <v>349</v>
      </c>
      <c r="H952" s="90" t="s">
        <v>965</v>
      </c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</row>
    <row r="953" ht="40.5" customHeight="1">
      <c r="A953" s="90" t="s">
        <v>335</v>
      </c>
      <c r="B953" s="82" t="s">
        <v>336</v>
      </c>
      <c r="C953" s="82" t="s">
        <v>348</v>
      </c>
      <c r="D953" s="82" t="s">
        <v>358</v>
      </c>
      <c r="E953" s="82">
        <v>2083027.0</v>
      </c>
      <c r="F953" s="82" t="s">
        <v>1062</v>
      </c>
      <c r="G953" s="82" t="s">
        <v>358</v>
      </c>
      <c r="H953" s="90" t="s">
        <v>965</v>
      </c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</row>
    <row r="954" ht="40.5" customHeight="1">
      <c r="A954" s="90" t="s">
        <v>335</v>
      </c>
      <c r="B954" s="82" t="s">
        <v>336</v>
      </c>
      <c r="C954" s="82" t="s">
        <v>348</v>
      </c>
      <c r="D954" s="82" t="s">
        <v>359</v>
      </c>
      <c r="E954" s="82">
        <v>2081245.0</v>
      </c>
      <c r="F954" s="82" t="s">
        <v>1063</v>
      </c>
      <c r="G954" s="82" t="s">
        <v>1064</v>
      </c>
      <c r="H954" s="90" t="s">
        <v>965</v>
      </c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</row>
    <row r="955" ht="40.5" customHeight="1">
      <c r="A955" s="90" t="s">
        <v>335</v>
      </c>
      <c r="B955" s="82" t="s">
        <v>336</v>
      </c>
      <c r="C955" s="82" t="s">
        <v>348</v>
      </c>
      <c r="D955" s="82" t="s">
        <v>360</v>
      </c>
      <c r="E955" s="82">
        <v>2078511.0</v>
      </c>
      <c r="F955" s="82" t="s">
        <v>1061</v>
      </c>
      <c r="G955" s="82" t="s">
        <v>352</v>
      </c>
      <c r="H955" s="90" t="s">
        <v>965</v>
      </c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</row>
    <row r="956" ht="40.5" customHeight="1">
      <c r="A956" s="90" t="s">
        <v>335</v>
      </c>
      <c r="B956" s="82" t="s">
        <v>336</v>
      </c>
      <c r="C956" s="82" t="s">
        <v>361</v>
      </c>
      <c r="D956" s="82" t="s">
        <v>362</v>
      </c>
      <c r="E956" s="95">
        <v>2078503.0</v>
      </c>
      <c r="F956" s="95" t="s">
        <v>1065</v>
      </c>
      <c r="G956" s="82" t="s">
        <v>375</v>
      </c>
      <c r="H956" s="90" t="s">
        <v>965</v>
      </c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</row>
    <row r="957" ht="40.5" customHeight="1">
      <c r="A957" s="90" t="s">
        <v>335</v>
      </c>
      <c r="B957" s="82" t="s">
        <v>336</v>
      </c>
      <c r="C957" s="82" t="s">
        <v>361</v>
      </c>
      <c r="D957" s="82" t="s">
        <v>363</v>
      </c>
      <c r="E957" s="95">
        <v>2078503.0</v>
      </c>
      <c r="F957" s="95" t="s">
        <v>1065</v>
      </c>
      <c r="G957" s="82" t="s">
        <v>375</v>
      </c>
      <c r="H957" s="90" t="s">
        <v>965</v>
      </c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</row>
    <row r="958" ht="40.5" customHeight="1">
      <c r="A958" s="90" t="s">
        <v>335</v>
      </c>
      <c r="B958" s="82" t="s">
        <v>336</v>
      </c>
      <c r="C958" s="82" t="s">
        <v>361</v>
      </c>
      <c r="D958" s="82" t="s">
        <v>364</v>
      </c>
      <c r="E958" s="95">
        <v>2078503.0</v>
      </c>
      <c r="F958" s="95" t="s">
        <v>1065</v>
      </c>
      <c r="G958" s="82" t="s">
        <v>375</v>
      </c>
      <c r="H958" s="90" t="s">
        <v>965</v>
      </c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</row>
    <row r="959" ht="40.5" customHeight="1">
      <c r="A959" s="90" t="s">
        <v>335</v>
      </c>
      <c r="B959" s="82" t="s">
        <v>336</v>
      </c>
      <c r="C959" s="82" t="s">
        <v>361</v>
      </c>
      <c r="D959" s="82" t="s">
        <v>365</v>
      </c>
      <c r="E959" s="95">
        <v>2078252.0</v>
      </c>
      <c r="F959" s="95" t="s">
        <v>1066</v>
      </c>
      <c r="G959" s="82" t="s">
        <v>365</v>
      </c>
      <c r="H959" s="90" t="s">
        <v>965</v>
      </c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</row>
    <row r="960" ht="40.5" customHeight="1">
      <c r="A960" s="90" t="s">
        <v>335</v>
      </c>
      <c r="B960" s="82" t="s">
        <v>336</v>
      </c>
      <c r="C960" s="82" t="s">
        <v>361</v>
      </c>
      <c r="D960" s="82" t="s">
        <v>366</v>
      </c>
      <c r="E960" s="95">
        <v>2078503.0</v>
      </c>
      <c r="F960" s="95" t="s">
        <v>1065</v>
      </c>
      <c r="G960" s="82" t="s">
        <v>375</v>
      </c>
      <c r="H960" s="90" t="s">
        <v>965</v>
      </c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</row>
    <row r="961" ht="40.5" customHeight="1">
      <c r="A961" s="90" t="s">
        <v>335</v>
      </c>
      <c r="B961" s="82" t="s">
        <v>336</v>
      </c>
      <c r="C961" s="82" t="s">
        <v>361</v>
      </c>
      <c r="D961" s="82" t="s">
        <v>367</v>
      </c>
      <c r="E961" s="95">
        <v>2079461.0</v>
      </c>
      <c r="F961" s="95" t="s">
        <v>1067</v>
      </c>
      <c r="G961" s="82" t="s">
        <v>368</v>
      </c>
      <c r="H961" s="90" t="s">
        <v>965</v>
      </c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</row>
    <row r="962" ht="40.5" customHeight="1">
      <c r="A962" s="90" t="s">
        <v>335</v>
      </c>
      <c r="B962" s="82" t="s">
        <v>336</v>
      </c>
      <c r="C962" s="82" t="s">
        <v>361</v>
      </c>
      <c r="D962" s="82" t="s">
        <v>368</v>
      </c>
      <c r="E962" s="95">
        <v>2079461.0</v>
      </c>
      <c r="F962" s="95" t="s">
        <v>1067</v>
      </c>
      <c r="G962" s="82" t="s">
        <v>368</v>
      </c>
      <c r="H962" s="90" t="s">
        <v>965</v>
      </c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</row>
    <row r="963" ht="40.5" customHeight="1">
      <c r="A963" s="90" t="s">
        <v>335</v>
      </c>
      <c r="B963" s="82" t="s">
        <v>336</v>
      </c>
      <c r="C963" s="82" t="s">
        <v>361</v>
      </c>
      <c r="D963" s="82" t="s">
        <v>369</v>
      </c>
      <c r="E963" s="95">
        <v>2078252.0</v>
      </c>
      <c r="F963" s="95" t="s">
        <v>1066</v>
      </c>
      <c r="G963" s="82" t="s">
        <v>365</v>
      </c>
      <c r="H963" s="90" t="s">
        <v>965</v>
      </c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</row>
    <row r="964" ht="40.5" customHeight="1">
      <c r="A964" s="90" t="s">
        <v>335</v>
      </c>
      <c r="B964" s="82" t="s">
        <v>336</v>
      </c>
      <c r="C964" s="82" t="s">
        <v>361</v>
      </c>
      <c r="D964" s="82" t="s">
        <v>370</v>
      </c>
      <c r="E964" s="95">
        <v>2078252.0</v>
      </c>
      <c r="F964" s="95" t="s">
        <v>1066</v>
      </c>
      <c r="G964" s="82" t="s">
        <v>365</v>
      </c>
      <c r="H964" s="90" t="s">
        <v>965</v>
      </c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</row>
    <row r="965" ht="40.5" customHeight="1">
      <c r="A965" s="90" t="s">
        <v>335</v>
      </c>
      <c r="B965" s="82" t="s">
        <v>336</v>
      </c>
      <c r="C965" s="82" t="s">
        <v>361</v>
      </c>
      <c r="D965" s="82" t="s">
        <v>371</v>
      </c>
      <c r="E965" s="95">
        <v>2078252.0</v>
      </c>
      <c r="F965" s="95" t="s">
        <v>1066</v>
      </c>
      <c r="G965" s="82" t="s">
        <v>365</v>
      </c>
      <c r="H965" s="90" t="s">
        <v>965</v>
      </c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</row>
    <row r="966" ht="40.5" customHeight="1">
      <c r="A966" s="90" t="s">
        <v>335</v>
      </c>
      <c r="B966" s="82" t="s">
        <v>336</v>
      </c>
      <c r="C966" s="82" t="s">
        <v>361</v>
      </c>
      <c r="D966" s="82" t="s">
        <v>372</v>
      </c>
      <c r="E966" s="95">
        <v>2078503.0</v>
      </c>
      <c r="F966" s="95" t="s">
        <v>1065</v>
      </c>
      <c r="G966" s="82" t="s">
        <v>375</v>
      </c>
      <c r="H966" s="90" t="s">
        <v>965</v>
      </c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</row>
    <row r="967" ht="40.5" customHeight="1">
      <c r="A967" s="90" t="s">
        <v>335</v>
      </c>
      <c r="B967" s="82" t="s">
        <v>336</v>
      </c>
      <c r="C967" s="82" t="s">
        <v>361</v>
      </c>
      <c r="D967" s="82" t="s">
        <v>373</v>
      </c>
      <c r="E967" s="95">
        <v>2078252.0</v>
      </c>
      <c r="F967" s="95" t="s">
        <v>1066</v>
      </c>
      <c r="G967" s="82" t="s">
        <v>365</v>
      </c>
      <c r="H967" s="90" t="s">
        <v>965</v>
      </c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</row>
    <row r="968" ht="40.5" customHeight="1">
      <c r="A968" s="90" t="s">
        <v>335</v>
      </c>
      <c r="B968" s="82" t="s">
        <v>336</v>
      </c>
      <c r="C968" s="82" t="s">
        <v>361</v>
      </c>
      <c r="D968" s="82" t="s">
        <v>374</v>
      </c>
      <c r="E968" s="95">
        <v>2078503.0</v>
      </c>
      <c r="F968" s="95" t="s">
        <v>1065</v>
      </c>
      <c r="G968" s="82" t="s">
        <v>375</v>
      </c>
      <c r="H968" s="90" t="s">
        <v>965</v>
      </c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</row>
    <row r="969" ht="40.5" customHeight="1">
      <c r="A969" s="90" t="s">
        <v>335</v>
      </c>
      <c r="B969" s="82" t="s">
        <v>336</v>
      </c>
      <c r="C969" s="82" t="s">
        <v>361</v>
      </c>
      <c r="D969" s="82" t="s">
        <v>375</v>
      </c>
      <c r="E969" s="95">
        <v>2078503.0</v>
      </c>
      <c r="F969" s="95" t="s">
        <v>1065</v>
      </c>
      <c r="G969" s="82" t="s">
        <v>375</v>
      </c>
      <c r="H969" s="90" t="s">
        <v>965</v>
      </c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</row>
    <row r="970" ht="40.5" customHeight="1">
      <c r="A970" s="90" t="s">
        <v>335</v>
      </c>
      <c r="B970" s="82" t="s">
        <v>336</v>
      </c>
      <c r="C970" s="82" t="s">
        <v>361</v>
      </c>
      <c r="D970" s="82" t="s">
        <v>376</v>
      </c>
      <c r="E970" s="95">
        <v>2078252.0</v>
      </c>
      <c r="F970" s="95" t="s">
        <v>1066</v>
      </c>
      <c r="G970" s="82" t="s">
        <v>365</v>
      </c>
      <c r="H970" s="90" t="s">
        <v>965</v>
      </c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</row>
    <row r="971" ht="40.5" customHeight="1">
      <c r="A971" s="90" t="s">
        <v>335</v>
      </c>
      <c r="B971" s="82" t="s">
        <v>336</v>
      </c>
      <c r="C971" s="82" t="s">
        <v>361</v>
      </c>
      <c r="D971" s="82" t="s">
        <v>377</v>
      </c>
      <c r="E971" s="95">
        <v>2078252.0</v>
      </c>
      <c r="F971" s="95" t="s">
        <v>1066</v>
      </c>
      <c r="G971" s="82" t="s">
        <v>365</v>
      </c>
      <c r="H971" s="90" t="s">
        <v>965</v>
      </c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</row>
    <row r="972" ht="40.5" customHeight="1">
      <c r="A972" s="90" t="s">
        <v>335</v>
      </c>
      <c r="B972" s="82" t="s">
        <v>336</v>
      </c>
      <c r="C972" s="82" t="s">
        <v>361</v>
      </c>
      <c r="D972" s="82" t="s">
        <v>378</v>
      </c>
      <c r="E972" s="95">
        <v>2078252.0</v>
      </c>
      <c r="F972" s="95" t="s">
        <v>1066</v>
      </c>
      <c r="G972" s="82" t="s">
        <v>365</v>
      </c>
      <c r="H972" s="90" t="s">
        <v>965</v>
      </c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</row>
    <row r="973" ht="40.5" customHeight="1">
      <c r="A973" s="90" t="s">
        <v>335</v>
      </c>
      <c r="B973" s="96" t="s">
        <v>379</v>
      </c>
      <c r="C973" s="97" t="s">
        <v>380</v>
      </c>
      <c r="D973" s="97" t="s">
        <v>381</v>
      </c>
      <c r="E973" s="97">
        <v>2089327.0</v>
      </c>
      <c r="F973" s="97" t="s">
        <v>904</v>
      </c>
      <c r="G973" s="97" t="s">
        <v>380</v>
      </c>
      <c r="H973" s="90" t="s">
        <v>965</v>
      </c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</row>
    <row r="974" ht="40.5" customHeight="1">
      <c r="A974" s="90" t="s">
        <v>335</v>
      </c>
      <c r="B974" s="96" t="s">
        <v>379</v>
      </c>
      <c r="C974" s="97" t="s">
        <v>380</v>
      </c>
      <c r="D974" s="97" t="s">
        <v>380</v>
      </c>
      <c r="E974" s="97">
        <v>2089327.0</v>
      </c>
      <c r="F974" s="97" t="s">
        <v>904</v>
      </c>
      <c r="G974" s="97" t="s">
        <v>380</v>
      </c>
      <c r="H974" s="90" t="s">
        <v>965</v>
      </c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</row>
    <row r="975" ht="40.5" customHeight="1">
      <c r="A975" s="90" t="s">
        <v>335</v>
      </c>
      <c r="B975" s="96" t="s">
        <v>379</v>
      </c>
      <c r="C975" s="97" t="s">
        <v>380</v>
      </c>
      <c r="D975" s="97" t="s">
        <v>382</v>
      </c>
      <c r="E975" s="97">
        <v>2089327.0</v>
      </c>
      <c r="F975" s="97" t="s">
        <v>904</v>
      </c>
      <c r="G975" s="97" t="s">
        <v>380</v>
      </c>
      <c r="H975" s="90" t="s">
        <v>965</v>
      </c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</row>
    <row r="976" ht="40.5" customHeight="1">
      <c r="A976" s="90" t="s">
        <v>335</v>
      </c>
      <c r="B976" s="96" t="s">
        <v>379</v>
      </c>
      <c r="C976" s="97" t="s">
        <v>380</v>
      </c>
      <c r="D976" s="97" t="s">
        <v>383</v>
      </c>
      <c r="E976" s="97">
        <v>2089327.0</v>
      </c>
      <c r="F976" s="97" t="s">
        <v>904</v>
      </c>
      <c r="G976" s="97" t="s">
        <v>380</v>
      </c>
      <c r="H976" s="90" t="s">
        <v>965</v>
      </c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</row>
    <row r="977" ht="40.5" customHeight="1">
      <c r="A977" s="90" t="s">
        <v>335</v>
      </c>
      <c r="B977" s="96" t="s">
        <v>379</v>
      </c>
      <c r="C977" s="97" t="s">
        <v>380</v>
      </c>
      <c r="D977" s="97" t="s">
        <v>384</v>
      </c>
      <c r="E977" s="97">
        <v>2089327.0</v>
      </c>
      <c r="F977" s="97" t="s">
        <v>904</v>
      </c>
      <c r="G977" s="97" t="s">
        <v>380</v>
      </c>
      <c r="H977" s="90" t="s">
        <v>965</v>
      </c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</row>
    <row r="978" ht="40.5" customHeight="1">
      <c r="A978" s="90" t="s">
        <v>335</v>
      </c>
      <c r="B978" s="96" t="s">
        <v>379</v>
      </c>
      <c r="C978" s="97" t="s">
        <v>380</v>
      </c>
      <c r="D978" s="97" t="s">
        <v>385</v>
      </c>
      <c r="E978" s="97">
        <v>2089327.0</v>
      </c>
      <c r="F978" s="97" t="s">
        <v>904</v>
      </c>
      <c r="G978" s="97" t="s">
        <v>380</v>
      </c>
      <c r="H978" s="90" t="s">
        <v>965</v>
      </c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</row>
    <row r="979" ht="40.5" customHeight="1">
      <c r="A979" s="90" t="s">
        <v>335</v>
      </c>
      <c r="B979" s="96" t="s">
        <v>379</v>
      </c>
      <c r="C979" s="97" t="s">
        <v>380</v>
      </c>
      <c r="D979" s="97" t="s">
        <v>386</v>
      </c>
      <c r="E979" s="97">
        <v>2089327.0</v>
      </c>
      <c r="F979" s="97" t="s">
        <v>904</v>
      </c>
      <c r="G979" s="97" t="s">
        <v>380</v>
      </c>
      <c r="H979" s="90" t="s">
        <v>965</v>
      </c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</row>
    <row r="980" ht="40.5" customHeight="1">
      <c r="A980" s="90" t="s">
        <v>335</v>
      </c>
      <c r="B980" s="96" t="s">
        <v>379</v>
      </c>
      <c r="C980" s="97" t="s">
        <v>380</v>
      </c>
      <c r="D980" s="97" t="s">
        <v>387</v>
      </c>
      <c r="E980" s="97">
        <v>2089327.0</v>
      </c>
      <c r="F980" s="97" t="s">
        <v>904</v>
      </c>
      <c r="G980" s="97" t="s">
        <v>380</v>
      </c>
      <c r="H980" s="90" t="s">
        <v>965</v>
      </c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</row>
    <row r="981" ht="40.5" customHeight="1">
      <c r="A981" s="90" t="s">
        <v>335</v>
      </c>
      <c r="B981" s="96" t="s">
        <v>379</v>
      </c>
      <c r="C981" s="97" t="s">
        <v>380</v>
      </c>
      <c r="D981" s="97" t="s">
        <v>388</v>
      </c>
      <c r="E981" s="97">
        <v>2089327.0</v>
      </c>
      <c r="F981" s="97" t="s">
        <v>904</v>
      </c>
      <c r="G981" s="97" t="s">
        <v>380</v>
      </c>
      <c r="H981" s="90" t="s">
        <v>965</v>
      </c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</row>
    <row r="982" ht="40.5" customHeight="1">
      <c r="A982" s="90" t="s">
        <v>335</v>
      </c>
      <c r="B982" s="96" t="s">
        <v>379</v>
      </c>
      <c r="C982" s="97" t="s">
        <v>380</v>
      </c>
      <c r="D982" s="97" t="s">
        <v>389</v>
      </c>
      <c r="E982" s="97">
        <v>2089327.0</v>
      </c>
      <c r="F982" s="97" t="s">
        <v>904</v>
      </c>
      <c r="G982" s="97" t="s">
        <v>380</v>
      </c>
      <c r="H982" s="90" t="s">
        <v>965</v>
      </c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0"/>
    </row>
    <row r="983" ht="40.5" customHeight="1">
      <c r="A983" s="90" t="s">
        <v>335</v>
      </c>
      <c r="B983" s="96" t="s">
        <v>379</v>
      </c>
      <c r="C983" s="97" t="s">
        <v>380</v>
      </c>
      <c r="D983" s="97" t="s">
        <v>390</v>
      </c>
      <c r="E983" s="97">
        <v>2088487.0</v>
      </c>
      <c r="F983" s="97" t="s">
        <v>1068</v>
      </c>
      <c r="G983" s="97" t="s">
        <v>390</v>
      </c>
      <c r="H983" s="90" t="s">
        <v>965</v>
      </c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0"/>
    </row>
    <row r="984" ht="40.5" customHeight="1">
      <c r="A984" s="90" t="s">
        <v>335</v>
      </c>
      <c r="B984" s="96" t="s">
        <v>379</v>
      </c>
      <c r="C984" s="97" t="s">
        <v>380</v>
      </c>
      <c r="D984" s="97" t="s">
        <v>391</v>
      </c>
      <c r="E984" s="97">
        <v>2089327.0</v>
      </c>
      <c r="F984" s="97" t="s">
        <v>904</v>
      </c>
      <c r="G984" s="97" t="s">
        <v>380</v>
      </c>
      <c r="H984" s="90" t="s">
        <v>965</v>
      </c>
      <c r="I984" s="80"/>
      <c r="J984" s="80"/>
      <c r="K984" s="80"/>
      <c r="L984" s="80"/>
      <c r="M984" s="80"/>
      <c r="N984" s="80"/>
      <c r="O984" s="80"/>
      <c r="P984" s="80"/>
      <c r="Q984" s="80"/>
      <c r="R984" s="80"/>
      <c r="S984" s="80"/>
    </row>
    <row r="985" ht="40.5" customHeight="1">
      <c r="A985" s="90" t="s">
        <v>335</v>
      </c>
      <c r="B985" s="96" t="s">
        <v>379</v>
      </c>
      <c r="C985" s="97" t="s">
        <v>380</v>
      </c>
      <c r="D985" s="97" t="s">
        <v>392</v>
      </c>
      <c r="E985" s="97">
        <v>2089327.0</v>
      </c>
      <c r="F985" s="97" t="s">
        <v>904</v>
      </c>
      <c r="G985" s="97" t="s">
        <v>380</v>
      </c>
      <c r="H985" s="90" t="s">
        <v>965</v>
      </c>
      <c r="I985" s="80"/>
      <c r="J985" s="80"/>
      <c r="K985" s="80"/>
      <c r="L985" s="80"/>
      <c r="M985" s="80"/>
      <c r="N985" s="80"/>
      <c r="O985" s="80"/>
      <c r="P985" s="80"/>
      <c r="Q985" s="80"/>
      <c r="R985" s="80"/>
      <c r="S985" s="80"/>
    </row>
    <row r="986" ht="40.5" customHeight="1">
      <c r="A986" s="90" t="s">
        <v>335</v>
      </c>
      <c r="B986" s="96" t="s">
        <v>379</v>
      </c>
      <c r="C986" s="97" t="s">
        <v>380</v>
      </c>
      <c r="D986" s="97" t="s">
        <v>393</v>
      </c>
      <c r="E986" s="97">
        <v>2089327.0</v>
      </c>
      <c r="F986" s="97" t="s">
        <v>904</v>
      </c>
      <c r="G986" s="97" t="s">
        <v>380</v>
      </c>
      <c r="H986" s="90" t="s">
        <v>965</v>
      </c>
      <c r="I986" s="80"/>
      <c r="J986" s="80"/>
      <c r="K986" s="80"/>
      <c r="L986" s="80"/>
      <c r="M986" s="80"/>
      <c r="N986" s="80"/>
      <c r="O986" s="80"/>
      <c r="P986" s="80"/>
      <c r="Q986" s="80"/>
      <c r="R986" s="80"/>
      <c r="S986" s="80"/>
    </row>
    <row r="987" ht="40.5" customHeight="1">
      <c r="A987" s="90" t="s">
        <v>335</v>
      </c>
      <c r="B987" s="96" t="s">
        <v>379</v>
      </c>
      <c r="C987" s="97" t="s">
        <v>380</v>
      </c>
      <c r="D987" s="97" t="s">
        <v>394</v>
      </c>
      <c r="E987" s="97">
        <v>2089327.0</v>
      </c>
      <c r="F987" s="97" t="s">
        <v>904</v>
      </c>
      <c r="G987" s="97" t="s">
        <v>380</v>
      </c>
      <c r="H987" s="90" t="s">
        <v>965</v>
      </c>
      <c r="I987" s="80"/>
      <c r="J987" s="80"/>
      <c r="K987" s="80"/>
      <c r="L987" s="80"/>
      <c r="M987" s="80"/>
      <c r="N987" s="80"/>
      <c r="O987" s="80"/>
      <c r="P987" s="80"/>
      <c r="Q987" s="80"/>
      <c r="R987" s="80"/>
      <c r="S987" s="80"/>
    </row>
    <row r="988" ht="40.5" customHeight="1">
      <c r="A988" s="90" t="s">
        <v>335</v>
      </c>
      <c r="B988" s="96" t="s">
        <v>379</v>
      </c>
      <c r="C988" s="97" t="s">
        <v>380</v>
      </c>
      <c r="D988" s="97" t="s">
        <v>395</v>
      </c>
      <c r="E988" s="97">
        <v>2089327.0</v>
      </c>
      <c r="F988" s="97" t="s">
        <v>904</v>
      </c>
      <c r="G988" s="97" t="s">
        <v>380</v>
      </c>
      <c r="H988" s="90" t="s">
        <v>965</v>
      </c>
      <c r="I988" s="80"/>
      <c r="J988" s="80"/>
      <c r="K988" s="80"/>
      <c r="L988" s="80"/>
      <c r="M988" s="80"/>
      <c r="N988" s="80"/>
      <c r="O988" s="80"/>
      <c r="P988" s="80"/>
      <c r="Q988" s="80"/>
      <c r="R988" s="80"/>
      <c r="S988" s="80"/>
    </row>
    <row r="989" ht="40.5" customHeight="1">
      <c r="A989" s="90" t="s">
        <v>335</v>
      </c>
      <c r="B989" s="96" t="s">
        <v>379</v>
      </c>
      <c r="C989" s="97" t="s">
        <v>380</v>
      </c>
      <c r="D989" s="97" t="s">
        <v>396</v>
      </c>
      <c r="E989" s="97">
        <v>2089327.0</v>
      </c>
      <c r="F989" s="97" t="s">
        <v>904</v>
      </c>
      <c r="G989" s="97" t="s">
        <v>380</v>
      </c>
      <c r="H989" s="90" t="s">
        <v>965</v>
      </c>
      <c r="I989" s="80"/>
      <c r="J989" s="80"/>
      <c r="K989" s="80"/>
      <c r="L989" s="80"/>
      <c r="M989" s="80"/>
      <c r="N989" s="80"/>
      <c r="O989" s="80"/>
      <c r="P989" s="80"/>
      <c r="Q989" s="80"/>
      <c r="R989" s="80"/>
      <c r="S989" s="80"/>
    </row>
    <row r="990" ht="40.5" customHeight="1">
      <c r="A990" s="90" t="s">
        <v>335</v>
      </c>
      <c r="B990" s="96" t="s">
        <v>379</v>
      </c>
      <c r="C990" s="97" t="s">
        <v>380</v>
      </c>
      <c r="D990" s="97" t="s">
        <v>397</v>
      </c>
      <c r="E990" s="97">
        <v>2089327.0</v>
      </c>
      <c r="F990" s="97" t="s">
        <v>904</v>
      </c>
      <c r="G990" s="97" t="s">
        <v>380</v>
      </c>
      <c r="H990" s="90" t="s">
        <v>965</v>
      </c>
      <c r="I990" s="80"/>
      <c r="J990" s="80"/>
      <c r="K990" s="80"/>
      <c r="L990" s="80"/>
      <c r="M990" s="80"/>
      <c r="N990" s="80"/>
      <c r="O990" s="80"/>
      <c r="P990" s="80"/>
      <c r="Q990" s="80"/>
      <c r="R990" s="80"/>
      <c r="S990" s="80"/>
    </row>
    <row r="991" ht="40.5" customHeight="1">
      <c r="A991" s="90" t="s">
        <v>335</v>
      </c>
      <c r="B991" s="96" t="s">
        <v>379</v>
      </c>
      <c r="C991" s="97" t="s">
        <v>380</v>
      </c>
      <c r="D991" s="97" t="s">
        <v>398</v>
      </c>
      <c r="E991" s="97">
        <v>2089327.0</v>
      </c>
      <c r="F991" s="97" t="s">
        <v>904</v>
      </c>
      <c r="G991" s="97" t="s">
        <v>380</v>
      </c>
      <c r="H991" s="90" t="s">
        <v>965</v>
      </c>
      <c r="I991" s="80"/>
      <c r="J991" s="80"/>
      <c r="K991" s="80"/>
      <c r="L991" s="80"/>
      <c r="M991" s="80"/>
      <c r="N991" s="80"/>
      <c r="O991" s="80"/>
      <c r="P991" s="80"/>
      <c r="Q991" s="80"/>
      <c r="R991" s="80"/>
      <c r="S991" s="80"/>
    </row>
    <row r="992" ht="40.5" customHeight="1">
      <c r="A992" s="90" t="s">
        <v>335</v>
      </c>
      <c r="B992" s="96" t="s">
        <v>379</v>
      </c>
      <c r="C992" s="97" t="s">
        <v>399</v>
      </c>
      <c r="D992" s="97" t="s">
        <v>400</v>
      </c>
      <c r="E992" s="97">
        <v>2093332.0</v>
      </c>
      <c r="F992" s="97" t="s">
        <v>1069</v>
      </c>
      <c r="G992" s="97" t="s">
        <v>399</v>
      </c>
      <c r="H992" s="90" t="s">
        <v>965</v>
      </c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0"/>
    </row>
    <row r="993" ht="40.5" customHeight="1">
      <c r="A993" s="90" t="s">
        <v>335</v>
      </c>
      <c r="B993" s="96" t="s">
        <v>379</v>
      </c>
      <c r="C993" s="97" t="s">
        <v>399</v>
      </c>
      <c r="D993" s="97" t="s">
        <v>401</v>
      </c>
      <c r="E993" s="97">
        <v>2093332.0</v>
      </c>
      <c r="F993" s="97" t="s">
        <v>1069</v>
      </c>
      <c r="G993" s="97" t="s">
        <v>399</v>
      </c>
      <c r="H993" s="90" t="s">
        <v>965</v>
      </c>
      <c r="I993" s="80"/>
      <c r="J993" s="80"/>
      <c r="K993" s="80"/>
      <c r="L993" s="80"/>
      <c r="M993" s="80"/>
      <c r="N993" s="80"/>
      <c r="O993" s="80"/>
      <c r="P993" s="80"/>
      <c r="Q993" s="80"/>
      <c r="R993" s="80"/>
      <c r="S993" s="80"/>
    </row>
    <row r="994" ht="40.5" customHeight="1">
      <c r="A994" s="90" t="s">
        <v>335</v>
      </c>
      <c r="B994" s="96" t="s">
        <v>379</v>
      </c>
      <c r="C994" s="97" t="s">
        <v>399</v>
      </c>
      <c r="D994" s="97" t="s">
        <v>402</v>
      </c>
      <c r="E994" s="97">
        <v>2093332.0</v>
      </c>
      <c r="F994" s="97" t="s">
        <v>1069</v>
      </c>
      <c r="G994" s="97" t="s">
        <v>399</v>
      </c>
      <c r="H994" s="90" t="s">
        <v>965</v>
      </c>
      <c r="I994" s="80"/>
      <c r="J994" s="80"/>
      <c r="K994" s="80"/>
      <c r="L994" s="80"/>
      <c r="M994" s="80"/>
      <c r="N994" s="80"/>
      <c r="O994" s="80"/>
      <c r="P994" s="80"/>
      <c r="Q994" s="80"/>
      <c r="R994" s="80"/>
      <c r="S994" s="80"/>
    </row>
    <row r="995" ht="40.5" customHeight="1">
      <c r="A995" s="90" t="s">
        <v>335</v>
      </c>
      <c r="B995" s="96" t="s">
        <v>379</v>
      </c>
      <c r="C995" s="97" t="s">
        <v>399</v>
      </c>
      <c r="D995" s="97" t="s">
        <v>399</v>
      </c>
      <c r="E995" s="97">
        <v>2093332.0</v>
      </c>
      <c r="F995" s="97" t="s">
        <v>1069</v>
      </c>
      <c r="G995" s="97" t="s">
        <v>399</v>
      </c>
      <c r="H995" s="90" t="s">
        <v>965</v>
      </c>
      <c r="I995" s="80"/>
      <c r="J995" s="80"/>
      <c r="K995" s="80"/>
      <c r="L995" s="80"/>
      <c r="M995" s="80"/>
      <c r="N995" s="80"/>
      <c r="O995" s="80"/>
      <c r="P995" s="80"/>
      <c r="Q995" s="80"/>
      <c r="R995" s="80"/>
      <c r="S995" s="80"/>
    </row>
    <row r="996" ht="40.5" customHeight="1">
      <c r="A996" s="90" t="s">
        <v>335</v>
      </c>
      <c r="B996" s="96" t="s">
        <v>379</v>
      </c>
      <c r="C996" s="97" t="s">
        <v>399</v>
      </c>
      <c r="D996" s="97" t="s">
        <v>403</v>
      </c>
      <c r="E996" s="97">
        <v>2093332.0</v>
      </c>
      <c r="F996" s="97" t="s">
        <v>1069</v>
      </c>
      <c r="G996" s="97" t="s">
        <v>399</v>
      </c>
      <c r="H996" s="90" t="s">
        <v>965</v>
      </c>
      <c r="I996" s="80"/>
      <c r="J996" s="80"/>
      <c r="K996" s="80"/>
      <c r="L996" s="80"/>
      <c r="M996" s="80"/>
      <c r="N996" s="80"/>
      <c r="O996" s="80"/>
      <c r="P996" s="80"/>
      <c r="Q996" s="80"/>
      <c r="R996" s="80"/>
      <c r="S996" s="80"/>
    </row>
    <row r="997" ht="40.5" customHeight="1">
      <c r="A997" s="90" t="s">
        <v>335</v>
      </c>
      <c r="B997" s="96" t="s">
        <v>379</v>
      </c>
      <c r="C997" s="97" t="s">
        <v>399</v>
      </c>
      <c r="D997" s="97" t="s">
        <v>404</v>
      </c>
      <c r="E997" s="97">
        <v>2093332.0</v>
      </c>
      <c r="F997" s="97" t="s">
        <v>1069</v>
      </c>
      <c r="G997" s="97" t="s">
        <v>399</v>
      </c>
      <c r="H997" s="90" t="s">
        <v>965</v>
      </c>
      <c r="I997" s="80"/>
      <c r="J997" s="80"/>
      <c r="K997" s="80"/>
      <c r="L997" s="80"/>
      <c r="M997" s="80"/>
      <c r="N997" s="80"/>
      <c r="O997" s="80"/>
      <c r="P997" s="80"/>
      <c r="Q997" s="80"/>
      <c r="R997" s="80"/>
      <c r="S997" s="80"/>
    </row>
    <row r="998" ht="40.5" customHeight="1">
      <c r="A998" s="90" t="s">
        <v>335</v>
      </c>
      <c r="B998" s="96" t="s">
        <v>379</v>
      </c>
      <c r="C998" s="97" t="s">
        <v>405</v>
      </c>
      <c r="D998" s="97" t="s">
        <v>406</v>
      </c>
      <c r="E998" s="97">
        <v>2079895.0</v>
      </c>
      <c r="F998" s="97" t="s">
        <v>1070</v>
      </c>
      <c r="G998" s="97" t="s">
        <v>405</v>
      </c>
      <c r="H998" s="90" t="s">
        <v>965</v>
      </c>
      <c r="I998" s="80"/>
      <c r="J998" s="80"/>
      <c r="K998" s="80"/>
      <c r="L998" s="80"/>
      <c r="M998" s="80"/>
      <c r="N998" s="80"/>
      <c r="O998" s="80"/>
      <c r="P998" s="80"/>
      <c r="Q998" s="80"/>
      <c r="R998" s="80"/>
      <c r="S998" s="80"/>
    </row>
    <row r="999" ht="40.5" customHeight="1">
      <c r="A999" s="90" t="s">
        <v>335</v>
      </c>
      <c r="B999" s="96" t="s">
        <v>379</v>
      </c>
      <c r="C999" s="97" t="s">
        <v>405</v>
      </c>
      <c r="D999" s="97" t="s">
        <v>407</v>
      </c>
      <c r="E999" s="97">
        <v>2079895.0</v>
      </c>
      <c r="F999" s="97" t="s">
        <v>1070</v>
      </c>
      <c r="G999" s="97" t="s">
        <v>405</v>
      </c>
      <c r="H999" s="90" t="s">
        <v>965</v>
      </c>
      <c r="I999" s="80"/>
      <c r="J999" s="80"/>
      <c r="K999" s="80"/>
      <c r="L999" s="80"/>
      <c r="M999" s="80"/>
      <c r="N999" s="80"/>
      <c r="O999" s="80"/>
      <c r="P999" s="80"/>
      <c r="Q999" s="80"/>
      <c r="R999" s="80"/>
      <c r="S999" s="80"/>
    </row>
    <row r="1000" ht="40.5" customHeight="1">
      <c r="A1000" s="90" t="s">
        <v>335</v>
      </c>
      <c r="B1000" s="96" t="s">
        <v>379</v>
      </c>
      <c r="C1000" s="97" t="s">
        <v>405</v>
      </c>
      <c r="D1000" s="97" t="s">
        <v>408</v>
      </c>
      <c r="E1000" s="97">
        <v>2079895.0</v>
      </c>
      <c r="F1000" s="97" t="s">
        <v>1070</v>
      </c>
      <c r="G1000" s="97" t="s">
        <v>405</v>
      </c>
      <c r="H1000" s="90" t="s">
        <v>965</v>
      </c>
      <c r="I1000" s="80"/>
      <c r="J1000" s="80"/>
      <c r="K1000" s="80"/>
      <c r="L1000" s="80"/>
      <c r="M1000" s="80"/>
      <c r="N1000" s="80"/>
      <c r="O1000" s="80"/>
      <c r="P1000" s="80"/>
      <c r="Q1000" s="80"/>
      <c r="R1000" s="80"/>
      <c r="S1000" s="80"/>
    </row>
    <row r="1001" ht="40.5" customHeight="1">
      <c r="A1001" s="90" t="s">
        <v>335</v>
      </c>
      <c r="B1001" s="96" t="s">
        <v>379</v>
      </c>
      <c r="C1001" s="97" t="s">
        <v>405</v>
      </c>
      <c r="D1001" s="97" t="s">
        <v>409</v>
      </c>
      <c r="E1001" s="97">
        <v>2079895.0</v>
      </c>
      <c r="F1001" s="97" t="s">
        <v>1070</v>
      </c>
      <c r="G1001" s="97" t="s">
        <v>405</v>
      </c>
      <c r="H1001" s="90" t="s">
        <v>965</v>
      </c>
      <c r="I1001" s="80"/>
      <c r="J1001" s="80"/>
      <c r="K1001" s="80"/>
      <c r="L1001" s="80"/>
      <c r="M1001" s="80"/>
      <c r="N1001" s="80"/>
      <c r="O1001" s="80"/>
      <c r="P1001" s="80"/>
      <c r="Q1001" s="80"/>
      <c r="R1001" s="80"/>
      <c r="S1001" s="80"/>
    </row>
    <row r="1002" ht="40.5" customHeight="1">
      <c r="A1002" s="90" t="s">
        <v>335</v>
      </c>
      <c r="B1002" s="96" t="s">
        <v>379</v>
      </c>
      <c r="C1002" s="97" t="s">
        <v>405</v>
      </c>
      <c r="D1002" s="97" t="s">
        <v>405</v>
      </c>
      <c r="E1002" s="97">
        <v>2079895.0</v>
      </c>
      <c r="F1002" s="97" t="s">
        <v>1070</v>
      </c>
      <c r="G1002" s="97" t="s">
        <v>405</v>
      </c>
      <c r="H1002" s="90" t="s">
        <v>965</v>
      </c>
      <c r="I1002" s="80"/>
      <c r="J1002" s="80"/>
      <c r="K1002" s="80"/>
      <c r="L1002" s="80"/>
      <c r="M1002" s="80"/>
      <c r="N1002" s="80"/>
      <c r="O1002" s="80"/>
      <c r="P1002" s="80"/>
      <c r="Q1002" s="80"/>
      <c r="R1002" s="80"/>
      <c r="S1002" s="80"/>
    </row>
    <row r="1003" ht="40.5" customHeight="1">
      <c r="A1003" s="90" t="s">
        <v>335</v>
      </c>
      <c r="B1003" s="96" t="s">
        <v>379</v>
      </c>
      <c r="C1003" s="97" t="s">
        <v>405</v>
      </c>
      <c r="D1003" s="97" t="s">
        <v>410</v>
      </c>
      <c r="E1003" s="97">
        <v>2079895.0</v>
      </c>
      <c r="F1003" s="97" t="s">
        <v>1070</v>
      </c>
      <c r="G1003" s="97" t="s">
        <v>405</v>
      </c>
      <c r="H1003" s="90" t="s">
        <v>965</v>
      </c>
      <c r="I1003" s="80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</row>
    <row r="1004" ht="40.5" customHeight="1">
      <c r="A1004" s="90" t="s">
        <v>335</v>
      </c>
      <c r="B1004" s="96" t="s">
        <v>379</v>
      </c>
      <c r="C1004" s="97" t="s">
        <v>405</v>
      </c>
      <c r="D1004" s="97" t="s">
        <v>411</v>
      </c>
      <c r="E1004" s="97">
        <v>2079895.0</v>
      </c>
      <c r="F1004" s="97" t="s">
        <v>1070</v>
      </c>
      <c r="G1004" s="97" t="s">
        <v>405</v>
      </c>
      <c r="H1004" s="90" t="s">
        <v>965</v>
      </c>
      <c r="I1004" s="80"/>
      <c r="J1004" s="80"/>
      <c r="K1004" s="80"/>
      <c r="L1004" s="80"/>
      <c r="M1004" s="80"/>
      <c r="N1004" s="80"/>
      <c r="O1004" s="80"/>
      <c r="P1004" s="80"/>
      <c r="Q1004" s="80"/>
      <c r="R1004" s="80"/>
      <c r="S1004" s="80"/>
    </row>
    <row r="1005" ht="40.5" customHeight="1">
      <c r="A1005" s="90" t="s">
        <v>335</v>
      </c>
      <c r="B1005" s="96" t="s">
        <v>379</v>
      </c>
      <c r="C1005" s="97" t="s">
        <v>405</v>
      </c>
      <c r="D1005" s="97" t="s">
        <v>412</v>
      </c>
      <c r="E1005" s="97">
        <v>2079895.0</v>
      </c>
      <c r="F1005" s="97" t="s">
        <v>1070</v>
      </c>
      <c r="G1005" s="97" t="s">
        <v>405</v>
      </c>
      <c r="H1005" s="90" t="s">
        <v>965</v>
      </c>
      <c r="I1005" s="80"/>
      <c r="J1005" s="80"/>
      <c r="K1005" s="80"/>
      <c r="L1005" s="80"/>
      <c r="M1005" s="80"/>
      <c r="N1005" s="80"/>
      <c r="O1005" s="80"/>
      <c r="P1005" s="80"/>
      <c r="Q1005" s="80"/>
      <c r="R1005" s="80"/>
      <c r="S1005" s="80"/>
    </row>
    <row r="1006" ht="40.5" customHeight="1">
      <c r="A1006" s="90" t="s">
        <v>335</v>
      </c>
      <c r="B1006" s="96" t="s">
        <v>379</v>
      </c>
      <c r="C1006" s="97" t="s">
        <v>405</v>
      </c>
      <c r="D1006" s="97" t="s">
        <v>413</v>
      </c>
      <c r="E1006" s="97">
        <v>2079895.0</v>
      </c>
      <c r="F1006" s="97" t="s">
        <v>1070</v>
      </c>
      <c r="G1006" s="97" t="s">
        <v>405</v>
      </c>
      <c r="H1006" s="90" t="s">
        <v>965</v>
      </c>
      <c r="I1006" s="80"/>
      <c r="J1006" s="80"/>
      <c r="K1006" s="80"/>
      <c r="L1006" s="80"/>
      <c r="M1006" s="80"/>
      <c r="N1006" s="80"/>
      <c r="O1006" s="80"/>
      <c r="P1006" s="80"/>
      <c r="Q1006" s="80"/>
      <c r="R1006" s="80"/>
      <c r="S1006" s="80"/>
    </row>
    <row r="1007" ht="40.5" customHeight="1">
      <c r="A1007" s="90" t="s">
        <v>335</v>
      </c>
      <c r="B1007" s="96" t="s">
        <v>379</v>
      </c>
      <c r="C1007" s="97" t="s">
        <v>405</v>
      </c>
      <c r="D1007" s="97" t="s">
        <v>414</v>
      </c>
      <c r="E1007" s="97">
        <v>2079895.0</v>
      </c>
      <c r="F1007" s="97" t="s">
        <v>1070</v>
      </c>
      <c r="G1007" s="97" t="s">
        <v>405</v>
      </c>
      <c r="H1007" s="90" t="s">
        <v>965</v>
      </c>
      <c r="I1007" s="80"/>
      <c r="J1007" s="80"/>
      <c r="K1007" s="80"/>
      <c r="L1007" s="80"/>
      <c r="M1007" s="80"/>
      <c r="N1007" s="80"/>
      <c r="O1007" s="80"/>
      <c r="P1007" s="80"/>
      <c r="Q1007" s="80"/>
      <c r="R1007" s="80"/>
      <c r="S1007" s="80"/>
    </row>
    <row r="1008" ht="40.5" customHeight="1">
      <c r="A1008" s="90" t="s">
        <v>335</v>
      </c>
      <c r="B1008" s="96" t="s">
        <v>379</v>
      </c>
      <c r="C1008" s="97" t="s">
        <v>405</v>
      </c>
      <c r="D1008" s="97" t="s">
        <v>415</v>
      </c>
      <c r="E1008" s="97">
        <v>2079895.0</v>
      </c>
      <c r="F1008" s="97" t="s">
        <v>1070</v>
      </c>
      <c r="G1008" s="97" t="s">
        <v>405</v>
      </c>
      <c r="H1008" s="90" t="s">
        <v>965</v>
      </c>
      <c r="I1008" s="80"/>
      <c r="J1008" s="80"/>
      <c r="K1008" s="80"/>
      <c r="L1008" s="80"/>
      <c r="M1008" s="80"/>
      <c r="N1008" s="80"/>
      <c r="O1008" s="80"/>
      <c r="P1008" s="80"/>
      <c r="Q1008" s="80"/>
      <c r="R1008" s="80"/>
      <c r="S1008" s="80"/>
    </row>
    <row r="1009" ht="40.5" customHeight="1">
      <c r="A1009" s="90" t="s">
        <v>335</v>
      </c>
      <c r="B1009" s="96" t="s">
        <v>379</v>
      </c>
      <c r="C1009" s="97" t="s">
        <v>405</v>
      </c>
      <c r="D1009" s="97" t="s">
        <v>416</v>
      </c>
      <c r="E1009" s="97">
        <v>2079895.0</v>
      </c>
      <c r="F1009" s="97" t="s">
        <v>1070</v>
      </c>
      <c r="G1009" s="97" t="s">
        <v>405</v>
      </c>
      <c r="H1009" s="90" t="s">
        <v>965</v>
      </c>
      <c r="I1009" s="80"/>
      <c r="J1009" s="80"/>
      <c r="K1009" s="80"/>
      <c r="L1009" s="80"/>
      <c r="M1009" s="80"/>
      <c r="N1009" s="80"/>
      <c r="O1009" s="80"/>
      <c r="P1009" s="80"/>
      <c r="Q1009" s="80"/>
      <c r="R1009" s="80"/>
      <c r="S1009" s="80"/>
    </row>
    <row r="1010" ht="40.5" customHeight="1">
      <c r="A1010" s="90" t="s">
        <v>335</v>
      </c>
      <c r="B1010" s="96" t="s">
        <v>379</v>
      </c>
      <c r="C1010" s="97" t="s">
        <v>405</v>
      </c>
      <c r="D1010" s="97" t="s">
        <v>417</v>
      </c>
      <c r="E1010" s="97">
        <v>2079895.0</v>
      </c>
      <c r="F1010" s="97" t="s">
        <v>1070</v>
      </c>
      <c r="G1010" s="97" t="s">
        <v>405</v>
      </c>
      <c r="H1010" s="90" t="s">
        <v>965</v>
      </c>
      <c r="I1010" s="80"/>
      <c r="J1010" s="80"/>
      <c r="K1010" s="80"/>
      <c r="L1010" s="80"/>
      <c r="M1010" s="80"/>
      <c r="N1010" s="80"/>
      <c r="O1010" s="80"/>
      <c r="P1010" s="80"/>
      <c r="Q1010" s="80"/>
      <c r="R1010" s="80"/>
      <c r="S1010" s="80"/>
    </row>
    <row r="1011" ht="40.5" customHeight="1">
      <c r="A1011" s="90" t="s">
        <v>335</v>
      </c>
      <c r="B1011" s="96" t="s">
        <v>379</v>
      </c>
      <c r="C1011" s="97" t="s">
        <v>405</v>
      </c>
      <c r="D1011" s="97" t="s">
        <v>418</v>
      </c>
      <c r="E1011" s="97">
        <v>2079895.0</v>
      </c>
      <c r="F1011" s="97" t="s">
        <v>1070</v>
      </c>
      <c r="G1011" s="97" t="s">
        <v>405</v>
      </c>
      <c r="H1011" s="90" t="s">
        <v>965</v>
      </c>
      <c r="I1011" s="80"/>
      <c r="J1011" s="80"/>
      <c r="K1011" s="80"/>
      <c r="L1011" s="80"/>
      <c r="M1011" s="80"/>
      <c r="N1011" s="80"/>
      <c r="O1011" s="80"/>
      <c r="P1011" s="80"/>
      <c r="Q1011" s="80"/>
      <c r="R1011" s="80"/>
      <c r="S1011" s="80"/>
    </row>
    <row r="1012" ht="40.5" customHeight="1">
      <c r="A1012" s="90" t="s">
        <v>335</v>
      </c>
      <c r="B1012" s="96" t="s">
        <v>379</v>
      </c>
      <c r="C1012" s="97" t="s">
        <v>405</v>
      </c>
      <c r="D1012" s="97" t="s">
        <v>419</v>
      </c>
      <c r="E1012" s="97">
        <v>2079895.0</v>
      </c>
      <c r="F1012" s="97" t="s">
        <v>1070</v>
      </c>
      <c r="G1012" s="97" t="s">
        <v>405</v>
      </c>
      <c r="H1012" s="90" t="s">
        <v>965</v>
      </c>
      <c r="I1012" s="80"/>
      <c r="J1012" s="80"/>
      <c r="K1012" s="80"/>
      <c r="L1012" s="80"/>
      <c r="M1012" s="80"/>
      <c r="N1012" s="80"/>
      <c r="O1012" s="80"/>
      <c r="P1012" s="80"/>
      <c r="Q1012" s="80"/>
      <c r="R1012" s="80"/>
      <c r="S1012" s="80"/>
    </row>
    <row r="1013" ht="40.5" customHeight="1">
      <c r="A1013" s="90" t="s">
        <v>335</v>
      </c>
      <c r="B1013" s="96" t="s">
        <v>379</v>
      </c>
      <c r="C1013" s="97" t="s">
        <v>405</v>
      </c>
      <c r="D1013" s="97" t="s">
        <v>420</v>
      </c>
      <c r="E1013" s="97">
        <v>2079895.0</v>
      </c>
      <c r="F1013" s="97" t="s">
        <v>1070</v>
      </c>
      <c r="G1013" s="97" t="s">
        <v>405</v>
      </c>
      <c r="H1013" s="90" t="s">
        <v>965</v>
      </c>
      <c r="I1013" s="80"/>
      <c r="J1013" s="80"/>
      <c r="K1013" s="80"/>
      <c r="L1013" s="80"/>
      <c r="M1013" s="80"/>
      <c r="N1013" s="80"/>
      <c r="O1013" s="80"/>
      <c r="P1013" s="80"/>
      <c r="Q1013" s="80"/>
      <c r="R1013" s="80"/>
      <c r="S1013" s="80"/>
    </row>
    <row r="1014" ht="40.5" customHeight="1">
      <c r="A1014" s="90" t="s">
        <v>335</v>
      </c>
      <c r="B1014" s="96" t="s">
        <v>379</v>
      </c>
      <c r="C1014" s="97" t="s">
        <v>421</v>
      </c>
      <c r="D1014" s="97" t="s">
        <v>422</v>
      </c>
      <c r="E1014" s="97">
        <v>2093324.0</v>
      </c>
      <c r="F1014" s="97" t="s">
        <v>1071</v>
      </c>
      <c r="G1014" s="97" t="s">
        <v>421</v>
      </c>
      <c r="H1014" s="90" t="s">
        <v>965</v>
      </c>
      <c r="I1014" s="80"/>
      <c r="J1014" s="80"/>
      <c r="K1014" s="80"/>
      <c r="L1014" s="80"/>
      <c r="M1014" s="80"/>
      <c r="N1014" s="80"/>
      <c r="O1014" s="80"/>
      <c r="P1014" s="80"/>
      <c r="Q1014" s="80"/>
      <c r="R1014" s="80"/>
      <c r="S1014" s="80"/>
    </row>
    <row r="1015" ht="40.5" customHeight="1">
      <c r="A1015" s="90" t="s">
        <v>335</v>
      </c>
      <c r="B1015" s="96" t="s">
        <v>379</v>
      </c>
      <c r="C1015" s="97" t="s">
        <v>421</v>
      </c>
      <c r="D1015" s="97" t="s">
        <v>421</v>
      </c>
      <c r="E1015" s="97">
        <v>2093324.0</v>
      </c>
      <c r="F1015" s="97" t="s">
        <v>1071</v>
      </c>
      <c r="G1015" s="97" t="s">
        <v>421</v>
      </c>
      <c r="H1015" s="90" t="s">
        <v>965</v>
      </c>
      <c r="I1015" s="80"/>
      <c r="J1015" s="80"/>
      <c r="K1015" s="80"/>
      <c r="L1015" s="80"/>
      <c r="M1015" s="80"/>
      <c r="N1015" s="80"/>
      <c r="O1015" s="80"/>
      <c r="P1015" s="80"/>
      <c r="Q1015" s="80"/>
      <c r="R1015" s="80"/>
      <c r="S1015" s="80"/>
    </row>
    <row r="1016" ht="40.5" customHeight="1">
      <c r="A1016" s="90" t="s">
        <v>335</v>
      </c>
      <c r="B1016" s="96" t="s">
        <v>379</v>
      </c>
      <c r="C1016" s="97" t="s">
        <v>421</v>
      </c>
      <c r="D1016" s="97" t="s">
        <v>423</v>
      </c>
      <c r="E1016" s="97">
        <v>2093324.0</v>
      </c>
      <c r="F1016" s="97" t="s">
        <v>1071</v>
      </c>
      <c r="G1016" s="97" t="s">
        <v>421</v>
      </c>
      <c r="H1016" s="90" t="s">
        <v>965</v>
      </c>
      <c r="I1016" s="80"/>
      <c r="J1016" s="80"/>
      <c r="K1016" s="80"/>
      <c r="L1016" s="80"/>
      <c r="M1016" s="80"/>
      <c r="N1016" s="80"/>
      <c r="O1016" s="80"/>
      <c r="P1016" s="80"/>
      <c r="Q1016" s="80"/>
      <c r="R1016" s="80"/>
      <c r="S1016" s="80"/>
    </row>
    <row r="1017" ht="40.5" customHeight="1">
      <c r="A1017" s="90" t="s">
        <v>335</v>
      </c>
      <c r="B1017" s="96" t="s">
        <v>379</v>
      </c>
      <c r="C1017" s="97" t="s">
        <v>421</v>
      </c>
      <c r="D1017" s="97" t="s">
        <v>424</v>
      </c>
      <c r="E1017" s="97">
        <v>2093324.0</v>
      </c>
      <c r="F1017" s="97" t="s">
        <v>1071</v>
      </c>
      <c r="G1017" s="97" t="s">
        <v>421</v>
      </c>
      <c r="H1017" s="90" t="s">
        <v>965</v>
      </c>
      <c r="I1017" s="80"/>
      <c r="J1017" s="80"/>
      <c r="K1017" s="80"/>
      <c r="L1017" s="80"/>
      <c r="M1017" s="80"/>
      <c r="N1017" s="80"/>
      <c r="O1017" s="80"/>
      <c r="P1017" s="80"/>
      <c r="Q1017" s="80"/>
      <c r="R1017" s="80"/>
      <c r="S1017" s="80"/>
    </row>
    <row r="1018" ht="40.5" customHeight="1">
      <c r="A1018" s="90" t="s">
        <v>335</v>
      </c>
      <c r="B1018" s="96" t="s">
        <v>379</v>
      </c>
      <c r="C1018" s="97" t="s">
        <v>421</v>
      </c>
      <c r="D1018" s="97" t="s">
        <v>425</v>
      </c>
      <c r="E1018" s="97">
        <v>2093324.0</v>
      </c>
      <c r="F1018" s="97" t="s">
        <v>1071</v>
      </c>
      <c r="G1018" s="97" t="s">
        <v>421</v>
      </c>
      <c r="H1018" s="90" t="s">
        <v>965</v>
      </c>
      <c r="I1018" s="80"/>
      <c r="J1018" s="80"/>
      <c r="K1018" s="80"/>
      <c r="L1018" s="80"/>
      <c r="M1018" s="80"/>
      <c r="N1018" s="80"/>
      <c r="O1018" s="80"/>
      <c r="P1018" s="80"/>
      <c r="Q1018" s="80"/>
      <c r="R1018" s="80"/>
      <c r="S1018" s="80"/>
    </row>
    <row r="1019" ht="40.5" customHeight="1">
      <c r="A1019" s="90" t="s">
        <v>335</v>
      </c>
      <c r="B1019" s="96" t="s">
        <v>379</v>
      </c>
      <c r="C1019" s="97" t="s">
        <v>421</v>
      </c>
      <c r="D1019" s="97" t="s">
        <v>426</v>
      </c>
      <c r="E1019" s="97">
        <v>2093324.0</v>
      </c>
      <c r="F1019" s="97" t="s">
        <v>1071</v>
      </c>
      <c r="G1019" s="97" t="s">
        <v>421</v>
      </c>
      <c r="H1019" s="90" t="s">
        <v>965</v>
      </c>
      <c r="I1019" s="80"/>
      <c r="J1019" s="80"/>
      <c r="K1019" s="80"/>
      <c r="L1019" s="80"/>
      <c r="M1019" s="80"/>
      <c r="N1019" s="80"/>
      <c r="O1019" s="80"/>
      <c r="P1019" s="80"/>
      <c r="Q1019" s="80"/>
      <c r="R1019" s="80"/>
      <c r="S1019" s="80"/>
    </row>
    <row r="1020" ht="40.5" customHeight="1">
      <c r="A1020" s="90" t="s">
        <v>335</v>
      </c>
      <c r="B1020" s="96" t="s">
        <v>379</v>
      </c>
      <c r="C1020" s="97" t="s">
        <v>421</v>
      </c>
      <c r="D1020" s="97" t="s">
        <v>427</v>
      </c>
      <c r="E1020" s="97">
        <v>2093324.0</v>
      </c>
      <c r="F1020" s="97" t="s">
        <v>1071</v>
      </c>
      <c r="G1020" s="97" t="s">
        <v>421</v>
      </c>
      <c r="H1020" s="90" t="s">
        <v>965</v>
      </c>
      <c r="I1020" s="80"/>
      <c r="J1020" s="80"/>
      <c r="K1020" s="80"/>
      <c r="L1020" s="80"/>
      <c r="M1020" s="80"/>
      <c r="N1020" s="80"/>
      <c r="O1020" s="80"/>
      <c r="P1020" s="80"/>
      <c r="Q1020" s="80"/>
      <c r="R1020" s="80"/>
      <c r="S1020" s="80"/>
    </row>
    <row r="1021" ht="40.5" customHeight="1">
      <c r="A1021" s="90" t="s">
        <v>335</v>
      </c>
      <c r="B1021" s="96" t="s">
        <v>379</v>
      </c>
      <c r="C1021" s="97" t="s">
        <v>421</v>
      </c>
      <c r="D1021" s="97" t="s">
        <v>428</v>
      </c>
      <c r="E1021" s="97">
        <v>2093324.0</v>
      </c>
      <c r="F1021" s="97" t="s">
        <v>1071</v>
      </c>
      <c r="G1021" s="97" t="s">
        <v>421</v>
      </c>
      <c r="H1021" s="90" t="s">
        <v>965</v>
      </c>
      <c r="I1021" s="80"/>
      <c r="J1021" s="80"/>
      <c r="K1021" s="80"/>
      <c r="L1021" s="80"/>
      <c r="M1021" s="80"/>
      <c r="N1021" s="80"/>
      <c r="O1021" s="80"/>
      <c r="P1021" s="80"/>
      <c r="Q1021" s="80"/>
      <c r="R1021" s="80"/>
      <c r="S1021" s="80"/>
    </row>
    <row r="1022" ht="40.5" customHeight="1">
      <c r="A1022" s="90" t="s">
        <v>335</v>
      </c>
      <c r="B1022" s="96" t="s">
        <v>379</v>
      </c>
      <c r="C1022" s="97" t="s">
        <v>421</v>
      </c>
      <c r="D1022" s="97" t="s">
        <v>429</v>
      </c>
      <c r="E1022" s="97">
        <v>2093324.0</v>
      </c>
      <c r="F1022" s="97" t="s">
        <v>1071</v>
      </c>
      <c r="G1022" s="97" t="s">
        <v>421</v>
      </c>
      <c r="H1022" s="90" t="s">
        <v>965</v>
      </c>
      <c r="I1022" s="80"/>
      <c r="J1022" s="80"/>
      <c r="K1022" s="80"/>
      <c r="L1022" s="80"/>
      <c r="M1022" s="80"/>
      <c r="N1022" s="80"/>
      <c r="O1022" s="80"/>
      <c r="P1022" s="80"/>
      <c r="Q1022" s="80"/>
      <c r="R1022" s="80"/>
      <c r="S1022" s="80"/>
    </row>
    <row r="1023" ht="40.5" customHeight="1">
      <c r="A1023" s="90" t="s">
        <v>335</v>
      </c>
      <c r="B1023" s="96" t="s">
        <v>379</v>
      </c>
      <c r="C1023" s="97" t="s">
        <v>421</v>
      </c>
      <c r="D1023" s="97" t="s">
        <v>430</v>
      </c>
      <c r="E1023" s="97">
        <v>2093324.0</v>
      </c>
      <c r="F1023" s="97" t="s">
        <v>1071</v>
      </c>
      <c r="G1023" s="97" t="s">
        <v>421</v>
      </c>
      <c r="H1023" s="90" t="s">
        <v>965</v>
      </c>
      <c r="I1023" s="80"/>
      <c r="J1023" s="80"/>
      <c r="K1023" s="80"/>
      <c r="L1023" s="80"/>
      <c r="M1023" s="80"/>
      <c r="N1023" s="80"/>
      <c r="O1023" s="80"/>
      <c r="P1023" s="80"/>
      <c r="Q1023" s="80"/>
      <c r="R1023" s="80"/>
      <c r="S1023" s="80"/>
    </row>
    <row r="1024" ht="40.5" customHeight="1">
      <c r="A1024" s="90" t="s">
        <v>335</v>
      </c>
      <c r="B1024" s="96" t="s">
        <v>379</v>
      </c>
      <c r="C1024" s="97" t="s">
        <v>421</v>
      </c>
      <c r="D1024" s="97" t="s">
        <v>431</v>
      </c>
      <c r="E1024" s="97">
        <v>2093324.0</v>
      </c>
      <c r="F1024" s="97" t="s">
        <v>1071</v>
      </c>
      <c r="G1024" s="97" t="s">
        <v>421</v>
      </c>
      <c r="H1024" s="90" t="s">
        <v>965</v>
      </c>
      <c r="I1024" s="80"/>
      <c r="J1024" s="80"/>
      <c r="K1024" s="80"/>
      <c r="L1024" s="80"/>
      <c r="M1024" s="80"/>
      <c r="N1024" s="80"/>
      <c r="O1024" s="80"/>
      <c r="P1024" s="80"/>
      <c r="Q1024" s="80"/>
      <c r="R1024" s="80"/>
      <c r="S1024" s="80"/>
    </row>
    <row r="1025" ht="40.5" customHeight="1">
      <c r="A1025" s="90" t="s">
        <v>335</v>
      </c>
      <c r="B1025" s="96" t="s">
        <v>379</v>
      </c>
      <c r="C1025" s="97" t="s">
        <v>421</v>
      </c>
      <c r="D1025" s="97" t="s">
        <v>432</v>
      </c>
      <c r="E1025" s="97">
        <v>2093324.0</v>
      </c>
      <c r="F1025" s="97" t="s">
        <v>1071</v>
      </c>
      <c r="G1025" s="97" t="s">
        <v>421</v>
      </c>
      <c r="H1025" s="90" t="s">
        <v>965</v>
      </c>
      <c r="I1025" s="80"/>
      <c r="J1025" s="80"/>
      <c r="K1025" s="80"/>
      <c r="L1025" s="80"/>
      <c r="M1025" s="80"/>
      <c r="N1025" s="80"/>
      <c r="O1025" s="80"/>
      <c r="P1025" s="80"/>
      <c r="Q1025" s="80"/>
      <c r="R1025" s="80"/>
      <c r="S1025" s="80"/>
    </row>
    <row r="1026" ht="40.5" customHeight="1">
      <c r="A1026" s="90" t="s">
        <v>335</v>
      </c>
      <c r="B1026" s="96" t="s">
        <v>379</v>
      </c>
      <c r="C1026" s="97" t="s">
        <v>421</v>
      </c>
      <c r="D1026" s="97" t="s">
        <v>433</v>
      </c>
      <c r="E1026" s="97">
        <v>2093324.0</v>
      </c>
      <c r="F1026" s="97" t="s">
        <v>1071</v>
      </c>
      <c r="G1026" s="97" t="s">
        <v>421</v>
      </c>
      <c r="H1026" s="90" t="s">
        <v>965</v>
      </c>
      <c r="I1026" s="80"/>
      <c r="J1026" s="80"/>
      <c r="K1026" s="80"/>
      <c r="L1026" s="80"/>
      <c r="M1026" s="80"/>
      <c r="N1026" s="80"/>
      <c r="O1026" s="80"/>
      <c r="P1026" s="80"/>
      <c r="Q1026" s="80"/>
      <c r="R1026" s="80"/>
      <c r="S1026" s="80"/>
    </row>
    <row r="1027" ht="40.5" customHeight="1">
      <c r="A1027" s="90" t="s">
        <v>335</v>
      </c>
      <c r="B1027" s="96" t="s">
        <v>379</v>
      </c>
      <c r="C1027" s="97" t="s">
        <v>434</v>
      </c>
      <c r="D1027" s="97" t="s">
        <v>435</v>
      </c>
      <c r="E1027" s="97">
        <v>2077396.0</v>
      </c>
      <c r="F1027" s="97" t="s">
        <v>905</v>
      </c>
      <c r="G1027" s="97" t="s">
        <v>434</v>
      </c>
      <c r="H1027" s="90" t="s">
        <v>965</v>
      </c>
      <c r="I1027" s="80"/>
      <c r="J1027" s="80"/>
      <c r="K1027" s="80"/>
      <c r="L1027" s="80"/>
      <c r="M1027" s="80"/>
      <c r="N1027" s="80"/>
      <c r="O1027" s="80"/>
      <c r="P1027" s="80"/>
      <c r="Q1027" s="80"/>
      <c r="R1027" s="80"/>
      <c r="S1027" s="80"/>
    </row>
    <row r="1028" ht="40.5" customHeight="1">
      <c r="A1028" s="90" t="s">
        <v>335</v>
      </c>
      <c r="B1028" s="96" t="s">
        <v>379</v>
      </c>
      <c r="C1028" s="97" t="s">
        <v>434</v>
      </c>
      <c r="D1028" s="97" t="s">
        <v>436</v>
      </c>
      <c r="E1028" s="97">
        <v>2077396.0</v>
      </c>
      <c r="F1028" s="97" t="s">
        <v>905</v>
      </c>
      <c r="G1028" s="97" t="s">
        <v>434</v>
      </c>
      <c r="H1028" s="90" t="s">
        <v>965</v>
      </c>
      <c r="I1028" s="80"/>
      <c r="J1028" s="80"/>
      <c r="K1028" s="80"/>
      <c r="L1028" s="80"/>
      <c r="M1028" s="80"/>
      <c r="N1028" s="80"/>
      <c r="O1028" s="80"/>
      <c r="P1028" s="80"/>
      <c r="Q1028" s="80"/>
      <c r="R1028" s="80"/>
      <c r="S1028" s="80"/>
    </row>
    <row r="1029" ht="40.5" customHeight="1">
      <c r="A1029" s="90" t="s">
        <v>335</v>
      </c>
      <c r="B1029" s="96" t="s">
        <v>379</v>
      </c>
      <c r="C1029" s="97" t="s">
        <v>434</v>
      </c>
      <c r="D1029" s="97" t="s">
        <v>437</v>
      </c>
      <c r="E1029" s="97">
        <v>2077396.0</v>
      </c>
      <c r="F1029" s="97" t="s">
        <v>905</v>
      </c>
      <c r="G1029" s="97" t="s">
        <v>434</v>
      </c>
      <c r="H1029" s="90" t="s">
        <v>965</v>
      </c>
      <c r="I1029" s="80"/>
      <c r="J1029" s="80"/>
      <c r="K1029" s="80"/>
      <c r="L1029" s="80"/>
      <c r="M1029" s="80"/>
      <c r="N1029" s="80"/>
      <c r="O1029" s="80"/>
      <c r="P1029" s="80"/>
      <c r="Q1029" s="80"/>
      <c r="R1029" s="80"/>
      <c r="S1029" s="80"/>
    </row>
    <row r="1030" ht="40.5" customHeight="1">
      <c r="A1030" s="90" t="s">
        <v>335</v>
      </c>
      <c r="B1030" s="96" t="s">
        <v>379</v>
      </c>
      <c r="C1030" s="97" t="s">
        <v>434</v>
      </c>
      <c r="D1030" s="97" t="s">
        <v>438</v>
      </c>
      <c r="E1030" s="97">
        <v>2077396.0</v>
      </c>
      <c r="F1030" s="97" t="s">
        <v>905</v>
      </c>
      <c r="G1030" s="97" t="s">
        <v>434</v>
      </c>
      <c r="H1030" s="90" t="s">
        <v>965</v>
      </c>
      <c r="I1030" s="80"/>
      <c r="J1030" s="80"/>
      <c r="K1030" s="80"/>
      <c r="L1030" s="80"/>
      <c r="M1030" s="80"/>
      <c r="N1030" s="80"/>
      <c r="O1030" s="80"/>
      <c r="P1030" s="80"/>
      <c r="Q1030" s="80"/>
      <c r="R1030" s="80"/>
      <c r="S1030" s="80"/>
    </row>
    <row r="1031" ht="40.5" customHeight="1">
      <c r="A1031" s="90" t="s">
        <v>335</v>
      </c>
      <c r="B1031" s="96" t="s">
        <v>379</v>
      </c>
      <c r="C1031" s="97" t="s">
        <v>434</v>
      </c>
      <c r="D1031" s="97" t="s">
        <v>439</v>
      </c>
      <c r="E1031" s="97">
        <v>2077396.0</v>
      </c>
      <c r="F1031" s="97" t="s">
        <v>905</v>
      </c>
      <c r="G1031" s="97" t="s">
        <v>434</v>
      </c>
      <c r="H1031" s="90" t="s">
        <v>965</v>
      </c>
      <c r="I1031" s="80"/>
      <c r="J1031" s="80"/>
      <c r="K1031" s="80"/>
      <c r="L1031" s="80"/>
      <c r="M1031" s="80"/>
      <c r="N1031" s="80"/>
      <c r="O1031" s="80"/>
      <c r="P1031" s="80"/>
      <c r="Q1031" s="80"/>
      <c r="R1031" s="80"/>
      <c r="S1031" s="80"/>
    </row>
    <row r="1032" ht="40.5" customHeight="1">
      <c r="A1032" s="90" t="s">
        <v>335</v>
      </c>
      <c r="B1032" s="96" t="s">
        <v>379</v>
      </c>
      <c r="C1032" s="97" t="s">
        <v>434</v>
      </c>
      <c r="D1032" s="97" t="s">
        <v>440</v>
      </c>
      <c r="E1032" s="97">
        <v>2077396.0</v>
      </c>
      <c r="F1032" s="97" t="s">
        <v>905</v>
      </c>
      <c r="G1032" s="97" t="s">
        <v>434</v>
      </c>
      <c r="H1032" s="90" t="s">
        <v>965</v>
      </c>
      <c r="I1032" s="80"/>
      <c r="J1032" s="80"/>
      <c r="K1032" s="80"/>
      <c r="L1032" s="80"/>
      <c r="M1032" s="80"/>
      <c r="N1032" s="80"/>
      <c r="O1032" s="80"/>
      <c r="P1032" s="80"/>
      <c r="Q1032" s="80"/>
      <c r="R1032" s="80"/>
      <c r="S1032" s="80"/>
    </row>
    <row r="1033" ht="40.5" customHeight="1">
      <c r="A1033" s="90" t="s">
        <v>335</v>
      </c>
      <c r="B1033" s="96" t="s">
        <v>379</v>
      </c>
      <c r="C1033" s="97" t="s">
        <v>434</v>
      </c>
      <c r="D1033" s="97" t="s">
        <v>441</v>
      </c>
      <c r="E1033" s="97">
        <v>2077396.0</v>
      </c>
      <c r="F1033" s="97" t="s">
        <v>905</v>
      </c>
      <c r="G1033" s="97" t="s">
        <v>434</v>
      </c>
      <c r="H1033" s="90" t="s">
        <v>965</v>
      </c>
      <c r="I1033" s="80"/>
      <c r="J1033" s="80"/>
      <c r="K1033" s="80"/>
      <c r="L1033" s="80"/>
      <c r="M1033" s="80"/>
      <c r="N1033" s="80"/>
      <c r="O1033" s="80"/>
      <c r="P1033" s="80"/>
      <c r="Q1033" s="80"/>
      <c r="R1033" s="80"/>
      <c r="S1033" s="80"/>
    </row>
    <row r="1034" ht="40.5" customHeight="1">
      <c r="A1034" s="90" t="s">
        <v>335</v>
      </c>
      <c r="B1034" s="96" t="s">
        <v>379</v>
      </c>
      <c r="C1034" s="97" t="s">
        <v>434</v>
      </c>
      <c r="D1034" s="97" t="s">
        <v>442</v>
      </c>
      <c r="E1034" s="97">
        <v>2077397.0</v>
      </c>
      <c r="F1034" s="97" t="s">
        <v>905</v>
      </c>
      <c r="G1034" s="97" t="s">
        <v>434</v>
      </c>
      <c r="H1034" s="90" t="s">
        <v>965</v>
      </c>
      <c r="I1034" s="80"/>
      <c r="J1034" s="80"/>
      <c r="K1034" s="80"/>
      <c r="L1034" s="80"/>
      <c r="M1034" s="80"/>
      <c r="N1034" s="80"/>
      <c r="O1034" s="80"/>
      <c r="P1034" s="80"/>
      <c r="Q1034" s="80"/>
      <c r="R1034" s="80"/>
      <c r="S1034" s="80"/>
    </row>
    <row r="1035" ht="40.5" customHeight="1">
      <c r="A1035" s="90" t="s">
        <v>335</v>
      </c>
      <c r="B1035" s="96" t="s">
        <v>379</v>
      </c>
      <c r="C1035" s="97" t="s">
        <v>434</v>
      </c>
      <c r="D1035" s="97" t="s">
        <v>443</v>
      </c>
      <c r="E1035" s="97">
        <v>2077398.0</v>
      </c>
      <c r="F1035" s="97" t="s">
        <v>905</v>
      </c>
      <c r="G1035" s="97" t="s">
        <v>434</v>
      </c>
      <c r="H1035" s="90" t="s">
        <v>965</v>
      </c>
      <c r="I1035" s="80"/>
      <c r="J1035" s="80"/>
      <c r="K1035" s="80"/>
      <c r="L1035" s="80"/>
      <c r="M1035" s="80"/>
      <c r="N1035" s="80"/>
      <c r="O1035" s="80"/>
      <c r="P1035" s="80"/>
      <c r="Q1035" s="80"/>
      <c r="R1035" s="80"/>
      <c r="S1035" s="80"/>
    </row>
    <row r="1036" ht="40.5" customHeight="1">
      <c r="A1036" s="90" t="s">
        <v>335</v>
      </c>
      <c r="B1036" s="96" t="s">
        <v>379</v>
      </c>
      <c r="C1036" s="97" t="s">
        <v>434</v>
      </c>
      <c r="D1036" s="97" t="s">
        <v>444</v>
      </c>
      <c r="E1036" s="97">
        <v>2077396.0</v>
      </c>
      <c r="F1036" s="97" t="s">
        <v>905</v>
      </c>
      <c r="G1036" s="97" t="s">
        <v>434</v>
      </c>
      <c r="H1036" s="90" t="s">
        <v>965</v>
      </c>
      <c r="I1036" s="80"/>
      <c r="J1036" s="80"/>
      <c r="K1036" s="80"/>
      <c r="L1036" s="80"/>
      <c r="M1036" s="80"/>
      <c r="N1036" s="80"/>
      <c r="O1036" s="80"/>
      <c r="P1036" s="80"/>
      <c r="Q1036" s="80"/>
      <c r="R1036" s="80"/>
      <c r="S1036" s="80"/>
    </row>
    <row r="1037" ht="40.5" customHeight="1">
      <c r="A1037" s="90" t="s">
        <v>335</v>
      </c>
      <c r="B1037" s="96" t="s">
        <v>379</v>
      </c>
      <c r="C1037" s="97" t="s">
        <v>434</v>
      </c>
      <c r="D1037" s="97" t="s">
        <v>445</v>
      </c>
      <c r="E1037" s="97">
        <v>2077396.0</v>
      </c>
      <c r="F1037" s="97" t="s">
        <v>905</v>
      </c>
      <c r="G1037" s="97" t="s">
        <v>434</v>
      </c>
      <c r="H1037" s="90" t="s">
        <v>965</v>
      </c>
      <c r="I1037" s="80"/>
      <c r="J1037" s="80"/>
      <c r="K1037" s="80"/>
      <c r="L1037" s="80"/>
      <c r="M1037" s="80"/>
      <c r="N1037" s="80"/>
      <c r="O1037" s="80"/>
      <c r="P1037" s="80"/>
      <c r="Q1037" s="80"/>
      <c r="R1037" s="80"/>
      <c r="S1037" s="80"/>
    </row>
    <row r="1038" ht="40.5" customHeight="1">
      <c r="A1038" s="90" t="s">
        <v>335</v>
      </c>
      <c r="B1038" s="96" t="s">
        <v>379</v>
      </c>
      <c r="C1038" s="97" t="s">
        <v>434</v>
      </c>
      <c r="D1038" s="97" t="s">
        <v>446</v>
      </c>
      <c r="E1038" s="97">
        <v>2077396.0</v>
      </c>
      <c r="F1038" s="97" t="s">
        <v>905</v>
      </c>
      <c r="G1038" s="97" t="s">
        <v>434</v>
      </c>
      <c r="H1038" s="90" t="s">
        <v>965</v>
      </c>
      <c r="I1038" s="80"/>
      <c r="J1038" s="80"/>
      <c r="K1038" s="80"/>
      <c r="L1038" s="80"/>
      <c r="M1038" s="80"/>
      <c r="N1038" s="80"/>
      <c r="O1038" s="80"/>
      <c r="P1038" s="80"/>
      <c r="Q1038" s="80"/>
      <c r="R1038" s="80"/>
      <c r="S1038" s="80"/>
    </row>
    <row r="1039" ht="40.5" customHeight="1">
      <c r="A1039" s="90" t="s">
        <v>335</v>
      </c>
      <c r="B1039" s="96" t="s">
        <v>379</v>
      </c>
      <c r="C1039" s="97" t="s">
        <v>434</v>
      </c>
      <c r="D1039" s="97" t="s">
        <v>447</v>
      </c>
      <c r="E1039" s="97">
        <v>2077396.0</v>
      </c>
      <c r="F1039" s="97" t="s">
        <v>905</v>
      </c>
      <c r="G1039" s="97" t="s">
        <v>434</v>
      </c>
      <c r="H1039" s="90" t="s">
        <v>965</v>
      </c>
      <c r="I1039" s="80"/>
      <c r="J1039" s="80"/>
      <c r="K1039" s="80"/>
      <c r="L1039" s="80"/>
      <c r="M1039" s="80"/>
      <c r="N1039" s="80"/>
      <c r="O1039" s="80"/>
      <c r="P1039" s="80"/>
      <c r="Q1039" s="80"/>
      <c r="R1039" s="80"/>
      <c r="S1039" s="80"/>
    </row>
    <row r="1040" ht="40.5" customHeight="1">
      <c r="A1040" s="90" t="s">
        <v>335</v>
      </c>
      <c r="B1040" s="96" t="s">
        <v>379</v>
      </c>
      <c r="C1040" s="97" t="s">
        <v>434</v>
      </c>
      <c r="D1040" s="97" t="s">
        <v>448</v>
      </c>
      <c r="E1040" s="97">
        <v>2077396.0</v>
      </c>
      <c r="F1040" s="97" t="s">
        <v>905</v>
      </c>
      <c r="G1040" s="97" t="s">
        <v>434</v>
      </c>
      <c r="H1040" s="90" t="s">
        <v>965</v>
      </c>
      <c r="I1040" s="80"/>
      <c r="J1040" s="80"/>
      <c r="K1040" s="80"/>
      <c r="L1040" s="80"/>
      <c r="M1040" s="80"/>
      <c r="N1040" s="80"/>
      <c r="O1040" s="80"/>
      <c r="P1040" s="80"/>
      <c r="Q1040" s="80"/>
      <c r="R1040" s="80"/>
      <c r="S1040" s="80"/>
    </row>
    <row r="1041" ht="40.5" customHeight="1">
      <c r="A1041" s="90" t="s">
        <v>335</v>
      </c>
      <c r="B1041" s="96" t="s">
        <v>379</v>
      </c>
      <c r="C1041" s="97" t="s">
        <v>434</v>
      </c>
      <c r="D1041" s="97" t="s">
        <v>449</v>
      </c>
      <c r="E1041" s="97">
        <v>2077396.0</v>
      </c>
      <c r="F1041" s="97" t="s">
        <v>905</v>
      </c>
      <c r="G1041" s="97" t="s">
        <v>434</v>
      </c>
      <c r="H1041" s="90" t="s">
        <v>965</v>
      </c>
      <c r="I1041" s="80"/>
      <c r="J1041" s="80"/>
      <c r="K1041" s="80"/>
      <c r="L1041" s="80"/>
      <c r="M1041" s="80"/>
      <c r="N1041" s="80"/>
      <c r="O1041" s="80"/>
      <c r="P1041" s="80"/>
      <c r="Q1041" s="80"/>
      <c r="R1041" s="80"/>
      <c r="S1041" s="80"/>
    </row>
    <row r="1042" ht="40.5" customHeight="1">
      <c r="A1042" s="90" t="s">
        <v>335</v>
      </c>
      <c r="B1042" s="96" t="s">
        <v>379</v>
      </c>
      <c r="C1042" s="97" t="s">
        <v>434</v>
      </c>
      <c r="D1042" s="97" t="s">
        <v>450</v>
      </c>
      <c r="E1042" s="97">
        <v>2077396.0</v>
      </c>
      <c r="F1042" s="97" t="s">
        <v>905</v>
      </c>
      <c r="G1042" s="97" t="s">
        <v>434</v>
      </c>
      <c r="H1042" s="90" t="s">
        <v>965</v>
      </c>
      <c r="I1042" s="80"/>
      <c r="J1042" s="80"/>
      <c r="K1042" s="80"/>
      <c r="L1042" s="80"/>
      <c r="M1042" s="80"/>
      <c r="N1042" s="80"/>
      <c r="O1042" s="80"/>
      <c r="P1042" s="80"/>
      <c r="Q1042" s="80"/>
      <c r="R1042" s="80"/>
      <c r="S1042" s="80"/>
    </row>
    <row r="1043" ht="40.5" customHeight="1">
      <c r="A1043" s="90" t="s">
        <v>335</v>
      </c>
      <c r="B1043" s="96" t="s">
        <v>379</v>
      </c>
      <c r="C1043" s="97" t="s">
        <v>434</v>
      </c>
      <c r="D1043" s="97" t="s">
        <v>451</v>
      </c>
      <c r="E1043" s="97">
        <v>2077396.0</v>
      </c>
      <c r="F1043" s="97" t="s">
        <v>905</v>
      </c>
      <c r="G1043" s="97" t="s">
        <v>434</v>
      </c>
      <c r="H1043" s="90" t="s">
        <v>965</v>
      </c>
      <c r="I1043" s="80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</row>
    <row r="1044" ht="40.5" customHeight="1">
      <c r="A1044" s="90" t="s">
        <v>335</v>
      </c>
      <c r="B1044" s="96" t="s">
        <v>379</v>
      </c>
      <c r="C1044" s="97" t="s">
        <v>434</v>
      </c>
      <c r="D1044" s="97" t="s">
        <v>452</v>
      </c>
      <c r="E1044" s="97">
        <v>2798298.0</v>
      </c>
      <c r="F1044" s="97" t="s">
        <v>1072</v>
      </c>
      <c r="G1044" s="97" t="s">
        <v>434</v>
      </c>
      <c r="H1044" s="90" t="s">
        <v>965</v>
      </c>
      <c r="I1044" s="80"/>
      <c r="J1044" s="80"/>
      <c r="K1044" s="80"/>
      <c r="L1044" s="80"/>
      <c r="M1044" s="80"/>
      <c r="N1044" s="80"/>
      <c r="O1044" s="80"/>
      <c r="P1044" s="80"/>
      <c r="Q1044" s="80"/>
      <c r="R1044" s="80"/>
      <c r="S1044" s="80"/>
    </row>
    <row r="1045" ht="40.5" customHeight="1">
      <c r="A1045" s="90" t="s">
        <v>335</v>
      </c>
      <c r="B1045" s="96" t="s">
        <v>379</v>
      </c>
      <c r="C1045" s="97" t="s">
        <v>434</v>
      </c>
      <c r="D1045" s="97" t="s">
        <v>453</v>
      </c>
      <c r="E1045" s="97">
        <v>2077396.0</v>
      </c>
      <c r="F1045" s="97" t="s">
        <v>905</v>
      </c>
      <c r="G1045" s="97" t="s">
        <v>434</v>
      </c>
      <c r="H1045" s="90" t="s">
        <v>965</v>
      </c>
      <c r="I1045" s="80"/>
      <c r="J1045" s="80"/>
      <c r="K1045" s="80"/>
      <c r="L1045" s="80"/>
      <c r="M1045" s="80"/>
      <c r="N1045" s="80"/>
      <c r="O1045" s="80"/>
      <c r="P1045" s="80"/>
      <c r="Q1045" s="80"/>
      <c r="R1045" s="80"/>
      <c r="S1045" s="80"/>
    </row>
    <row r="1046" ht="40.5" customHeight="1">
      <c r="A1046" s="90" t="s">
        <v>335</v>
      </c>
      <c r="B1046" s="96" t="s">
        <v>379</v>
      </c>
      <c r="C1046" s="97" t="s">
        <v>434</v>
      </c>
      <c r="D1046" s="97" t="s">
        <v>454</v>
      </c>
      <c r="E1046" s="97">
        <v>2077396.0</v>
      </c>
      <c r="F1046" s="97" t="s">
        <v>905</v>
      </c>
      <c r="G1046" s="97" t="s">
        <v>434</v>
      </c>
      <c r="H1046" s="90" t="s">
        <v>965</v>
      </c>
      <c r="I1046" s="80"/>
      <c r="J1046" s="80"/>
      <c r="K1046" s="80"/>
      <c r="L1046" s="80"/>
      <c r="M1046" s="80"/>
      <c r="N1046" s="80"/>
      <c r="O1046" s="80"/>
      <c r="P1046" s="80"/>
      <c r="Q1046" s="80"/>
      <c r="R1046" s="80"/>
      <c r="S1046" s="80"/>
    </row>
    <row r="1047" ht="40.5" customHeight="1">
      <c r="A1047" s="90" t="s">
        <v>335</v>
      </c>
      <c r="B1047" s="96" t="s">
        <v>379</v>
      </c>
      <c r="C1047" s="97" t="s">
        <v>455</v>
      </c>
      <c r="D1047" s="97" t="s">
        <v>456</v>
      </c>
      <c r="E1047" s="97">
        <v>2077396.0</v>
      </c>
      <c r="F1047" s="97" t="s">
        <v>905</v>
      </c>
      <c r="G1047" s="97" t="s">
        <v>434</v>
      </c>
      <c r="H1047" s="90" t="s">
        <v>965</v>
      </c>
      <c r="I1047" s="80"/>
      <c r="J1047" s="80"/>
      <c r="K1047" s="80"/>
      <c r="L1047" s="80"/>
      <c r="M1047" s="80"/>
      <c r="N1047" s="80"/>
      <c r="O1047" s="80"/>
      <c r="P1047" s="80"/>
      <c r="Q1047" s="80"/>
      <c r="R1047" s="80"/>
      <c r="S1047" s="80"/>
    </row>
    <row r="1048" ht="40.5" customHeight="1">
      <c r="A1048" s="90" t="s">
        <v>335</v>
      </c>
      <c r="B1048" s="96" t="s">
        <v>379</v>
      </c>
      <c r="C1048" s="97" t="s">
        <v>455</v>
      </c>
      <c r="D1048" s="97" t="s">
        <v>457</v>
      </c>
      <c r="E1048" s="97">
        <v>2077396.0</v>
      </c>
      <c r="F1048" s="97" t="s">
        <v>905</v>
      </c>
      <c r="G1048" s="97" t="s">
        <v>434</v>
      </c>
      <c r="H1048" s="90" t="s">
        <v>965</v>
      </c>
      <c r="I1048" s="80"/>
      <c r="J1048" s="80"/>
      <c r="K1048" s="80"/>
      <c r="L1048" s="80"/>
      <c r="M1048" s="80"/>
      <c r="N1048" s="80"/>
      <c r="O1048" s="80"/>
      <c r="P1048" s="80"/>
      <c r="Q1048" s="80"/>
      <c r="R1048" s="80"/>
      <c r="S1048" s="80"/>
    </row>
    <row r="1049" ht="40.5" customHeight="1">
      <c r="A1049" s="90" t="s">
        <v>335</v>
      </c>
      <c r="B1049" s="96" t="s">
        <v>379</v>
      </c>
      <c r="C1049" s="97" t="s">
        <v>455</v>
      </c>
      <c r="D1049" s="97" t="s">
        <v>458</v>
      </c>
      <c r="E1049" s="97">
        <v>2077396.0</v>
      </c>
      <c r="F1049" s="97" t="s">
        <v>905</v>
      </c>
      <c r="G1049" s="97" t="s">
        <v>434</v>
      </c>
      <c r="H1049" s="90" t="s">
        <v>965</v>
      </c>
      <c r="I1049" s="80"/>
      <c r="J1049" s="80"/>
      <c r="K1049" s="80"/>
      <c r="L1049" s="80"/>
      <c r="M1049" s="80"/>
      <c r="N1049" s="80"/>
      <c r="O1049" s="80"/>
      <c r="P1049" s="80"/>
      <c r="Q1049" s="80"/>
      <c r="R1049" s="80"/>
      <c r="S1049" s="80"/>
    </row>
    <row r="1050" ht="40.5" customHeight="1">
      <c r="A1050" s="90" t="s">
        <v>335</v>
      </c>
      <c r="B1050" s="96" t="s">
        <v>379</v>
      </c>
      <c r="C1050" s="97" t="s">
        <v>455</v>
      </c>
      <c r="D1050" s="97" t="s">
        <v>459</v>
      </c>
      <c r="E1050" s="97">
        <v>2077396.0</v>
      </c>
      <c r="F1050" s="97" t="s">
        <v>905</v>
      </c>
      <c r="G1050" s="97" t="s">
        <v>434</v>
      </c>
      <c r="H1050" s="90" t="s">
        <v>965</v>
      </c>
      <c r="I1050" s="80"/>
      <c r="J1050" s="80"/>
      <c r="K1050" s="80"/>
      <c r="L1050" s="80"/>
      <c r="M1050" s="80"/>
      <c r="N1050" s="80"/>
      <c r="O1050" s="80"/>
      <c r="P1050" s="80"/>
      <c r="Q1050" s="80"/>
      <c r="R1050" s="80"/>
      <c r="S1050" s="80"/>
    </row>
    <row r="1051" ht="40.5" customHeight="1">
      <c r="A1051" s="90" t="s">
        <v>335</v>
      </c>
      <c r="B1051" s="96" t="s">
        <v>379</v>
      </c>
      <c r="C1051" s="97" t="s">
        <v>455</v>
      </c>
      <c r="D1051" s="97" t="s">
        <v>460</v>
      </c>
      <c r="E1051" s="97">
        <v>2077396.0</v>
      </c>
      <c r="F1051" s="97" t="s">
        <v>905</v>
      </c>
      <c r="G1051" s="97" t="s">
        <v>434</v>
      </c>
      <c r="H1051" s="90" t="s">
        <v>965</v>
      </c>
      <c r="I1051" s="80"/>
      <c r="J1051" s="80"/>
      <c r="K1051" s="80"/>
      <c r="L1051" s="80"/>
      <c r="M1051" s="80"/>
      <c r="N1051" s="80"/>
      <c r="O1051" s="80"/>
      <c r="P1051" s="80"/>
      <c r="Q1051" s="80"/>
      <c r="R1051" s="80"/>
      <c r="S1051" s="80"/>
    </row>
    <row r="1052" ht="40.5" customHeight="1">
      <c r="A1052" s="90" t="s">
        <v>335</v>
      </c>
      <c r="B1052" s="96" t="s">
        <v>379</v>
      </c>
      <c r="C1052" s="97" t="s">
        <v>455</v>
      </c>
      <c r="D1052" s="97" t="s">
        <v>461</v>
      </c>
      <c r="E1052" s="97">
        <v>2077396.0</v>
      </c>
      <c r="F1052" s="97" t="s">
        <v>905</v>
      </c>
      <c r="G1052" s="97" t="s">
        <v>434</v>
      </c>
      <c r="H1052" s="90" t="s">
        <v>965</v>
      </c>
      <c r="I1052" s="80"/>
      <c r="J1052" s="80"/>
      <c r="K1052" s="80"/>
      <c r="L1052" s="80"/>
      <c r="M1052" s="80"/>
      <c r="N1052" s="80"/>
      <c r="O1052" s="80"/>
      <c r="P1052" s="80"/>
      <c r="Q1052" s="80"/>
      <c r="R1052" s="80"/>
      <c r="S1052" s="80"/>
    </row>
    <row r="1053" ht="40.5" customHeight="1">
      <c r="A1053" s="90" t="s">
        <v>335</v>
      </c>
      <c r="B1053" s="96" t="s">
        <v>379</v>
      </c>
      <c r="C1053" s="97" t="s">
        <v>455</v>
      </c>
      <c r="D1053" s="97" t="s">
        <v>462</v>
      </c>
      <c r="E1053" s="97">
        <v>2077396.0</v>
      </c>
      <c r="F1053" s="97" t="s">
        <v>905</v>
      </c>
      <c r="G1053" s="97" t="s">
        <v>434</v>
      </c>
      <c r="H1053" s="90" t="s">
        <v>965</v>
      </c>
      <c r="I1053" s="80"/>
      <c r="J1053" s="80"/>
      <c r="K1053" s="80"/>
      <c r="L1053" s="80"/>
      <c r="M1053" s="80"/>
      <c r="N1053" s="80"/>
      <c r="O1053" s="80"/>
      <c r="P1053" s="80"/>
      <c r="Q1053" s="80"/>
      <c r="R1053" s="80"/>
      <c r="S1053" s="80"/>
    </row>
    <row r="1054" ht="40.5" customHeight="1">
      <c r="A1054" s="90" t="s">
        <v>335</v>
      </c>
      <c r="B1054" s="96" t="s">
        <v>379</v>
      </c>
      <c r="C1054" s="97" t="s">
        <v>455</v>
      </c>
      <c r="D1054" s="97" t="s">
        <v>463</v>
      </c>
      <c r="E1054" s="97">
        <v>2077396.0</v>
      </c>
      <c r="F1054" s="97" t="s">
        <v>905</v>
      </c>
      <c r="G1054" s="97" t="s">
        <v>434</v>
      </c>
      <c r="H1054" s="90" t="s">
        <v>965</v>
      </c>
      <c r="I1054" s="80"/>
      <c r="J1054" s="80"/>
      <c r="K1054" s="80"/>
      <c r="L1054" s="80"/>
      <c r="M1054" s="80"/>
      <c r="N1054" s="80"/>
      <c r="O1054" s="80"/>
      <c r="P1054" s="80"/>
      <c r="Q1054" s="80"/>
      <c r="R1054" s="80"/>
      <c r="S1054" s="80"/>
    </row>
    <row r="1055" ht="40.5" customHeight="1">
      <c r="A1055" s="90" t="s">
        <v>335</v>
      </c>
      <c r="B1055" s="96" t="s">
        <v>379</v>
      </c>
      <c r="C1055" s="97" t="s">
        <v>455</v>
      </c>
      <c r="D1055" s="97" t="s">
        <v>464</v>
      </c>
      <c r="E1055" s="97">
        <v>2077396.0</v>
      </c>
      <c r="F1055" s="97" t="s">
        <v>905</v>
      </c>
      <c r="G1055" s="97" t="s">
        <v>434</v>
      </c>
      <c r="H1055" s="90" t="s">
        <v>965</v>
      </c>
      <c r="I1055" s="80"/>
      <c r="J1055" s="80"/>
      <c r="K1055" s="80"/>
      <c r="L1055" s="80"/>
      <c r="M1055" s="80"/>
      <c r="N1055" s="80"/>
      <c r="O1055" s="80"/>
      <c r="P1055" s="80"/>
      <c r="Q1055" s="80"/>
      <c r="R1055" s="80"/>
      <c r="S1055" s="80"/>
    </row>
    <row r="1056" ht="40.5" customHeight="1">
      <c r="A1056" s="90" t="s">
        <v>335</v>
      </c>
      <c r="B1056" s="96" t="s">
        <v>379</v>
      </c>
      <c r="C1056" s="97" t="s">
        <v>455</v>
      </c>
      <c r="D1056" s="97" t="s">
        <v>465</v>
      </c>
      <c r="E1056" s="97">
        <v>2077396.0</v>
      </c>
      <c r="F1056" s="97" t="s">
        <v>905</v>
      </c>
      <c r="G1056" s="97" t="s">
        <v>434</v>
      </c>
      <c r="H1056" s="90" t="s">
        <v>965</v>
      </c>
      <c r="I1056" s="80"/>
      <c r="J1056" s="80"/>
      <c r="K1056" s="80"/>
      <c r="L1056" s="80"/>
      <c r="M1056" s="80"/>
      <c r="N1056" s="80"/>
      <c r="O1056" s="80"/>
      <c r="P1056" s="80"/>
      <c r="Q1056" s="80"/>
      <c r="R1056" s="80"/>
      <c r="S1056" s="80"/>
    </row>
    <row r="1057" ht="40.5" customHeight="1">
      <c r="A1057" s="90" t="s">
        <v>335</v>
      </c>
      <c r="B1057" s="96" t="s">
        <v>379</v>
      </c>
      <c r="C1057" s="97" t="s">
        <v>455</v>
      </c>
      <c r="D1057" s="97" t="s">
        <v>466</v>
      </c>
      <c r="E1057" s="97">
        <v>2077396.0</v>
      </c>
      <c r="F1057" s="97" t="s">
        <v>905</v>
      </c>
      <c r="G1057" s="97" t="s">
        <v>434</v>
      </c>
      <c r="H1057" s="90" t="s">
        <v>965</v>
      </c>
      <c r="I1057" s="80"/>
      <c r="J1057" s="80"/>
      <c r="K1057" s="80"/>
      <c r="L1057" s="80"/>
      <c r="M1057" s="80"/>
      <c r="N1057" s="80"/>
      <c r="O1057" s="80"/>
      <c r="P1057" s="80"/>
      <c r="Q1057" s="80"/>
      <c r="R1057" s="80"/>
      <c r="S1057" s="80"/>
    </row>
    <row r="1058" ht="40.5" customHeight="1">
      <c r="A1058" s="90" t="s">
        <v>335</v>
      </c>
      <c r="B1058" s="96" t="s">
        <v>379</v>
      </c>
      <c r="C1058" s="97" t="s">
        <v>467</v>
      </c>
      <c r="D1058" s="97" t="s">
        <v>468</v>
      </c>
      <c r="E1058" s="97">
        <v>2081377.0</v>
      </c>
      <c r="F1058" s="97" t="s">
        <v>1073</v>
      </c>
      <c r="G1058" s="97" t="s">
        <v>467</v>
      </c>
      <c r="H1058" s="90" t="s">
        <v>965</v>
      </c>
      <c r="I1058" s="80"/>
      <c r="J1058" s="80"/>
      <c r="K1058" s="80"/>
      <c r="L1058" s="80"/>
      <c r="M1058" s="80"/>
      <c r="N1058" s="80"/>
      <c r="O1058" s="80"/>
      <c r="P1058" s="80"/>
      <c r="Q1058" s="80"/>
      <c r="R1058" s="80"/>
      <c r="S1058" s="80"/>
    </row>
    <row r="1059" ht="40.5" customHeight="1">
      <c r="A1059" s="90" t="s">
        <v>335</v>
      </c>
      <c r="B1059" s="96" t="s">
        <v>379</v>
      </c>
      <c r="C1059" s="97" t="s">
        <v>467</v>
      </c>
      <c r="D1059" s="97" t="s">
        <v>469</v>
      </c>
      <c r="E1059" s="97">
        <v>2081377.0</v>
      </c>
      <c r="F1059" s="97" t="s">
        <v>1073</v>
      </c>
      <c r="G1059" s="97" t="s">
        <v>467</v>
      </c>
      <c r="H1059" s="90" t="s">
        <v>965</v>
      </c>
      <c r="I1059" s="80"/>
      <c r="J1059" s="80"/>
      <c r="K1059" s="80"/>
      <c r="L1059" s="80"/>
      <c r="M1059" s="80"/>
      <c r="N1059" s="80"/>
      <c r="O1059" s="80"/>
      <c r="P1059" s="80"/>
      <c r="Q1059" s="80"/>
      <c r="R1059" s="80"/>
      <c r="S1059" s="80"/>
    </row>
    <row r="1060" ht="40.5" customHeight="1">
      <c r="A1060" s="90" t="s">
        <v>335</v>
      </c>
      <c r="B1060" s="96" t="s">
        <v>379</v>
      </c>
      <c r="C1060" s="97" t="s">
        <v>467</v>
      </c>
      <c r="D1060" s="97" t="s">
        <v>470</v>
      </c>
      <c r="E1060" s="97">
        <v>2081377.0</v>
      </c>
      <c r="F1060" s="97" t="s">
        <v>1073</v>
      </c>
      <c r="G1060" s="97" t="s">
        <v>467</v>
      </c>
      <c r="H1060" s="90" t="s">
        <v>965</v>
      </c>
      <c r="I1060" s="80"/>
      <c r="J1060" s="80"/>
      <c r="K1060" s="80"/>
      <c r="L1060" s="80"/>
      <c r="M1060" s="80"/>
      <c r="N1060" s="80"/>
      <c r="O1060" s="80"/>
      <c r="P1060" s="80"/>
      <c r="Q1060" s="80"/>
      <c r="R1060" s="80"/>
      <c r="S1060" s="80"/>
    </row>
    <row r="1061" ht="40.5" customHeight="1">
      <c r="A1061" s="90" t="s">
        <v>335</v>
      </c>
      <c r="B1061" s="96" t="s">
        <v>379</v>
      </c>
      <c r="C1061" s="97" t="s">
        <v>467</v>
      </c>
      <c r="D1061" s="97" t="s">
        <v>471</v>
      </c>
      <c r="E1061" s="97">
        <v>2081377.0</v>
      </c>
      <c r="F1061" s="97" t="s">
        <v>1073</v>
      </c>
      <c r="G1061" s="97" t="s">
        <v>467</v>
      </c>
      <c r="H1061" s="90" t="s">
        <v>965</v>
      </c>
      <c r="I1061" s="80"/>
      <c r="J1061" s="80"/>
      <c r="K1061" s="80"/>
      <c r="L1061" s="80"/>
      <c r="M1061" s="80"/>
      <c r="N1061" s="80"/>
      <c r="O1061" s="80"/>
      <c r="P1061" s="80"/>
      <c r="Q1061" s="80"/>
      <c r="R1061" s="80"/>
      <c r="S1061" s="80"/>
    </row>
    <row r="1062" ht="40.5" customHeight="1">
      <c r="A1062" s="90" t="s">
        <v>335</v>
      </c>
      <c r="B1062" s="96" t="s">
        <v>379</v>
      </c>
      <c r="C1062" s="97" t="s">
        <v>467</v>
      </c>
      <c r="D1062" s="97" t="s">
        <v>472</v>
      </c>
      <c r="E1062" s="97">
        <v>2081377.0</v>
      </c>
      <c r="F1062" s="97" t="s">
        <v>1073</v>
      </c>
      <c r="G1062" s="97" t="s">
        <v>467</v>
      </c>
      <c r="H1062" s="90" t="s">
        <v>965</v>
      </c>
      <c r="I1062" s="80"/>
      <c r="J1062" s="80"/>
      <c r="K1062" s="80"/>
      <c r="L1062" s="80"/>
      <c r="M1062" s="80"/>
      <c r="N1062" s="80"/>
      <c r="O1062" s="80"/>
      <c r="P1062" s="80"/>
      <c r="Q1062" s="80"/>
      <c r="R1062" s="80"/>
      <c r="S1062" s="80"/>
    </row>
    <row r="1063" ht="40.5" customHeight="1">
      <c r="A1063" s="90" t="s">
        <v>335</v>
      </c>
      <c r="B1063" s="96" t="s">
        <v>379</v>
      </c>
      <c r="C1063" s="97" t="s">
        <v>467</v>
      </c>
      <c r="D1063" s="97" t="s">
        <v>473</v>
      </c>
      <c r="E1063" s="97">
        <v>2081377.0</v>
      </c>
      <c r="F1063" s="97" t="s">
        <v>1073</v>
      </c>
      <c r="G1063" s="97" t="s">
        <v>467</v>
      </c>
      <c r="H1063" s="90" t="s">
        <v>965</v>
      </c>
      <c r="I1063" s="80"/>
      <c r="J1063" s="80"/>
      <c r="K1063" s="80"/>
      <c r="L1063" s="80"/>
      <c r="M1063" s="80"/>
      <c r="N1063" s="80"/>
      <c r="O1063" s="80"/>
      <c r="P1063" s="80"/>
      <c r="Q1063" s="80"/>
      <c r="R1063" s="80"/>
      <c r="S1063" s="80"/>
    </row>
    <row r="1064" ht="40.5" customHeight="1">
      <c r="A1064" s="90" t="s">
        <v>335</v>
      </c>
      <c r="B1064" s="96" t="s">
        <v>379</v>
      </c>
      <c r="C1064" s="97" t="s">
        <v>467</v>
      </c>
      <c r="D1064" s="97" t="s">
        <v>474</v>
      </c>
      <c r="E1064" s="97">
        <v>2081377.0</v>
      </c>
      <c r="F1064" s="97" t="s">
        <v>1073</v>
      </c>
      <c r="G1064" s="97" t="s">
        <v>467</v>
      </c>
      <c r="H1064" s="90" t="s">
        <v>965</v>
      </c>
      <c r="I1064" s="80"/>
      <c r="J1064" s="80"/>
      <c r="K1064" s="80"/>
      <c r="L1064" s="80"/>
      <c r="M1064" s="80"/>
      <c r="N1064" s="80"/>
      <c r="O1064" s="80"/>
      <c r="P1064" s="80"/>
      <c r="Q1064" s="80"/>
      <c r="R1064" s="80"/>
      <c r="S1064" s="80"/>
    </row>
    <row r="1065" ht="40.5" customHeight="1">
      <c r="A1065" s="90" t="s">
        <v>335</v>
      </c>
      <c r="B1065" s="96" t="s">
        <v>379</v>
      </c>
      <c r="C1065" s="97" t="s">
        <v>467</v>
      </c>
      <c r="D1065" s="97" t="s">
        <v>475</v>
      </c>
      <c r="E1065" s="97">
        <v>2081377.0</v>
      </c>
      <c r="F1065" s="97" t="s">
        <v>1073</v>
      </c>
      <c r="G1065" s="97" t="s">
        <v>467</v>
      </c>
      <c r="H1065" s="90" t="s">
        <v>965</v>
      </c>
      <c r="I1065" s="80"/>
      <c r="J1065" s="80"/>
      <c r="K1065" s="80"/>
      <c r="L1065" s="80"/>
      <c r="M1065" s="80"/>
      <c r="N1065" s="80"/>
      <c r="O1065" s="80"/>
      <c r="P1065" s="80"/>
      <c r="Q1065" s="80"/>
      <c r="R1065" s="80"/>
      <c r="S1065" s="80"/>
    </row>
    <row r="1066" ht="40.5" customHeight="1">
      <c r="A1066" s="90" t="s">
        <v>335</v>
      </c>
      <c r="B1066" s="96" t="s">
        <v>379</v>
      </c>
      <c r="C1066" s="97" t="s">
        <v>467</v>
      </c>
      <c r="D1066" s="97" t="s">
        <v>476</v>
      </c>
      <c r="E1066" s="97">
        <v>2081377.0</v>
      </c>
      <c r="F1066" s="97" t="s">
        <v>1073</v>
      </c>
      <c r="G1066" s="97" t="s">
        <v>467</v>
      </c>
      <c r="H1066" s="90" t="s">
        <v>965</v>
      </c>
      <c r="I1066" s="80"/>
      <c r="J1066" s="80"/>
      <c r="K1066" s="80"/>
      <c r="L1066" s="80"/>
      <c r="M1066" s="80"/>
      <c r="N1066" s="80"/>
      <c r="O1066" s="80"/>
      <c r="P1066" s="80"/>
      <c r="Q1066" s="80"/>
      <c r="R1066" s="80"/>
      <c r="S1066" s="80"/>
    </row>
    <row r="1067" ht="40.5" customHeight="1">
      <c r="A1067" s="90" t="s">
        <v>335</v>
      </c>
      <c r="B1067" s="96" t="s">
        <v>379</v>
      </c>
      <c r="C1067" s="97" t="s">
        <v>467</v>
      </c>
      <c r="D1067" s="97" t="s">
        <v>477</v>
      </c>
      <c r="E1067" s="97">
        <v>2081377.0</v>
      </c>
      <c r="F1067" s="97" t="s">
        <v>1073</v>
      </c>
      <c r="G1067" s="97" t="s">
        <v>467</v>
      </c>
      <c r="H1067" s="90" t="s">
        <v>965</v>
      </c>
      <c r="I1067" s="80"/>
      <c r="J1067" s="80"/>
      <c r="K1067" s="80"/>
      <c r="L1067" s="80"/>
      <c r="M1067" s="80"/>
      <c r="N1067" s="80"/>
      <c r="O1067" s="80"/>
      <c r="P1067" s="80"/>
      <c r="Q1067" s="80"/>
      <c r="R1067" s="80"/>
      <c r="S1067" s="80"/>
    </row>
    <row r="1068" ht="40.5" customHeight="1">
      <c r="A1068" s="90" t="s">
        <v>335</v>
      </c>
      <c r="B1068" s="96" t="s">
        <v>379</v>
      </c>
      <c r="C1068" s="97" t="s">
        <v>467</v>
      </c>
      <c r="D1068" s="97" t="s">
        <v>478</v>
      </c>
      <c r="E1068" s="97">
        <v>2081377.0</v>
      </c>
      <c r="F1068" s="97" t="s">
        <v>1073</v>
      </c>
      <c r="G1068" s="97" t="s">
        <v>467</v>
      </c>
      <c r="H1068" s="90" t="s">
        <v>965</v>
      </c>
      <c r="I1068" s="80"/>
      <c r="J1068" s="80"/>
      <c r="K1068" s="80"/>
      <c r="L1068" s="80"/>
      <c r="M1068" s="80"/>
      <c r="N1068" s="80"/>
      <c r="O1068" s="80"/>
      <c r="P1068" s="80"/>
      <c r="Q1068" s="80"/>
      <c r="R1068" s="80"/>
      <c r="S1068" s="80"/>
    </row>
    <row r="1069" ht="40.5" customHeight="1">
      <c r="A1069" s="90" t="s">
        <v>335</v>
      </c>
      <c r="B1069" s="96" t="s">
        <v>379</v>
      </c>
      <c r="C1069" s="97" t="s">
        <v>467</v>
      </c>
      <c r="D1069" s="97" t="s">
        <v>479</v>
      </c>
      <c r="E1069" s="97">
        <v>2081377.0</v>
      </c>
      <c r="F1069" s="97" t="s">
        <v>1073</v>
      </c>
      <c r="G1069" s="97" t="s">
        <v>467</v>
      </c>
      <c r="H1069" s="90" t="s">
        <v>965</v>
      </c>
      <c r="I1069" s="80"/>
      <c r="J1069" s="80"/>
      <c r="K1069" s="80"/>
      <c r="L1069" s="80"/>
      <c r="M1069" s="80"/>
      <c r="N1069" s="80"/>
      <c r="O1069" s="80"/>
      <c r="P1069" s="80"/>
      <c r="Q1069" s="80"/>
      <c r="R1069" s="80"/>
      <c r="S1069" s="80"/>
    </row>
    <row r="1070" ht="40.5" customHeight="1">
      <c r="A1070" s="90" t="s">
        <v>335</v>
      </c>
      <c r="B1070" s="96" t="s">
        <v>379</v>
      </c>
      <c r="C1070" s="97" t="s">
        <v>467</v>
      </c>
      <c r="D1070" s="97" t="s">
        <v>480</v>
      </c>
      <c r="E1070" s="97">
        <v>2081377.0</v>
      </c>
      <c r="F1070" s="97" t="s">
        <v>1073</v>
      </c>
      <c r="G1070" s="97" t="s">
        <v>467</v>
      </c>
      <c r="H1070" s="90" t="s">
        <v>965</v>
      </c>
      <c r="I1070" s="80"/>
      <c r="J1070" s="80"/>
      <c r="K1070" s="80"/>
      <c r="L1070" s="80"/>
      <c r="M1070" s="80"/>
      <c r="N1070" s="80"/>
      <c r="O1070" s="80"/>
      <c r="P1070" s="80"/>
      <c r="Q1070" s="80"/>
      <c r="R1070" s="80"/>
      <c r="S1070" s="80"/>
    </row>
    <row r="1071" ht="40.5" customHeight="1">
      <c r="A1071" s="90" t="s">
        <v>335</v>
      </c>
      <c r="B1071" s="96" t="s">
        <v>379</v>
      </c>
      <c r="C1071" s="97" t="s">
        <v>467</v>
      </c>
      <c r="D1071" s="97" t="s">
        <v>481</v>
      </c>
      <c r="E1071" s="97">
        <v>2081377.0</v>
      </c>
      <c r="F1071" s="97" t="s">
        <v>1073</v>
      </c>
      <c r="G1071" s="97" t="s">
        <v>467</v>
      </c>
      <c r="H1071" s="90" t="s">
        <v>965</v>
      </c>
      <c r="I1071" s="80"/>
      <c r="J1071" s="80"/>
      <c r="K1071" s="80"/>
      <c r="L1071" s="80"/>
      <c r="M1071" s="80"/>
      <c r="N1071" s="80"/>
      <c r="O1071" s="80"/>
      <c r="P1071" s="80"/>
      <c r="Q1071" s="80"/>
      <c r="R1071" s="80"/>
      <c r="S1071" s="80"/>
    </row>
    <row r="1072" ht="40.5" customHeight="1">
      <c r="A1072" s="90" t="s">
        <v>335</v>
      </c>
      <c r="B1072" s="96" t="s">
        <v>379</v>
      </c>
      <c r="C1072" s="97" t="s">
        <v>467</v>
      </c>
      <c r="D1072" s="97" t="s">
        <v>482</v>
      </c>
      <c r="E1072" s="97">
        <v>2081377.0</v>
      </c>
      <c r="F1072" s="97" t="s">
        <v>1073</v>
      </c>
      <c r="G1072" s="97" t="s">
        <v>467</v>
      </c>
      <c r="H1072" s="90" t="s">
        <v>965</v>
      </c>
      <c r="I1072" s="80"/>
      <c r="J1072" s="80"/>
      <c r="K1072" s="80"/>
      <c r="L1072" s="80"/>
      <c r="M1072" s="80"/>
      <c r="N1072" s="80"/>
      <c r="O1072" s="80"/>
      <c r="P1072" s="80"/>
      <c r="Q1072" s="80"/>
      <c r="R1072" s="80"/>
      <c r="S1072" s="80"/>
    </row>
    <row r="1073" ht="40.5" customHeight="1">
      <c r="A1073" s="90" t="s">
        <v>335</v>
      </c>
      <c r="B1073" s="96" t="s">
        <v>379</v>
      </c>
      <c r="C1073" s="97" t="s">
        <v>467</v>
      </c>
      <c r="D1073" s="97" t="s">
        <v>483</v>
      </c>
      <c r="E1073" s="97">
        <v>2081377.0</v>
      </c>
      <c r="F1073" s="97" t="s">
        <v>1073</v>
      </c>
      <c r="G1073" s="97" t="s">
        <v>467</v>
      </c>
      <c r="H1073" s="90" t="s">
        <v>965</v>
      </c>
      <c r="I1073" s="80"/>
      <c r="J1073" s="80"/>
      <c r="K1073" s="80"/>
      <c r="L1073" s="80"/>
      <c r="M1073" s="80"/>
      <c r="N1073" s="80"/>
      <c r="O1073" s="80"/>
      <c r="P1073" s="80"/>
      <c r="Q1073" s="80"/>
      <c r="R1073" s="80"/>
      <c r="S1073" s="80"/>
    </row>
    <row r="1074" ht="40.5" customHeight="1">
      <c r="A1074" s="90" t="s">
        <v>335</v>
      </c>
      <c r="B1074" s="96" t="s">
        <v>379</v>
      </c>
      <c r="C1074" s="97" t="s">
        <v>467</v>
      </c>
      <c r="D1074" s="97" t="s">
        <v>484</v>
      </c>
      <c r="E1074" s="97">
        <v>2081377.0</v>
      </c>
      <c r="F1074" s="97" t="s">
        <v>1073</v>
      </c>
      <c r="G1074" s="97" t="s">
        <v>467</v>
      </c>
      <c r="H1074" s="90" t="s">
        <v>965</v>
      </c>
      <c r="I1074" s="80"/>
      <c r="J1074" s="80"/>
      <c r="K1074" s="80"/>
      <c r="L1074" s="80"/>
      <c r="M1074" s="80"/>
      <c r="N1074" s="80"/>
      <c r="O1074" s="80"/>
      <c r="P1074" s="80"/>
      <c r="Q1074" s="80"/>
      <c r="R1074" s="80"/>
      <c r="S1074" s="80"/>
    </row>
    <row r="1075" ht="40.5" customHeight="1">
      <c r="A1075" s="90" t="s">
        <v>485</v>
      </c>
      <c r="B1075" s="96" t="s">
        <v>486</v>
      </c>
      <c r="C1075" s="96" t="s">
        <v>487</v>
      </c>
      <c r="D1075" s="96" t="s">
        <v>488</v>
      </c>
      <c r="E1075" s="96">
        <v>2082845.0</v>
      </c>
      <c r="F1075" s="96" t="s">
        <v>1074</v>
      </c>
      <c r="G1075" s="96" t="s">
        <v>495</v>
      </c>
      <c r="H1075" s="90" t="s">
        <v>965</v>
      </c>
      <c r="I1075" s="80"/>
      <c r="J1075" s="80"/>
      <c r="K1075" s="80"/>
      <c r="L1075" s="80"/>
      <c r="M1075" s="80"/>
      <c r="N1075" s="80"/>
      <c r="O1075" s="80"/>
      <c r="P1075" s="80"/>
      <c r="Q1075" s="80"/>
      <c r="R1075" s="80"/>
      <c r="S1075" s="80"/>
    </row>
    <row r="1076" ht="40.5" customHeight="1">
      <c r="A1076" s="90" t="s">
        <v>485</v>
      </c>
      <c r="B1076" s="96" t="s">
        <v>486</v>
      </c>
      <c r="C1076" s="96" t="s">
        <v>487</v>
      </c>
      <c r="D1076" s="96" t="s">
        <v>486</v>
      </c>
      <c r="E1076" s="96">
        <v>2092611.0</v>
      </c>
      <c r="F1076" s="96" t="s">
        <v>1075</v>
      </c>
      <c r="G1076" s="96" t="s">
        <v>486</v>
      </c>
      <c r="H1076" s="90" t="s">
        <v>965</v>
      </c>
      <c r="I1076" s="80"/>
      <c r="J1076" s="80"/>
      <c r="K1076" s="80"/>
      <c r="L1076" s="80"/>
      <c r="M1076" s="80"/>
      <c r="N1076" s="80"/>
      <c r="O1076" s="80"/>
      <c r="P1076" s="80"/>
      <c r="Q1076" s="80"/>
      <c r="R1076" s="80"/>
      <c r="S1076" s="80"/>
    </row>
    <row r="1077" ht="40.5" customHeight="1">
      <c r="A1077" s="90" t="s">
        <v>485</v>
      </c>
      <c r="B1077" s="96" t="s">
        <v>486</v>
      </c>
      <c r="C1077" s="96" t="s">
        <v>487</v>
      </c>
      <c r="D1077" s="96" t="s">
        <v>489</v>
      </c>
      <c r="E1077" s="96">
        <v>2081296.0</v>
      </c>
      <c r="F1077" s="96" t="s">
        <v>1076</v>
      </c>
      <c r="G1077" s="96" t="s">
        <v>489</v>
      </c>
      <c r="H1077" s="90" t="s">
        <v>965</v>
      </c>
      <c r="I1077" s="80"/>
      <c r="J1077" s="80"/>
      <c r="K1077" s="80"/>
      <c r="L1077" s="80"/>
      <c r="M1077" s="80"/>
      <c r="N1077" s="80"/>
      <c r="O1077" s="80"/>
      <c r="P1077" s="80"/>
      <c r="Q1077" s="80"/>
      <c r="R1077" s="80"/>
      <c r="S1077" s="80"/>
    </row>
    <row r="1078" ht="40.5" customHeight="1">
      <c r="A1078" s="90" t="s">
        <v>485</v>
      </c>
      <c r="B1078" s="96" t="s">
        <v>486</v>
      </c>
      <c r="C1078" s="96" t="s">
        <v>487</v>
      </c>
      <c r="D1078" s="96" t="s">
        <v>489</v>
      </c>
      <c r="E1078" s="96">
        <v>2082845.0</v>
      </c>
      <c r="F1078" s="96" t="s">
        <v>1074</v>
      </c>
      <c r="G1078" s="96" t="s">
        <v>495</v>
      </c>
      <c r="H1078" s="90" t="s">
        <v>965</v>
      </c>
      <c r="I1078" s="80"/>
      <c r="J1078" s="80"/>
      <c r="K1078" s="80"/>
      <c r="L1078" s="80"/>
      <c r="M1078" s="80"/>
      <c r="N1078" s="80"/>
      <c r="O1078" s="80"/>
      <c r="P1078" s="80"/>
      <c r="Q1078" s="80"/>
      <c r="R1078" s="80"/>
      <c r="S1078" s="80"/>
    </row>
    <row r="1079" ht="40.5" customHeight="1">
      <c r="A1079" s="90" t="s">
        <v>485</v>
      </c>
      <c r="B1079" s="96" t="s">
        <v>486</v>
      </c>
      <c r="C1079" s="96" t="s">
        <v>487</v>
      </c>
      <c r="D1079" s="96" t="s">
        <v>490</v>
      </c>
      <c r="E1079" s="96">
        <v>2095912.0</v>
      </c>
      <c r="F1079" s="96" t="s">
        <v>1077</v>
      </c>
      <c r="G1079" s="96" t="s">
        <v>490</v>
      </c>
      <c r="H1079" s="90" t="s">
        <v>965</v>
      </c>
      <c r="I1079" s="80"/>
      <c r="J1079" s="80"/>
      <c r="K1079" s="80"/>
      <c r="L1079" s="80"/>
      <c r="M1079" s="80"/>
      <c r="N1079" s="80"/>
      <c r="O1079" s="80"/>
      <c r="P1079" s="80"/>
      <c r="Q1079" s="80"/>
      <c r="R1079" s="80"/>
      <c r="S1079" s="80"/>
    </row>
    <row r="1080" ht="40.5" customHeight="1">
      <c r="A1080" s="90" t="s">
        <v>485</v>
      </c>
      <c r="B1080" s="96" t="s">
        <v>486</v>
      </c>
      <c r="C1080" s="96" t="s">
        <v>487</v>
      </c>
      <c r="D1080" s="96" t="s">
        <v>491</v>
      </c>
      <c r="E1080" s="96">
        <v>2092611.0</v>
      </c>
      <c r="F1080" s="96" t="s">
        <v>1075</v>
      </c>
      <c r="G1080" s="96" t="s">
        <v>486</v>
      </c>
      <c r="H1080" s="90" t="s">
        <v>965</v>
      </c>
      <c r="I1080" s="80"/>
      <c r="J1080" s="80"/>
      <c r="K1080" s="80"/>
      <c r="L1080" s="80"/>
      <c r="M1080" s="80"/>
      <c r="N1080" s="80"/>
      <c r="O1080" s="80"/>
      <c r="P1080" s="80"/>
      <c r="Q1080" s="80"/>
      <c r="R1080" s="80"/>
      <c r="S1080" s="80"/>
    </row>
    <row r="1081" ht="40.5" customHeight="1">
      <c r="A1081" s="90" t="s">
        <v>485</v>
      </c>
      <c r="B1081" s="96" t="s">
        <v>486</v>
      </c>
      <c r="C1081" s="96" t="s">
        <v>487</v>
      </c>
      <c r="D1081" s="96" t="s">
        <v>492</v>
      </c>
      <c r="E1081" s="96">
        <v>2078414.0</v>
      </c>
      <c r="F1081" s="96" t="s">
        <v>1078</v>
      </c>
      <c r="G1081" s="96" t="s">
        <v>492</v>
      </c>
      <c r="H1081" s="90" t="s">
        <v>965</v>
      </c>
      <c r="I1081" s="80"/>
      <c r="J1081" s="80"/>
      <c r="K1081" s="80"/>
      <c r="L1081" s="80"/>
      <c r="M1081" s="80"/>
      <c r="N1081" s="80"/>
      <c r="O1081" s="80"/>
      <c r="P1081" s="80"/>
      <c r="Q1081" s="80"/>
      <c r="R1081" s="80"/>
      <c r="S1081" s="80"/>
    </row>
    <row r="1082" ht="40.5" customHeight="1">
      <c r="A1082" s="90" t="s">
        <v>485</v>
      </c>
      <c r="B1082" s="96" t="s">
        <v>486</v>
      </c>
      <c r="C1082" s="96" t="s">
        <v>487</v>
      </c>
      <c r="D1082" s="96" t="s">
        <v>493</v>
      </c>
      <c r="E1082" s="96">
        <v>2082845.0</v>
      </c>
      <c r="F1082" s="96" t="s">
        <v>1074</v>
      </c>
      <c r="G1082" s="96" t="s">
        <v>495</v>
      </c>
      <c r="H1082" s="90" t="s">
        <v>965</v>
      </c>
      <c r="I1082" s="80"/>
      <c r="J1082" s="80"/>
      <c r="K1082" s="80"/>
      <c r="L1082" s="80"/>
      <c r="M1082" s="80"/>
      <c r="N1082" s="80"/>
      <c r="O1082" s="80"/>
      <c r="P1082" s="80"/>
      <c r="Q1082" s="80"/>
      <c r="R1082" s="80"/>
      <c r="S1082" s="80"/>
    </row>
    <row r="1083" ht="40.5" customHeight="1">
      <c r="A1083" s="90" t="s">
        <v>485</v>
      </c>
      <c r="B1083" s="96" t="s">
        <v>486</v>
      </c>
      <c r="C1083" s="96" t="s">
        <v>487</v>
      </c>
      <c r="D1083" s="96" t="s">
        <v>494</v>
      </c>
      <c r="E1083" s="96">
        <v>2092611.0</v>
      </c>
      <c r="F1083" s="96" t="s">
        <v>1075</v>
      </c>
      <c r="G1083" s="96" t="s">
        <v>486</v>
      </c>
      <c r="H1083" s="90" t="s">
        <v>965</v>
      </c>
      <c r="I1083" s="80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</row>
    <row r="1084" ht="40.5" customHeight="1">
      <c r="A1084" s="90" t="s">
        <v>485</v>
      </c>
      <c r="B1084" s="96" t="s">
        <v>486</v>
      </c>
      <c r="C1084" s="96" t="s">
        <v>487</v>
      </c>
      <c r="D1084" s="96" t="s">
        <v>495</v>
      </c>
      <c r="E1084" s="96">
        <v>2082845.0</v>
      </c>
      <c r="F1084" s="96" t="s">
        <v>1074</v>
      </c>
      <c r="G1084" s="96" t="s">
        <v>495</v>
      </c>
      <c r="H1084" s="90" t="s">
        <v>965</v>
      </c>
      <c r="I1084" s="80"/>
      <c r="J1084" s="80"/>
      <c r="K1084" s="80"/>
      <c r="L1084" s="80"/>
      <c r="M1084" s="80"/>
      <c r="N1084" s="80"/>
      <c r="O1084" s="80"/>
      <c r="P1084" s="80"/>
      <c r="Q1084" s="80"/>
      <c r="R1084" s="80"/>
      <c r="S1084" s="80"/>
    </row>
    <row r="1085" ht="40.5" customHeight="1">
      <c r="A1085" s="90" t="s">
        <v>485</v>
      </c>
      <c r="B1085" s="96" t="s">
        <v>486</v>
      </c>
      <c r="C1085" s="96" t="s">
        <v>487</v>
      </c>
      <c r="D1085" s="96" t="s">
        <v>496</v>
      </c>
      <c r="E1085" s="96">
        <v>2082845.0</v>
      </c>
      <c r="F1085" s="96" t="s">
        <v>1074</v>
      </c>
      <c r="G1085" s="96" t="s">
        <v>495</v>
      </c>
      <c r="H1085" s="90" t="s">
        <v>965</v>
      </c>
      <c r="I1085" s="80"/>
      <c r="J1085" s="80"/>
      <c r="K1085" s="80"/>
      <c r="L1085" s="80"/>
      <c r="M1085" s="80"/>
      <c r="N1085" s="80"/>
      <c r="O1085" s="80"/>
      <c r="P1085" s="80"/>
      <c r="Q1085" s="80"/>
      <c r="R1085" s="80"/>
      <c r="S1085" s="80"/>
    </row>
    <row r="1086" ht="40.5" customHeight="1">
      <c r="A1086" s="90" t="s">
        <v>485</v>
      </c>
      <c r="B1086" s="96" t="s">
        <v>486</v>
      </c>
      <c r="C1086" s="96" t="s">
        <v>497</v>
      </c>
      <c r="D1086" s="96" t="s">
        <v>498</v>
      </c>
      <c r="E1086" s="96">
        <v>2082381.0</v>
      </c>
      <c r="F1086" s="96" t="s">
        <v>1079</v>
      </c>
      <c r="G1086" s="96" t="s">
        <v>498</v>
      </c>
      <c r="H1086" s="90" t="s">
        <v>965</v>
      </c>
      <c r="I1086" s="80"/>
      <c r="J1086" s="80"/>
      <c r="K1086" s="80"/>
      <c r="L1086" s="80"/>
      <c r="M1086" s="80"/>
      <c r="N1086" s="80"/>
      <c r="O1086" s="80"/>
      <c r="P1086" s="80"/>
      <c r="Q1086" s="80"/>
      <c r="R1086" s="80"/>
      <c r="S1086" s="80"/>
    </row>
    <row r="1087" ht="40.5" customHeight="1">
      <c r="A1087" s="90" t="s">
        <v>485</v>
      </c>
      <c r="B1087" s="96" t="s">
        <v>486</v>
      </c>
      <c r="C1087" s="96" t="s">
        <v>497</v>
      </c>
      <c r="D1087" s="96" t="s">
        <v>499</v>
      </c>
      <c r="E1087" s="96">
        <v>2053519.0</v>
      </c>
      <c r="F1087" s="96" t="s">
        <v>1080</v>
      </c>
      <c r="G1087" s="96" t="s">
        <v>499</v>
      </c>
      <c r="H1087" s="90" t="s">
        <v>965</v>
      </c>
      <c r="I1087" s="80"/>
      <c r="J1087" s="80"/>
      <c r="K1087" s="80"/>
      <c r="L1087" s="80"/>
      <c r="M1087" s="80"/>
      <c r="N1087" s="80"/>
      <c r="O1087" s="80"/>
      <c r="P1087" s="80"/>
      <c r="Q1087" s="80"/>
      <c r="R1087" s="80"/>
      <c r="S1087" s="80"/>
    </row>
    <row r="1088" ht="40.5" customHeight="1">
      <c r="A1088" s="90" t="s">
        <v>485</v>
      </c>
      <c r="B1088" s="96" t="s">
        <v>486</v>
      </c>
      <c r="C1088" s="96" t="s">
        <v>497</v>
      </c>
      <c r="D1088" s="96" t="s">
        <v>500</v>
      </c>
      <c r="E1088" s="96">
        <v>2082381.0</v>
      </c>
      <c r="F1088" s="96" t="s">
        <v>1079</v>
      </c>
      <c r="G1088" s="96" t="s">
        <v>498</v>
      </c>
      <c r="H1088" s="90" t="s">
        <v>965</v>
      </c>
      <c r="I1088" s="80"/>
      <c r="J1088" s="80"/>
      <c r="K1088" s="80"/>
      <c r="L1088" s="80"/>
      <c r="M1088" s="80"/>
      <c r="N1088" s="80"/>
      <c r="O1088" s="80"/>
      <c r="P1088" s="80"/>
      <c r="Q1088" s="80"/>
      <c r="R1088" s="80"/>
      <c r="S1088" s="80"/>
    </row>
    <row r="1089" ht="40.5" customHeight="1">
      <c r="A1089" s="90" t="s">
        <v>485</v>
      </c>
      <c r="B1089" s="96" t="s">
        <v>486</v>
      </c>
      <c r="C1089" s="96" t="s">
        <v>497</v>
      </c>
      <c r="D1089" s="96" t="s">
        <v>501</v>
      </c>
      <c r="E1089" s="96">
        <v>2082381.0</v>
      </c>
      <c r="F1089" s="96" t="s">
        <v>1079</v>
      </c>
      <c r="G1089" s="96" t="s">
        <v>498</v>
      </c>
      <c r="H1089" s="90" t="s">
        <v>965</v>
      </c>
      <c r="I1089" s="80"/>
      <c r="J1089" s="80"/>
      <c r="K1089" s="80"/>
      <c r="L1089" s="80"/>
      <c r="M1089" s="80"/>
      <c r="N1089" s="80"/>
      <c r="O1089" s="80"/>
      <c r="P1089" s="80"/>
      <c r="Q1089" s="80"/>
      <c r="R1089" s="80"/>
      <c r="S1089" s="80"/>
    </row>
    <row r="1090" ht="40.5" customHeight="1">
      <c r="A1090" s="90" t="s">
        <v>485</v>
      </c>
      <c r="B1090" s="96" t="s">
        <v>486</v>
      </c>
      <c r="C1090" s="96" t="s">
        <v>497</v>
      </c>
      <c r="D1090" s="96" t="s">
        <v>502</v>
      </c>
      <c r="E1090" s="96">
        <v>2082381.0</v>
      </c>
      <c r="F1090" s="96" t="s">
        <v>1079</v>
      </c>
      <c r="G1090" s="96" t="s">
        <v>498</v>
      </c>
      <c r="H1090" s="90" t="s">
        <v>965</v>
      </c>
      <c r="I1090" s="80"/>
      <c r="J1090" s="80"/>
      <c r="K1090" s="80"/>
      <c r="L1090" s="80"/>
      <c r="M1090" s="80"/>
      <c r="N1090" s="80"/>
      <c r="O1090" s="80"/>
      <c r="P1090" s="80"/>
      <c r="Q1090" s="80"/>
      <c r="R1090" s="80"/>
      <c r="S1090" s="80"/>
    </row>
    <row r="1091" ht="40.5" customHeight="1">
      <c r="A1091" s="90" t="s">
        <v>485</v>
      </c>
      <c r="B1091" s="96" t="s">
        <v>486</v>
      </c>
      <c r="C1091" s="96" t="s">
        <v>497</v>
      </c>
      <c r="D1091" s="96" t="s">
        <v>503</v>
      </c>
      <c r="E1091" s="96">
        <v>2082381.0</v>
      </c>
      <c r="F1091" s="96" t="s">
        <v>1079</v>
      </c>
      <c r="G1091" s="96" t="s">
        <v>498</v>
      </c>
      <c r="H1091" s="90" t="s">
        <v>965</v>
      </c>
      <c r="I1091" s="80"/>
      <c r="J1091" s="80"/>
      <c r="K1091" s="80"/>
      <c r="L1091" s="80"/>
      <c r="M1091" s="80"/>
      <c r="N1091" s="80"/>
      <c r="O1091" s="80"/>
      <c r="P1091" s="80"/>
      <c r="Q1091" s="80"/>
      <c r="R1091" s="80"/>
      <c r="S1091" s="80"/>
    </row>
    <row r="1092" ht="40.5" customHeight="1">
      <c r="A1092" s="90" t="s">
        <v>485</v>
      </c>
      <c r="B1092" s="96" t="s">
        <v>486</v>
      </c>
      <c r="C1092" s="96" t="s">
        <v>497</v>
      </c>
      <c r="D1092" s="96" t="s">
        <v>504</v>
      </c>
      <c r="E1092" s="96">
        <v>2082381.0</v>
      </c>
      <c r="F1092" s="96" t="s">
        <v>1079</v>
      </c>
      <c r="G1092" s="96" t="s">
        <v>498</v>
      </c>
      <c r="H1092" s="90" t="s">
        <v>965</v>
      </c>
      <c r="I1092" s="80"/>
      <c r="J1092" s="80"/>
      <c r="K1092" s="80"/>
      <c r="L1092" s="80"/>
      <c r="M1092" s="80"/>
      <c r="N1092" s="80"/>
      <c r="O1092" s="80"/>
      <c r="P1092" s="80"/>
      <c r="Q1092" s="80"/>
      <c r="R1092" s="80"/>
      <c r="S1092" s="80"/>
    </row>
    <row r="1093" ht="40.5" customHeight="1">
      <c r="A1093" s="90" t="s">
        <v>485</v>
      </c>
      <c r="B1093" s="96" t="s">
        <v>486</v>
      </c>
      <c r="C1093" s="96" t="s">
        <v>497</v>
      </c>
      <c r="D1093" s="96" t="s">
        <v>505</v>
      </c>
      <c r="E1093" s="96">
        <v>2082381.0</v>
      </c>
      <c r="F1093" s="96" t="s">
        <v>1079</v>
      </c>
      <c r="G1093" s="96" t="s">
        <v>498</v>
      </c>
      <c r="H1093" s="90" t="s">
        <v>965</v>
      </c>
      <c r="I1093" s="80"/>
      <c r="J1093" s="80"/>
      <c r="K1093" s="80"/>
      <c r="L1093" s="80"/>
      <c r="M1093" s="80"/>
      <c r="N1093" s="80"/>
      <c r="O1093" s="80"/>
      <c r="P1093" s="80"/>
      <c r="Q1093" s="80"/>
      <c r="R1093" s="80"/>
      <c r="S1093" s="80"/>
    </row>
    <row r="1094" ht="40.5" customHeight="1">
      <c r="A1094" s="90" t="s">
        <v>485</v>
      </c>
      <c r="B1094" s="96" t="s">
        <v>506</v>
      </c>
      <c r="C1094" s="96" t="s">
        <v>507</v>
      </c>
      <c r="D1094" s="96" t="s">
        <v>508</v>
      </c>
      <c r="E1094" s="96">
        <v>2080451.0</v>
      </c>
      <c r="F1094" s="96" t="s">
        <v>1081</v>
      </c>
      <c r="G1094" s="96" t="s">
        <v>508</v>
      </c>
      <c r="H1094" s="90" t="s">
        <v>965</v>
      </c>
      <c r="I1094" s="80"/>
      <c r="J1094" s="80"/>
      <c r="K1094" s="80"/>
      <c r="L1094" s="80"/>
      <c r="M1094" s="80"/>
      <c r="N1094" s="80"/>
      <c r="O1094" s="80"/>
      <c r="P1094" s="80"/>
      <c r="Q1094" s="80"/>
      <c r="R1094" s="80"/>
      <c r="S1094" s="80"/>
    </row>
    <row r="1095" ht="40.5" customHeight="1">
      <c r="A1095" s="90" t="s">
        <v>485</v>
      </c>
      <c r="B1095" s="96" t="s">
        <v>506</v>
      </c>
      <c r="C1095" s="96" t="s">
        <v>507</v>
      </c>
      <c r="D1095" s="96" t="s">
        <v>509</v>
      </c>
      <c r="E1095" s="96">
        <v>2745801.0</v>
      </c>
      <c r="F1095" s="96" t="s">
        <v>1082</v>
      </c>
      <c r="G1095" s="96" t="s">
        <v>1083</v>
      </c>
      <c r="H1095" s="90" t="s">
        <v>965</v>
      </c>
      <c r="I1095" s="80"/>
      <c r="J1095" s="80"/>
      <c r="K1095" s="80"/>
      <c r="L1095" s="80"/>
      <c r="M1095" s="80"/>
      <c r="N1095" s="80"/>
      <c r="O1095" s="80"/>
      <c r="P1095" s="80"/>
      <c r="Q1095" s="80"/>
      <c r="R1095" s="80"/>
      <c r="S1095" s="80"/>
    </row>
    <row r="1096" ht="40.5" customHeight="1">
      <c r="A1096" s="90" t="s">
        <v>485</v>
      </c>
      <c r="B1096" s="96" t="s">
        <v>506</v>
      </c>
      <c r="C1096" s="96" t="s">
        <v>507</v>
      </c>
      <c r="D1096" s="96" t="s">
        <v>510</v>
      </c>
      <c r="E1096" s="96">
        <v>2745798.0</v>
      </c>
      <c r="F1096" s="96" t="s">
        <v>1084</v>
      </c>
      <c r="G1096" s="96" t="s">
        <v>1085</v>
      </c>
      <c r="H1096" s="90" t="s">
        <v>965</v>
      </c>
      <c r="I1096" s="80"/>
      <c r="J1096" s="80"/>
      <c r="K1096" s="80"/>
      <c r="L1096" s="80"/>
      <c r="M1096" s="80"/>
      <c r="N1096" s="80"/>
      <c r="O1096" s="80"/>
      <c r="P1096" s="80"/>
      <c r="Q1096" s="80"/>
      <c r="R1096" s="80"/>
      <c r="S1096" s="80"/>
    </row>
    <row r="1097" ht="40.5" customHeight="1">
      <c r="A1097" s="90" t="s">
        <v>485</v>
      </c>
      <c r="B1097" s="96" t="s">
        <v>506</v>
      </c>
      <c r="C1097" s="96" t="s">
        <v>507</v>
      </c>
      <c r="D1097" s="96" t="s">
        <v>511</v>
      </c>
      <c r="E1097" s="96">
        <v>2745798.0</v>
      </c>
      <c r="F1097" s="96" t="s">
        <v>1084</v>
      </c>
      <c r="G1097" s="96" t="s">
        <v>1085</v>
      </c>
      <c r="H1097" s="90" t="s">
        <v>965</v>
      </c>
      <c r="I1097" s="80"/>
      <c r="J1097" s="80"/>
      <c r="K1097" s="80"/>
      <c r="L1097" s="80"/>
      <c r="M1097" s="80"/>
      <c r="N1097" s="80"/>
      <c r="O1097" s="80"/>
      <c r="P1097" s="80"/>
      <c r="Q1097" s="80"/>
      <c r="R1097" s="80"/>
      <c r="S1097" s="80"/>
    </row>
    <row r="1098" ht="40.5" customHeight="1">
      <c r="A1098" s="90" t="s">
        <v>485</v>
      </c>
      <c r="B1098" s="96" t="s">
        <v>506</v>
      </c>
      <c r="C1098" s="96" t="s">
        <v>507</v>
      </c>
      <c r="D1098" s="96" t="s">
        <v>512</v>
      </c>
      <c r="E1098" s="96">
        <v>2078112.0</v>
      </c>
      <c r="F1098" s="96" t="s">
        <v>1086</v>
      </c>
      <c r="G1098" s="96" t="s">
        <v>1087</v>
      </c>
      <c r="H1098" s="90" t="s">
        <v>965</v>
      </c>
      <c r="I1098" s="80"/>
      <c r="J1098" s="80"/>
      <c r="K1098" s="80"/>
      <c r="L1098" s="80"/>
      <c r="M1098" s="80"/>
      <c r="N1098" s="80"/>
      <c r="O1098" s="80"/>
      <c r="P1098" s="80"/>
      <c r="Q1098" s="80"/>
      <c r="R1098" s="80"/>
      <c r="S1098" s="80"/>
    </row>
    <row r="1099" ht="40.5" customHeight="1">
      <c r="A1099" s="90" t="s">
        <v>485</v>
      </c>
      <c r="B1099" s="96" t="s">
        <v>506</v>
      </c>
      <c r="C1099" s="96" t="s">
        <v>507</v>
      </c>
      <c r="D1099" s="96" t="s">
        <v>513</v>
      </c>
      <c r="E1099" s="96">
        <v>2080044.0</v>
      </c>
      <c r="F1099" s="96" t="s">
        <v>1088</v>
      </c>
      <c r="G1099" s="96" t="s">
        <v>1089</v>
      </c>
      <c r="H1099" s="90" t="s">
        <v>965</v>
      </c>
      <c r="I1099" s="80"/>
      <c r="J1099" s="80"/>
      <c r="K1099" s="80"/>
      <c r="L1099" s="80"/>
      <c r="M1099" s="80"/>
      <c r="N1099" s="80"/>
      <c r="O1099" s="80"/>
      <c r="P1099" s="80"/>
      <c r="Q1099" s="80"/>
      <c r="R1099" s="80"/>
      <c r="S1099" s="80"/>
    </row>
    <row r="1100" ht="40.5" customHeight="1">
      <c r="A1100" s="90" t="s">
        <v>485</v>
      </c>
      <c r="B1100" s="96" t="s">
        <v>506</v>
      </c>
      <c r="C1100" s="96" t="s">
        <v>514</v>
      </c>
      <c r="D1100" s="96" t="s">
        <v>515</v>
      </c>
      <c r="E1100" s="96">
        <v>2751704.0</v>
      </c>
      <c r="F1100" s="96" t="s">
        <v>1090</v>
      </c>
      <c r="G1100" s="96" t="s">
        <v>1091</v>
      </c>
      <c r="H1100" s="90" t="s">
        <v>965</v>
      </c>
      <c r="I1100" s="80"/>
      <c r="J1100" s="80"/>
      <c r="K1100" s="80"/>
      <c r="L1100" s="80"/>
      <c r="M1100" s="80"/>
      <c r="N1100" s="80"/>
      <c r="O1100" s="80"/>
      <c r="P1100" s="80"/>
      <c r="Q1100" s="80"/>
      <c r="R1100" s="80"/>
      <c r="S1100" s="80"/>
    </row>
    <row r="1101" ht="40.5" customHeight="1">
      <c r="A1101" s="90" t="s">
        <v>485</v>
      </c>
      <c r="B1101" s="96" t="s">
        <v>506</v>
      </c>
      <c r="C1101" s="96" t="s">
        <v>514</v>
      </c>
      <c r="D1101" s="96" t="s">
        <v>516</v>
      </c>
      <c r="E1101" s="96">
        <v>2751704.0</v>
      </c>
      <c r="F1101" s="96" t="s">
        <v>1090</v>
      </c>
      <c r="G1101" s="96" t="s">
        <v>1091</v>
      </c>
      <c r="H1101" s="90" t="s">
        <v>965</v>
      </c>
      <c r="I1101" s="80"/>
      <c r="J1101" s="80"/>
      <c r="K1101" s="80"/>
      <c r="L1101" s="80"/>
      <c r="M1101" s="80"/>
      <c r="N1101" s="80"/>
      <c r="O1101" s="80"/>
      <c r="P1101" s="80"/>
      <c r="Q1101" s="80"/>
      <c r="R1101" s="80"/>
      <c r="S1101" s="80"/>
    </row>
    <row r="1102" ht="40.5" customHeight="1">
      <c r="A1102" s="90" t="s">
        <v>485</v>
      </c>
      <c r="B1102" s="96" t="s">
        <v>506</v>
      </c>
      <c r="C1102" s="96" t="s">
        <v>514</v>
      </c>
      <c r="D1102" s="96" t="s">
        <v>517</v>
      </c>
      <c r="E1102" s="96">
        <v>2083973.0</v>
      </c>
      <c r="F1102" s="96" t="s">
        <v>1092</v>
      </c>
      <c r="G1102" s="96" t="s">
        <v>1093</v>
      </c>
      <c r="H1102" s="90" t="s">
        <v>965</v>
      </c>
      <c r="I1102" s="80"/>
      <c r="J1102" s="80"/>
      <c r="K1102" s="80"/>
      <c r="L1102" s="80"/>
      <c r="M1102" s="80"/>
      <c r="N1102" s="80"/>
      <c r="O1102" s="80"/>
      <c r="P1102" s="80"/>
      <c r="Q1102" s="80"/>
      <c r="R1102" s="80"/>
      <c r="S1102" s="80"/>
    </row>
    <row r="1103" ht="40.5" customHeight="1">
      <c r="A1103" s="90" t="s">
        <v>485</v>
      </c>
      <c r="B1103" s="96" t="s">
        <v>506</v>
      </c>
      <c r="C1103" s="96" t="s">
        <v>514</v>
      </c>
      <c r="D1103" s="96" t="s">
        <v>518</v>
      </c>
      <c r="E1103" s="96">
        <v>2079348.0</v>
      </c>
      <c r="F1103" s="96" t="s">
        <v>1094</v>
      </c>
      <c r="G1103" s="96" t="s">
        <v>518</v>
      </c>
      <c r="H1103" s="90" t="s">
        <v>965</v>
      </c>
      <c r="I1103" s="80"/>
      <c r="J1103" s="80"/>
      <c r="K1103" s="80"/>
      <c r="L1103" s="80"/>
      <c r="M1103" s="80"/>
      <c r="N1103" s="80"/>
      <c r="O1103" s="80"/>
      <c r="P1103" s="80"/>
      <c r="Q1103" s="80"/>
      <c r="R1103" s="80"/>
      <c r="S1103" s="80"/>
    </row>
    <row r="1104" ht="40.5" customHeight="1">
      <c r="A1104" s="90" t="s">
        <v>485</v>
      </c>
      <c r="B1104" s="96" t="s">
        <v>506</v>
      </c>
      <c r="C1104" s="96" t="s">
        <v>514</v>
      </c>
      <c r="D1104" s="96" t="s">
        <v>519</v>
      </c>
      <c r="E1104" s="96">
        <v>2751704.0</v>
      </c>
      <c r="F1104" s="96" t="s">
        <v>1090</v>
      </c>
      <c r="G1104" s="96" t="s">
        <v>1091</v>
      </c>
      <c r="H1104" s="90" t="s">
        <v>965</v>
      </c>
      <c r="I1104" s="80"/>
      <c r="J1104" s="80"/>
      <c r="K1104" s="80"/>
      <c r="L1104" s="80"/>
      <c r="M1104" s="80"/>
      <c r="N1104" s="80"/>
      <c r="O1104" s="80"/>
      <c r="P1104" s="80"/>
      <c r="Q1104" s="80"/>
      <c r="R1104" s="80"/>
      <c r="S1104" s="80"/>
    </row>
    <row r="1105" ht="40.5" customHeight="1">
      <c r="A1105" s="90" t="s">
        <v>485</v>
      </c>
      <c r="B1105" s="96" t="s">
        <v>506</v>
      </c>
      <c r="C1105" s="96" t="s">
        <v>514</v>
      </c>
      <c r="D1105" s="96" t="s">
        <v>520</v>
      </c>
      <c r="E1105" s="96">
        <v>2088525.0</v>
      </c>
      <c r="F1105" s="96" t="s">
        <v>1095</v>
      </c>
      <c r="G1105" s="96" t="s">
        <v>1096</v>
      </c>
      <c r="H1105" s="90" t="s">
        <v>965</v>
      </c>
      <c r="I1105" s="80"/>
      <c r="J1105" s="80"/>
      <c r="K1105" s="80"/>
      <c r="L1105" s="80"/>
      <c r="M1105" s="80"/>
      <c r="N1105" s="80"/>
      <c r="O1105" s="80"/>
      <c r="P1105" s="80"/>
      <c r="Q1105" s="80"/>
      <c r="R1105" s="80"/>
      <c r="S1105" s="80"/>
    </row>
    <row r="1106" ht="40.5" customHeight="1">
      <c r="A1106" s="90" t="s">
        <v>485</v>
      </c>
      <c r="B1106" s="96" t="s">
        <v>506</v>
      </c>
      <c r="C1106" s="96" t="s">
        <v>521</v>
      </c>
      <c r="D1106" s="96" t="s">
        <v>522</v>
      </c>
      <c r="E1106" s="96">
        <v>2705982.0</v>
      </c>
      <c r="F1106" s="96" t="s">
        <v>1097</v>
      </c>
      <c r="G1106" s="96" t="s">
        <v>506</v>
      </c>
      <c r="H1106" s="90" t="s">
        <v>965</v>
      </c>
      <c r="I1106" s="80"/>
      <c r="J1106" s="80"/>
      <c r="K1106" s="80"/>
      <c r="L1106" s="80"/>
      <c r="M1106" s="80"/>
      <c r="N1106" s="80"/>
      <c r="O1106" s="80"/>
      <c r="P1106" s="80"/>
      <c r="Q1106" s="80"/>
      <c r="R1106" s="80"/>
      <c r="S1106" s="80"/>
    </row>
    <row r="1107" ht="40.5" customHeight="1">
      <c r="A1107" s="90" t="s">
        <v>485</v>
      </c>
      <c r="B1107" s="96" t="s">
        <v>506</v>
      </c>
      <c r="C1107" s="96" t="s">
        <v>521</v>
      </c>
      <c r="D1107" s="96" t="s">
        <v>506</v>
      </c>
      <c r="E1107" s="96">
        <v>2705982.0</v>
      </c>
      <c r="F1107" s="96" t="s">
        <v>1097</v>
      </c>
      <c r="G1107" s="96" t="s">
        <v>506</v>
      </c>
      <c r="H1107" s="90" t="s">
        <v>965</v>
      </c>
      <c r="I1107" s="80"/>
      <c r="J1107" s="80"/>
      <c r="K1107" s="80"/>
      <c r="L1107" s="80"/>
      <c r="M1107" s="80"/>
      <c r="N1107" s="80"/>
      <c r="O1107" s="80"/>
      <c r="P1107" s="80"/>
      <c r="Q1107" s="80"/>
      <c r="R1107" s="80"/>
      <c r="S1107" s="80"/>
    </row>
    <row r="1108" ht="40.5" customHeight="1">
      <c r="A1108" s="90" t="s">
        <v>485</v>
      </c>
      <c r="B1108" s="96" t="s">
        <v>506</v>
      </c>
      <c r="C1108" s="96" t="s">
        <v>521</v>
      </c>
      <c r="D1108" s="96" t="s">
        <v>523</v>
      </c>
      <c r="E1108" s="96">
        <v>2078449.0</v>
      </c>
      <c r="F1108" s="96" t="s">
        <v>1098</v>
      </c>
      <c r="G1108" s="96" t="s">
        <v>1099</v>
      </c>
      <c r="H1108" s="90" t="s">
        <v>965</v>
      </c>
      <c r="I1108" s="80"/>
      <c r="J1108" s="80"/>
      <c r="K1108" s="80"/>
      <c r="L1108" s="80"/>
      <c r="M1108" s="80"/>
      <c r="N1108" s="80"/>
      <c r="O1108" s="80"/>
      <c r="P1108" s="80"/>
      <c r="Q1108" s="80"/>
      <c r="R1108" s="80"/>
      <c r="S1108" s="80"/>
    </row>
    <row r="1109" ht="40.5" customHeight="1">
      <c r="A1109" s="90" t="s">
        <v>485</v>
      </c>
      <c r="B1109" s="96" t="s">
        <v>506</v>
      </c>
      <c r="C1109" s="96" t="s">
        <v>521</v>
      </c>
      <c r="D1109" s="96" t="s">
        <v>524</v>
      </c>
      <c r="E1109" s="96">
        <v>2080478.0</v>
      </c>
      <c r="F1109" s="96" t="s">
        <v>1100</v>
      </c>
      <c r="G1109" s="96" t="s">
        <v>526</v>
      </c>
      <c r="H1109" s="90" t="s">
        <v>965</v>
      </c>
      <c r="I1109" s="80"/>
      <c r="J1109" s="80"/>
      <c r="K1109" s="80"/>
      <c r="L1109" s="80"/>
      <c r="M1109" s="80"/>
      <c r="N1109" s="80"/>
      <c r="O1109" s="80"/>
      <c r="P1109" s="80"/>
      <c r="Q1109" s="80"/>
      <c r="R1109" s="80"/>
      <c r="S1109" s="80"/>
    </row>
    <row r="1110" ht="40.5" customHeight="1">
      <c r="A1110" s="90" t="s">
        <v>485</v>
      </c>
      <c r="B1110" s="96" t="s">
        <v>506</v>
      </c>
      <c r="C1110" s="96" t="s">
        <v>521</v>
      </c>
      <c r="D1110" s="96" t="s">
        <v>525</v>
      </c>
      <c r="E1110" s="96">
        <v>2078449.0</v>
      </c>
      <c r="F1110" s="96" t="s">
        <v>1101</v>
      </c>
      <c r="G1110" s="96" t="s">
        <v>525</v>
      </c>
      <c r="H1110" s="90" t="s">
        <v>965</v>
      </c>
      <c r="I1110" s="80"/>
      <c r="J1110" s="80"/>
      <c r="K1110" s="80"/>
      <c r="L1110" s="80"/>
      <c r="M1110" s="80"/>
      <c r="N1110" s="80"/>
      <c r="O1110" s="80"/>
      <c r="P1110" s="80"/>
      <c r="Q1110" s="80"/>
      <c r="R1110" s="80"/>
      <c r="S1110" s="80"/>
    </row>
    <row r="1111" ht="40.5" customHeight="1">
      <c r="A1111" s="90" t="s">
        <v>485</v>
      </c>
      <c r="B1111" s="96" t="s">
        <v>506</v>
      </c>
      <c r="C1111" s="96" t="s">
        <v>521</v>
      </c>
      <c r="D1111" s="96" t="s">
        <v>526</v>
      </c>
      <c r="E1111" s="96">
        <v>2080478.0</v>
      </c>
      <c r="F1111" s="96" t="s">
        <v>1100</v>
      </c>
      <c r="G1111" s="96" t="s">
        <v>526</v>
      </c>
      <c r="H1111" s="90" t="s">
        <v>965</v>
      </c>
      <c r="I1111" s="80"/>
      <c r="J1111" s="80"/>
      <c r="K1111" s="80"/>
      <c r="L1111" s="80"/>
      <c r="M1111" s="80"/>
      <c r="N1111" s="80"/>
      <c r="O1111" s="80"/>
      <c r="P1111" s="80"/>
      <c r="Q1111" s="80"/>
      <c r="R1111" s="80"/>
      <c r="S1111" s="80"/>
    </row>
    <row r="1112" ht="40.5" customHeight="1">
      <c r="A1112" s="90" t="s">
        <v>485</v>
      </c>
      <c r="B1112" s="96" t="s">
        <v>506</v>
      </c>
      <c r="C1112" s="96" t="s">
        <v>521</v>
      </c>
      <c r="D1112" s="96" t="s">
        <v>527</v>
      </c>
      <c r="E1112" s="96">
        <v>2705982.0</v>
      </c>
      <c r="F1112" s="96" t="s">
        <v>1097</v>
      </c>
      <c r="G1112" s="96" t="s">
        <v>506</v>
      </c>
      <c r="H1112" s="90" t="s">
        <v>965</v>
      </c>
      <c r="I1112" s="80"/>
      <c r="J1112" s="80"/>
      <c r="K1112" s="80"/>
      <c r="L1112" s="80"/>
      <c r="M1112" s="80"/>
      <c r="N1112" s="80"/>
      <c r="O1112" s="80"/>
      <c r="P1112" s="80"/>
      <c r="Q1112" s="80"/>
      <c r="R1112" s="80"/>
      <c r="S1112" s="80"/>
    </row>
    <row r="1113" ht="40.5" customHeight="1">
      <c r="A1113" s="90" t="s">
        <v>485</v>
      </c>
      <c r="B1113" s="96" t="s">
        <v>506</v>
      </c>
      <c r="C1113" s="96" t="s">
        <v>521</v>
      </c>
      <c r="D1113" s="96" t="s">
        <v>528</v>
      </c>
      <c r="E1113" s="96">
        <v>2705982.0</v>
      </c>
      <c r="F1113" s="96" t="s">
        <v>1097</v>
      </c>
      <c r="G1113" s="96" t="s">
        <v>506</v>
      </c>
      <c r="H1113" s="90" t="s">
        <v>965</v>
      </c>
      <c r="I1113" s="80"/>
      <c r="J1113" s="80"/>
      <c r="K1113" s="80"/>
      <c r="L1113" s="80"/>
      <c r="M1113" s="80"/>
      <c r="N1113" s="80"/>
      <c r="O1113" s="80"/>
      <c r="P1113" s="80"/>
      <c r="Q1113" s="80"/>
      <c r="R1113" s="80"/>
      <c r="S1113" s="80"/>
    </row>
    <row r="1114" ht="40.5" customHeight="1">
      <c r="A1114" s="90" t="s">
        <v>485</v>
      </c>
      <c r="B1114" s="96" t="s">
        <v>506</v>
      </c>
      <c r="C1114" s="96" t="s">
        <v>521</v>
      </c>
      <c r="D1114" s="96" t="s">
        <v>529</v>
      </c>
      <c r="E1114" s="96">
        <v>2080478.0</v>
      </c>
      <c r="F1114" s="96" t="s">
        <v>1100</v>
      </c>
      <c r="G1114" s="96" t="s">
        <v>526</v>
      </c>
      <c r="H1114" s="90" t="s">
        <v>965</v>
      </c>
      <c r="I1114" s="80"/>
      <c r="J1114" s="80"/>
      <c r="K1114" s="80"/>
      <c r="L1114" s="80"/>
      <c r="M1114" s="80"/>
      <c r="N1114" s="80"/>
      <c r="O1114" s="80"/>
      <c r="P1114" s="80"/>
      <c r="Q1114" s="80"/>
      <c r="R1114" s="80"/>
      <c r="S1114" s="80"/>
    </row>
    <row r="1115" ht="40.5" customHeight="1">
      <c r="A1115" s="90" t="s">
        <v>485</v>
      </c>
      <c r="B1115" s="96" t="s">
        <v>506</v>
      </c>
      <c r="C1115" s="96" t="s">
        <v>521</v>
      </c>
      <c r="D1115" s="96" t="s">
        <v>530</v>
      </c>
      <c r="E1115" s="96">
        <v>2705982.0</v>
      </c>
      <c r="F1115" s="96" t="s">
        <v>1097</v>
      </c>
      <c r="G1115" s="96" t="s">
        <v>506</v>
      </c>
      <c r="H1115" s="90" t="s">
        <v>965</v>
      </c>
      <c r="I1115" s="80"/>
      <c r="J1115" s="80"/>
      <c r="K1115" s="80"/>
      <c r="L1115" s="80"/>
      <c r="M1115" s="80"/>
      <c r="N1115" s="80"/>
      <c r="O1115" s="80"/>
      <c r="P1115" s="80"/>
      <c r="Q1115" s="80"/>
      <c r="R1115" s="80"/>
      <c r="S1115" s="80"/>
    </row>
    <row r="1116" ht="40.5" customHeight="1">
      <c r="A1116" s="90" t="s">
        <v>485</v>
      </c>
      <c r="B1116" s="96" t="s">
        <v>531</v>
      </c>
      <c r="C1116" s="96" t="s">
        <v>532</v>
      </c>
      <c r="D1116" s="96" t="s">
        <v>533</v>
      </c>
      <c r="E1116" s="96">
        <v>2079119.0</v>
      </c>
      <c r="F1116" s="96" t="s">
        <v>1102</v>
      </c>
      <c r="G1116" s="96" t="s">
        <v>531</v>
      </c>
      <c r="H1116" s="90" t="s">
        <v>965</v>
      </c>
      <c r="I1116" s="80"/>
      <c r="J1116" s="80"/>
      <c r="K1116" s="80"/>
      <c r="L1116" s="80"/>
      <c r="M1116" s="80"/>
      <c r="N1116" s="80"/>
      <c r="O1116" s="80"/>
      <c r="P1116" s="80"/>
      <c r="Q1116" s="80"/>
      <c r="R1116" s="80"/>
      <c r="S1116" s="80"/>
    </row>
    <row r="1117" ht="40.5" customHeight="1">
      <c r="A1117" s="90" t="s">
        <v>485</v>
      </c>
      <c r="B1117" s="96" t="s">
        <v>531</v>
      </c>
      <c r="C1117" s="96" t="s">
        <v>532</v>
      </c>
      <c r="D1117" s="96" t="s">
        <v>534</v>
      </c>
      <c r="E1117" s="96">
        <v>2079119.0</v>
      </c>
      <c r="F1117" s="96" t="s">
        <v>1102</v>
      </c>
      <c r="G1117" s="96" t="s">
        <v>531</v>
      </c>
      <c r="H1117" s="90" t="s">
        <v>965</v>
      </c>
      <c r="I1117" s="80"/>
      <c r="J1117" s="80"/>
      <c r="K1117" s="80"/>
      <c r="L1117" s="80"/>
      <c r="M1117" s="80"/>
      <c r="N1117" s="80"/>
      <c r="O1117" s="80"/>
      <c r="P1117" s="80"/>
      <c r="Q1117" s="80"/>
      <c r="R1117" s="80"/>
      <c r="S1117" s="80"/>
    </row>
    <row r="1118" ht="40.5" customHeight="1">
      <c r="A1118" s="90" t="s">
        <v>485</v>
      </c>
      <c r="B1118" s="96" t="s">
        <v>531</v>
      </c>
      <c r="C1118" s="96" t="s">
        <v>532</v>
      </c>
      <c r="D1118" s="96" t="s">
        <v>535</v>
      </c>
      <c r="E1118" s="96">
        <v>2079119.0</v>
      </c>
      <c r="F1118" s="96" t="s">
        <v>1102</v>
      </c>
      <c r="G1118" s="96" t="s">
        <v>531</v>
      </c>
      <c r="H1118" s="90" t="s">
        <v>965</v>
      </c>
      <c r="I1118" s="80"/>
      <c r="J1118" s="80"/>
      <c r="K1118" s="80"/>
      <c r="L1118" s="80"/>
      <c r="M1118" s="80"/>
      <c r="N1118" s="80"/>
      <c r="O1118" s="80"/>
      <c r="P1118" s="80"/>
      <c r="Q1118" s="80"/>
      <c r="R1118" s="80"/>
      <c r="S1118" s="80"/>
    </row>
    <row r="1119" ht="40.5" customHeight="1">
      <c r="A1119" s="90" t="s">
        <v>485</v>
      </c>
      <c r="B1119" s="96" t="s">
        <v>531</v>
      </c>
      <c r="C1119" s="96" t="s">
        <v>532</v>
      </c>
      <c r="D1119" s="96" t="s">
        <v>536</v>
      </c>
      <c r="E1119" s="96">
        <v>2079119.0</v>
      </c>
      <c r="F1119" s="96" t="s">
        <v>1102</v>
      </c>
      <c r="G1119" s="96" t="s">
        <v>531</v>
      </c>
      <c r="H1119" s="90" t="s">
        <v>965</v>
      </c>
      <c r="I1119" s="80"/>
      <c r="J1119" s="80"/>
      <c r="K1119" s="80"/>
      <c r="L1119" s="80"/>
      <c r="M1119" s="80"/>
      <c r="N1119" s="80"/>
      <c r="O1119" s="80"/>
      <c r="P1119" s="80"/>
      <c r="Q1119" s="80"/>
      <c r="R1119" s="80"/>
      <c r="S1119" s="80"/>
    </row>
    <row r="1120" ht="40.5" customHeight="1">
      <c r="A1120" s="90" t="s">
        <v>485</v>
      </c>
      <c r="B1120" s="96" t="s">
        <v>531</v>
      </c>
      <c r="C1120" s="96" t="s">
        <v>532</v>
      </c>
      <c r="D1120" s="96" t="s">
        <v>531</v>
      </c>
      <c r="E1120" s="96">
        <v>2079119.0</v>
      </c>
      <c r="F1120" s="96" t="s">
        <v>1102</v>
      </c>
      <c r="G1120" s="96" t="s">
        <v>531</v>
      </c>
      <c r="H1120" s="90" t="s">
        <v>965</v>
      </c>
      <c r="I1120" s="80"/>
      <c r="J1120" s="80"/>
      <c r="K1120" s="80"/>
      <c r="L1120" s="80"/>
      <c r="M1120" s="80"/>
      <c r="N1120" s="80"/>
      <c r="O1120" s="80"/>
      <c r="P1120" s="80"/>
      <c r="Q1120" s="80"/>
      <c r="R1120" s="80"/>
      <c r="S1120" s="80"/>
    </row>
    <row r="1121" ht="40.5" customHeight="1">
      <c r="A1121" s="90" t="s">
        <v>485</v>
      </c>
      <c r="B1121" s="96" t="s">
        <v>531</v>
      </c>
      <c r="C1121" s="96" t="s">
        <v>532</v>
      </c>
      <c r="D1121" s="96" t="s">
        <v>531</v>
      </c>
      <c r="E1121" s="96">
        <v>3314766.0</v>
      </c>
      <c r="F1121" s="96" t="s">
        <v>1103</v>
      </c>
      <c r="G1121" s="96" t="s">
        <v>531</v>
      </c>
      <c r="H1121" s="90" t="s">
        <v>965</v>
      </c>
      <c r="I1121" s="80"/>
      <c r="J1121" s="80"/>
      <c r="K1121" s="80"/>
      <c r="L1121" s="80"/>
      <c r="M1121" s="80"/>
      <c r="N1121" s="80"/>
      <c r="O1121" s="80"/>
      <c r="P1121" s="80"/>
      <c r="Q1121" s="80"/>
      <c r="R1121" s="80"/>
      <c r="S1121" s="80"/>
    </row>
    <row r="1122" ht="40.5" customHeight="1">
      <c r="A1122" s="90" t="s">
        <v>485</v>
      </c>
      <c r="B1122" s="96" t="s">
        <v>531</v>
      </c>
      <c r="C1122" s="96" t="s">
        <v>532</v>
      </c>
      <c r="D1122" s="96" t="s">
        <v>537</v>
      </c>
      <c r="E1122" s="96">
        <v>2091267.0</v>
      </c>
      <c r="F1122" s="96" t="s">
        <v>1104</v>
      </c>
      <c r="G1122" s="96" t="s">
        <v>537</v>
      </c>
      <c r="H1122" s="90" t="s">
        <v>965</v>
      </c>
      <c r="I1122" s="80"/>
      <c r="J1122" s="80"/>
      <c r="K1122" s="80"/>
      <c r="L1122" s="80"/>
      <c r="M1122" s="80"/>
      <c r="N1122" s="80"/>
      <c r="O1122" s="80"/>
      <c r="P1122" s="80"/>
      <c r="Q1122" s="80"/>
      <c r="R1122" s="80"/>
      <c r="S1122" s="80"/>
    </row>
    <row r="1123" ht="40.5" customHeight="1">
      <c r="A1123" s="90" t="s">
        <v>485</v>
      </c>
      <c r="B1123" s="96" t="s">
        <v>531</v>
      </c>
      <c r="C1123" s="96" t="s">
        <v>532</v>
      </c>
      <c r="D1123" s="96" t="s">
        <v>538</v>
      </c>
      <c r="E1123" s="96">
        <v>2079119.0</v>
      </c>
      <c r="F1123" s="96" t="s">
        <v>1102</v>
      </c>
      <c r="G1123" s="96" t="s">
        <v>531</v>
      </c>
      <c r="H1123" s="90" t="s">
        <v>965</v>
      </c>
      <c r="I1123" s="80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</row>
    <row r="1124" ht="40.5" customHeight="1">
      <c r="A1124" s="90" t="s">
        <v>485</v>
      </c>
      <c r="B1124" s="96" t="s">
        <v>531</v>
      </c>
      <c r="C1124" s="96" t="s">
        <v>532</v>
      </c>
      <c r="D1124" s="96" t="s">
        <v>539</v>
      </c>
      <c r="E1124" s="96">
        <v>2079119.0</v>
      </c>
      <c r="F1124" s="96" t="s">
        <v>1102</v>
      </c>
      <c r="G1124" s="96" t="s">
        <v>531</v>
      </c>
      <c r="H1124" s="90" t="s">
        <v>965</v>
      </c>
      <c r="I1124" s="80"/>
      <c r="J1124" s="80"/>
      <c r="K1124" s="80"/>
      <c r="L1124" s="80"/>
      <c r="M1124" s="80"/>
      <c r="N1124" s="80"/>
      <c r="O1124" s="80"/>
      <c r="P1124" s="80"/>
      <c r="Q1124" s="80"/>
      <c r="R1124" s="80"/>
      <c r="S1124" s="80"/>
    </row>
    <row r="1125" ht="40.5" customHeight="1">
      <c r="A1125" s="90" t="s">
        <v>485</v>
      </c>
      <c r="B1125" s="96" t="s">
        <v>531</v>
      </c>
      <c r="C1125" s="96" t="s">
        <v>532</v>
      </c>
      <c r="D1125" s="96" t="s">
        <v>540</v>
      </c>
      <c r="E1125" s="96">
        <v>2079119.0</v>
      </c>
      <c r="F1125" s="96" t="s">
        <v>1102</v>
      </c>
      <c r="G1125" s="96" t="s">
        <v>531</v>
      </c>
      <c r="H1125" s="90" t="s">
        <v>965</v>
      </c>
      <c r="I1125" s="80"/>
      <c r="J1125" s="80"/>
      <c r="K1125" s="80"/>
      <c r="L1125" s="80"/>
      <c r="M1125" s="80"/>
      <c r="N1125" s="80"/>
      <c r="O1125" s="80"/>
      <c r="P1125" s="80"/>
      <c r="Q1125" s="80"/>
      <c r="R1125" s="80"/>
      <c r="S1125" s="80"/>
    </row>
    <row r="1126" ht="40.5" customHeight="1">
      <c r="A1126" s="90" t="s">
        <v>485</v>
      </c>
      <c r="B1126" s="96" t="s">
        <v>531</v>
      </c>
      <c r="C1126" s="96" t="s">
        <v>532</v>
      </c>
      <c r="D1126" s="96" t="s">
        <v>541</v>
      </c>
      <c r="E1126" s="96">
        <v>2079119.0</v>
      </c>
      <c r="F1126" s="96" t="s">
        <v>1102</v>
      </c>
      <c r="G1126" s="96" t="s">
        <v>531</v>
      </c>
      <c r="H1126" s="90" t="s">
        <v>965</v>
      </c>
      <c r="I1126" s="80"/>
      <c r="J1126" s="80"/>
      <c r="K1126" s="80"/>
      <c r="L1126" s="80"/>
      <c r="M1126" s="80"/>
      <c r="N1126" s="80"/>
      <c r="O1126" s="80"/>
      <c r="P1126" s="80"/>
      <c r="Q1126" s="80"/>
      <c r="R1126" s="80"/>
      <c r="S1126" s="80"/>
    </row>
    <row r="1127" ht="40.5" customHeight="1">
      <c r="A1127" s="90" t="s">
        <v>485</v>
      </c>
      <c r="B1127" s="96" t="s">
        <v>531</v>
      </c>
      <c r="C1127" s="96" t="s">
        <v>542</v>
      </c>
      <c r="D1127" s="96" t="s">
        <v>543</v>
      </c>
      <c r="E1127" s="96">
        <v>2084171.0</v>
      </c>
      <c r="F1127" s="96" t="s">
        <v>1013</v>
      </c>
      <c r="G1127" s="96" t="s">
        <v>1105</v>
      </c>
      <c r="H1127" s="90" t="s">
        <v>965</v>
      </c>
      <c r="I1127" s="80"/>
      <c r="J1127" s="80"/>
      <c r="K1127" s="80"/>
      <c r="L1127" s="80"/>
      <c r="M1127" s="80"/>
      <c r="N1127" s="80"/>
      <c r="O1127" s="80"/>
      <c r="P1127" s="80"/>
      <c r="Q1127" s="80"/>
      <c r="R1127" s="80"/>
      <c r="S1127" s="80"/>
    </row>
    <row r="1128" ht="40.5" customHeight="1">
      <c r="A1128" s="90" t="s">
        <v>485</v>
      </c>
      <c r="B1128" s="96" t="s">
        <v>531</v>
      </c>
      <c r="C1128" s="96" t="s">
        <v>542</v>
      </c>
      <c r="D1128" s="96" t="s">
        <v>544</v>
      </c>
      <c r="E1128" s="96">
        <v>2026805.0</v>
      </c>
      <c r="F1128" s="96" t="s">
        <v>1106</v>
      </c>
      <c r="G1128" s="96" t="s">
        <v>545</v>
      </c>
      <c r="H1128" s="90" t="s">
        <v>965</v>
      </c>
      <c r="I1128" s="80"/>
      <c r="J1128" s="80"/>
      <c r="K1128" s="80"/>
      <c r="L1128" s="80"/>
      <c r="M1128" s="80"/>
      <c r="N1128" s="80"/>
      <c r="O1128" s="80"/>
      <c r="P1128" s="80"/>
      <c r="Q1128" s="80"/>
      <c r="R1128" s="80"/>
      <c r="S1128" s="80"/>
    </row>
    <row r="1129" ht="40.5" customHeight="1">
      <c r="A1129" s="90" t="s">
        <v>485</v>
      </c>
      <c r="B1129" s="96" t="s">
        <v>531</v>
      </c>
      <c r="C1129" s="96" t="s">
        <v>542</v>
      </c>
      <c r="D1129" s="96" t="s">
        <v>545</v>
      </c>
      <c r="E1129" s="96">
        <v>2026805.0</v>
      </c>
      <c r="F1129" s="96" t="s">
        <v>1106</v>
      </c>
      <c r="G1129" s="96" t="s">
        <v>545</v>
      </c>
      <c r="H1129" s="90" t="s">
        <v>965</v>
      </c>
      <c r="I1129" s="80"/>
      <c r="J1129" s="80"/>
      <c r="K1129" s="80"/>
      <c r="L1129" s="80"/>
      <c r="M1129" s="80"/>
      <c r="N1129" s="80"/>
      <c r="O1129" s="80"/>
      <c r="P1129" s="80"/>
      <c r="Q1129" s="80"/>
      <c r="R1129" s="80"/>
      <c r="S1129" s="80"/>
    </row>
    <row r="1130" ht="40.5" customHeight="1">
      <c r="A1130" s="90" t="s">
        <v>485</v>
      </c>
      <c r="B1130" s="96" t="s">
        <v>531</v>
      </c>
      <c r="C1130" s="96" t="s">
        <v>542</v>
      </c>
      <c r="D1130" s="96" t="s">
        <v>546</v>
      </c>
      <c r="E1130" s="96">
        <v>2025477.0</v>
      </c>
      <c r="F1130" s="96" t="s">
        <v>1107</v>
      </c>
      <c r="G1130" s="96" t="s">
        <v>546</v>
      </c>
      <c r="H1130" s="90" t="s">
        <v>965</v>
      </c>
      <c r="I1130" s="80"/>
      <c r="J1130" s="80"/>
      <c r="K1130" s="80"/>
      <c r="L1130" s="80"/>
      <c r="M1130" s="80"/>
      <c r="N1130" s="80"/>
      <c r="O1130" s="80"/>
      <c r="P1130" s="80"/>
      <c r="Q1130" s="80"/>
      <c r="R1130" s="80"/>
      <c r="S1130" s="80"/>
    </row>
    <row r="1131" ht="40.5" customHeight="1">
      <c r="A1131" s="90" t="s">
        <v>485</v>
      </c>
      <c r="B1131" s="96" t="s">
        <v>531</v>
      </c>
      <c r="C1131" s="96" t="s">
        <v>542</v>
      </c>
      <c r="D1131" s="96" t="s">
        <v>547</v>
      </c>
      <c r="E1131" s="96">
        <v>2028204.0</v>
      </c>
      <c r="F1131" s="96" t="s">
        <v>1108</v>
      </c>
      <c r="G1131" s="96" t="s">
        <v>547</v>
      </c>
      <c r="H1131" s="90" t="s">
        <v>965</v>
      </c>
      <c r="I1131" s="80"/>
      <c r="J1131" s="80"/>
      <c r="K1131" s="80"/>
      <c r="L1131" s="80"/>
      <c r="M1131" s="80"/>
      <c r="N1131" s="80"/>
      <c r="O1131" s="80"/>
      <c r="P1131" s="80"/>
      <c r="Q1131" s="80"/>
      <c r="R1131" s="80"/>
      <c r="S1131" s="80"/>
    </row>
    <row r="1132" ht="40.5" customHeight="1">
      <c r="A1132" s="90" t="s">
        <v>485</v>
      </c>
      <c r="B1132" s="96" t="s">
        <v>531</v>
      </c>
      <c r="C1132" s="96" t="s">
        <v>542</v>
      </c>
      <c r="D1132" s="96" t="s">
        <v>548</v>
      </c>
      <c r="E1132" s="96">
        <v>2089548.0</v>
      </c>
      <c r="F1132" s="96" t="s">
        <v>1109</v>
      </c>
      <c r="G1132" s="96" t="s">
        <v>548</v>
      </c>
      <c r="H1132" s="90" t="s">
        <v>965</v>
      </c>
      <c r="I1132" s="80"/>
      <c r="J1132" s="80"/>
      <c r="K1132" s="80"/>
      <c r="L1132" s="80"/>
      <c r="M1132" s="80"/>
      <c r="N1132" s="80"/>
      <c r="O1132" s="80"/>
      <c r="P1132" s="80"/>
      <c r="Q1132" s="80"/>
      <c r="R1132" s="80"/>
      <c r="S1132" s="80"/>
    </row>
    <row r="1133" ht="40.5" customHeight="1">
      <c r="A1133" s="90" t="s">
        <v>485</v>
      </c>
      <c r="B1133" s="96" t="s">
        <v>531</v>
      </c>
      <c r="C1133" s="96" t="s">
        <v>542</v>
      </c>
      <c r="D1133" s="96" t="s">
        <v>549</v>
      </c>
      <c r="E1133" s="96">
        <v>2083493.0</v>
      </c>
      <c r="F1133" s="96" t="s">
        <v>1110</v>
      </c>
      <c r="G1133" s="96" t="s">
        <v>549</v>
      </c>
      <c r="H1133" s="90" t="s">
        <v>965</v>
      </c>
      <c r="I1133" s="80"/>
      <c r="J1133" s="80"/>
      <c r="K1133" s="80"/>
      <c r="L1133" s="80"/>
      <c r="M1133" s="80"/>
      <c r="N1133" s="80"/>
      <c r="O1133" s="80"/>
      <c r="P1133" s="80"/>
      <c r="Q1133" s="80"/>
      <c r="R1133" s="80"/>
      <c r="S1133" s="80"/>
    </row>
    <row r="1134" ht="40.5" customHeight="1">
      <c r="A1134" s="90" t="s">
        <v>485</v>
      </c>
      <c r="B1134" s="96" t="s">
        <v>531</v>
      </c>
      <c r="C1134" s="96" t="s">
        <v>542</v>
      </c>
      <c r="D1134" s="96" t="s">
        <v>550</v>
      </c>
      <c r="E1134" s="96">
        <v>2026805.0</v>
      </c>
      <c r="F1134" s="96" t="s">
        <v>1106</v>
      </c>
      <c r="G1134" s="96" t="s">
        <v>545</v>
      </c>
      <c r="H1134" s="90" t="s">
        <v>965</v>
      </c>
      <c r="I1134" s="80"/>
      <c r="J1134" s="80"/>
      <c r="K1134" s="80"/>
      <c r="L1134" s="80"/>
      <c r="M1134" s="80"/>
      <c r="N1134" s="80"/>
      <c r="O1134" s="80"/>
      <c r="P1134" s="80"/>
      <c r="Q1134" s="80"/>
      <c r="R1134" s="80"/>
      <c r="S1134" s="80"/>
    </row>
    <row r="1135" ht="40.5" customHeight="1">
      <c r="A1135" s="90" t="s">
        <v>485</v>
      </c>
      <c r="B1135" s="96" t="s">
        <v>531</v>
      </c>
      <c r="C1135" s="96" t="s">
        <v>542</v>
      </c>
      <c r="D1135" s="96" t="s">
        <v>551</v>
      </c>
      <c r="E1135" s="96">
        <v>2084171.0</v>
      </c>
      <c r="F1135" s="96" t="s">
        <v>1013</v>
      </c>
      <c r="G1135" s="96" t="s">
        <v>1105</v>
      </c>
      <c r="H1135" s="90" t="s">
        <v>965</v>
      </c>
      <c r="I1135" s="80"/>
      <c r="J1135" s="80"/>
      <c r="K1135" s="80"/>
      <c r="L1135" s="80"/>
      <c r="M1135" s="80"/>
      <c r="N1135" s="80"/>
      <c r="O1135" s="80"/>
      <c r="P1135" s="80"/>
      <c r="Q1135" s="80"/>
      <c r="R1135" s="80"/>
      <c r="S1135" s="80"/>
    </row>
    <row r="1136" ht="40.5" customHeight="1">
      <c r="A1136" s="90" t="s">
        <v>485</v>
      </c>
      <c r="B1136" s="96" t="s">
        <v>531</v>
      </c>
      <c r="C1136" s="96" t="s">
        <v>552</v>
      </c>
      <c r="D1136" s="96" t="s">
        <v>553</v>
      </c>
      <c r="E1136" s="96">
        <v>2082853.0</v>
      </c>
      <c r="F1136" s="96" t="s">
        <v>1111</v>
      </c>
      <c r="G1136" s="96" t="s">
        <v>554</v>
      </c>
      <c r="H1136" s="90" t="s">
        <v>965</v>
      </c>
      <c r="I1136" s="80"/>
      <c r="J1136" s="80"/>
      <c r="K1136" s="80"/>
      <c r="L1136" s="80"/>
      <c r="M1136" s="80"/>
      <c r="N1136" s="80"/>
      <c r="O1136" s="80"/>
      <c r="P1136" s="80"/>
      <c r="Q1136" s="80"/>
      <c r="R1136" s="80"/>
      <c r="S1136" s="80"/>
    </row>
    <row r="1137" ht="40.5" customHeight="1">
      <c r="A1137" s="90" t="s">
        <v>485</v>
      </c>
      <c r="B1137" s="96" t="s">
        <v>531</v>
      </c>
      <c r="C1137" s="96" t="s">
        <v>552</v>
      </c>
      <c r="D1137" s="96" t="s">
        <v>553</v>
      </c>
      <c r="E1137" s="96">
        <v>2079119.0</v>
      </c>
      <c r="F1137" s="96" t="s">
        <v>1102</v>
      </c>
      <c r="G1137" s="96" t="s">
        <v>531</v>
      </c>
      <c r="H1137" s="90" t="s">
        <v>965</v>
      </c>
      <c r="I1137" s="80"/>
      <c r="J1137" s="80"/>
      <c r="K1137" s="80"/>
      <c r="L1137" s="80"/>
      <c r="M1137" s="80"/>
      <c r="N1137" s="80"/>
      <c r="O1137" s="80"/>
      <c r="P1137" s="80"/>
      <c r="Q1137" s="80"/>
      <c r="R1137" s="80"/>
      <c r="S1137" s="80"/>
    </row>
    <row r="1138" ht="40.5" customHeight="1">
      <c r="A1138" s="90" t="s">
        <v>485</v>
      </c>
      <c r="B1138" s="96" t="s">
        <v>531</v>
      </c>
      <c r="C1138" s="96" t="s">
        <v>552</v>
      </c>
      <c r="D1138" s="96" t="s">
        <v>554</v>
      </c>
      <c r="E1138" s="96">
        <v>2082853.0</v>
      </c>
      <c r="F1138" s="96" t="s">
        <v>1111</v>
      </c>
      <c r="G1138" s="96" t="s">
        <v>554</v>
      </c>
      <c r="H1138" s="90" t="s">
        <v>965</v>
      </c>
      <c r="I1138" s="80"/>
      <c r="J1138" s="80"/>
      <c r="K1138" s="80"/>
      <c r="L1138" s="80"/>
      <c r="M1138" s="80"/>
      <c r="N1138" s="80"/>
      <c r="O1138" s="80"/>
      <c r="P1138" s="80"/>
      <c r="Q1138" s="80"/>
      <c r="R1138" s="80"/>
      <c r="S1138" s="80"/>
    </row>
    <row r="1139" ht="40.5" customHeight="1">
      <c r="A1139" s="90" t="s">
        <v>485</v>
      </c>
      <c r="B1139" s="96" t="s">
        <v>531</v>
      </c>
      <c r="C1139" s="96" t="s">
        <v>552</v>
      </c>
      <c r="D1139" s="96" t="s">
        <v>555</v>
      </c>
      <c r="E1139" s="96">
        <v>2082853.0</v>
      </c>
      <c r="F1139" s="96" t="s">
        <v>1111</v>
      </c>
      <c r="G1139" s="96" t="s">
        <v>554</v>
      </c>
      <c r="H1139" s="90" t="s">
        <v>965</v>
      </c>
      <c r="I1139" s="80"/>
      <c r="J1139" s="80"/>
      <c r="K1139" s="80"/>
      <c r="L1139" s="80"/>
      <c r="M1139" s="80"/>
      <c r="N1139" s="80"/>
      <c r="O1139" s="80"/>
      <c r="P1139" s="80"/>
      <c r="Q1139" s="80"/>
      <c r="R1139" s="80"/>
      <c r="S1139" s="80"/>
    </row>
    <row r="1140" ht="40.5" customHeight="1">
      <c r="A1140" s="90" t="s">
        <v>485</v>
      </c>
      <c r="B1140" s="96" t="s">
        <v>531</v>
      </c>
      <c r="C1140" s="96" t="s">
        <v>552</v>
      </c>
      <c r="D1140" s="96" t="s">
        <v>555</v>
      </c>
      <c r="E1140" s="96">
        <v>2079119.0</v>
      </c>
      <c r="F1140" s="96" t="s">
        <v>1102</v>
      </c>
      <c r="G1140" s="96" t="s">
        <v>531</v>
      </c>
      <c r="H1140" s="90" t="s">
        <v>965</v>
      </c>
      <c r="I1140" s="80"/>
      <c r="J1140" s="80"/>
      <c r="K1140" s="80"/>
      <c r="L1140" s="80"/>
      <c r="M1140" s="80"/>
      <c r="N1140" s="80"/>
      <c r="O1140" s="80"/>
      <c r="P1140" s="80"/>
      <c r="Q1140" s="80"/>
      <c r="R1140" s="80"/>
      <c r="S1140" s="80"/>
    </row>
    <row r="1141" ht="40.5" customHeight="1">
      <c r="A1141" s="90" t="s">
        <v>485</v>
      </c>
      <c r="B1141" s="96" t="s">
        <v>531</v>
      </c>
      <c r="C1141" s="96" t="s">
        <v>552</v>
      </c>
      <c r="D1141" s="96" t="s">
        <v>556</v>
      </c>
      <c r="E1141" s="96">
        <v>2023016.0</v>
      </c>
      <c r="F1141" s="96" t="s">
        <v>1112</v>
      </c>
      <c r="G1141" s="96" t="s">
        <v>556</v>
      </c>
      <c r="H1141" s="90" t="s">
        <v>965</v>
      </c>
      <c r="I1141" s="80"/>
      <c r="J1141" s="80"/>
      <c r="K1141" s="80"/>
      <c r="L1141" s="80"/>
      <c r="M1141" s="80"/>
      <c r="N1141" s="80"/>
      <c r="O1141" s="80"/>
      <c r="P1141" s="80"/>
      <c r="Q1141" s="80"/>
      <c r="R1141" s="80"/>
      <c r="S1141" s="80"/>
    </row>
    <row r="1142" ht="40.5" customHeight="1">
      <c r="A1142" s="90" t="s">
        <v>485</v>
      </c>
      <c r="B1142" s="96" t="s">
        <v>531</v>
      </c>
      <c r="C1142" s="96" t="s">
        <v>552</v>
      </c>
      <c r="D1142" s="96" t="s">
        <v>557</v>
      </c>
      <c r="E1142" s="96">
        <v>2079119.0</v>
      </c>
      <c r="F1142" s="96" t="s">
        <v>1102</v>
      </c>
      <c r="G1142" s="96" t="s">
        <v>531</v>
      </c>
      <c r="H1142" s="90" t="s">
        <v>965</v>
      </c>
      <c r="I1142" s="80"/>
      <c r="J1142" s="80"/>
      <c r="K1142" s="80"/>
      <c r="L1142" s="80"/>
      <c r="M1142" s="80"/>
      <c r="N1142" s="80"/>
      <c r="O1142" s="80"/>
      <c r="P1142" s="80"/>
      <c r="Q1142" s="80"/>
      <c r="R1142" s="80"/>
      <c r="S1142" s="80"/>
    </row>
    <row r="1143" ht="40.5" customHeight="1">
      <c r="A1143" s="90" t="s">
        <v>485</v>
      </c>
      <c r="B1143" s="96" t="s">
        <v>531</v>
      </c>
      <c r="C1143" s="96" t="s">
        <v>552</v>
      </c>
      <c r="D1143" s="96" t="s">
        <v>558</v>
      </c>
      <c r="E1143" s="96">
        <v>2023016.0</v>
      </c>
      <c r="F1143" s="96" t="s">
        <v>1112</v>
      </c>
      <c r="G1143" s="96" t="s">
        <v>556</v>
      </c>
      <c r="H1143" s="90" t="s">
        <v>965</v>
      </c>
      <c r="I1143" s="80"/>
      <c r="J1143" s="80"/>
      <c r="K1143" s="80"/>
      <c r="L1143" s="80"/>
      <c r="M1143" s="80"/>
      <c r="N1143" s="80"/>
      <c r="O1143" s="80"/>
      <c r="P1143" s="80"/>
      <c r="Q1143" s="80"/>
      <c r="R1143" s="80"/>
      <c r="S1143" s="80"/>
    </row>
    <row r="1144" ht="40.5" customHeight="1">
      <c r="A1144" s="90" t="s">
        <v>485</v>
      </c>
      <c r="B1144" s="96" t="s">
        <v>531</v>
      </c>
      <c r="C1144" s="96" t="s">
        <v>552</v>
      </c>
      <c r="D1144" s="96" t="s">
        <v>559</v>
      </c>
      <c r="E1144" s="96">
        <v>2082853.0</v>
      </c>
      <c r="F1144" s="96" t="s">
        <v>1111</v>
      </c>
      <c r="G1144" s="96" t="s">
        <v>554</v>
      </c>
      <c r="H1144" s="90" t="s">
        <v>965</v>
      </c>
      <c r="I1144" s="80"/>
      <c r="J1144" s="80"/>
      <c r="K1144" s="80"/>
      <c r="L1144" s="80"/>
      <c r="M1144" s="80"/>
      <c r="N1144" s="80"/>
      <c r="O1144" s="80"/>
      <c r="P1144" s="80"/>
      <c r="Q1144" s="80"/>
      <c r="R1144" s="80"/>
      <c r="S1144" s="80"/>
    </row>
    <row r="1145" ht="40.5" customHeight="1">
      <c r="A1145" s="90" t="s">
        <v>560</v>
      </c>
      <c r="B1145" s="96" t="s">
        <v>561</v>
      </c>
      <c r="C1145" s="96" t="s">
        <v>562</v>
      </c>
      <c r="D1145" s="82" t="s">
        <v>562</v>
      </c>
      <c r="E1145" s="96">
        <v>2081253.0</v>
      </c>
      <c r="F1145" s="96" t="s">
        <v>912</v>
      </c>
      <c r="G1145" s="96" t="s">
        <v>562</v>
      </c>
      <c r="H1145" s="90" t="s">
        <v>965</v>
      </c>
      <c r="I1145" s="80"/>
      <c r="J1145" s="80"/>
      <c r="K1145" s="80"/>
      <c r="L1145" s="80"/>
      <c r="M1145" s="80"/>
      <c r="N1145" s="80"/>
      <c r="O1145" s="80"/>
      <c r="P1145" s="80"/>
      <c r="Q1145" s="80"/>
      <c r="R1145" s="80"/>
      <c r="S1145" s="80"/>
    </row>
    <row r="1146" ht="40.5" customHeight="1">
      <c r="A1146" s="90" t="s">
        <v>560</v>
      </c>
      <c r="B1146" s="96" t="s">
        <v>561</v>
      </c>
      <c r="C1146" s="96" t="s">
        <v>562</v>
      </c>
      <c r="D1146" s="82" t="s">
        <v>563</v>
      </c>
      <c r="E1146" s="96">
        <v>2084430.0</v>
      </c>
      <c r="F1146" s="96" t="s">
        <v>1113</v>
      </c>
      <c r="G1146" s="96" t="s">
        <v>563</v>
      </c>
      <c r="H1146" s="90" t="s">
        <v>965</v>
      </c>
      <c r="I1146" s="80"/>
      <c r="J1146" s="80"/>
      <c r="K1146" s="80"/>
      <c r="L1146" s="80"/>
      <c r="M1146" s="80"/>
      <c r="N1146" s="80"/>
      <c r="O1146" s="80"/>
      <c r="P1146" s="80"/>
      <c r="Q1146" s="80"/>
      <c r="R1146" s="80"/>
      <c r="S1146" s="80"/>
    </row>
    <row r="1147" ht="40.5" customHeight="1">
      <c r="A1147" s="90" t="s">
        <v>560</v>
      </c>
      <c r="B1147" s="96" t="s">
        <v>561</v>
      </c>
      <c r="C1147" s="96" t="s">
        <v>562</v>
      </c>
      <c r="D1147" s="82" t="s">
        <v>564</v>
      </c>
      <c r="E1147" s="96">
        <v>2078074.0</v>
      </c>
      <c r="F1147" s="96" t="s">
        <v>1114</v>
      </c>
      <c r="G1147" s="96" t="s">
        <v>564</v>
      </c>
      <c r="H1147" s="90" t="s">
        <v>965</v>
      </c>
      <c r="I1147" s="80"/>
      <c r="J1147" s="80"/>
      <c r="K1147" s="80"/>
      <c r="L1147" s="80"/>
      <c r="M1147" s="80"/>
      <c r="N1147" s="80"/>
      <c r="O1147" s="80"/>
      <c r="P1147" s="80"/>
      <c r="Q1147" s="80"/>
      <c r="R1147" s="80"/>
      <c r="S1147" s="80"/>
    </row>
    <row r="1148" ht="40.5" customHeight="1">
      <c r="A1148" s="90" t="s">
        <v>560</v>
      </c>
      <c r="B1148" s="96" t="s">
        <v>561</v>
      </c>
      <c r="C1148" s="96" t="s">
        <v>562</v>
      </c>
      <c r="D1148" s="82" t="s">
        <v>565</v>
      </c>
      <c r="E1148" s="96">
        <v>2785382.0</v>
      </c>
      <c r="F1148" s="96" t="s">
        <v>1115</v>
      </c>
      <c r="G1148" s="96" t="s">
        <v>565</v>
      </c>
      <c r="H1148" s="90" t="s">
        <v>965</v>
      </c>
      <c r="I1148" s="80"/>
      <c r="J1148" s="80"/>
      <c r="K1148" s="80"/>
      <c r="L1148" s="80"/>
      <c r="M1148" s="80"/>
      <c r="N1148" s="80"/>
      <c r="O1148" s="80"/>
      <c r="P1148" s="80"/>
      <c r="Q1148" s="80"/>
      <c r="R1148" s="80"/>
      <c r="S1148" s="80"/>
    </row>
    <row r="1149" ht="40.5" customHeight="1">
      <c r="A1149" s="90" t="s">
        <v>560</v>
      </c>
      <c r="B1149" s="96" t="s">
        <v>561</v>
      </c>
      <c r="C1149" s="96" t="s">
        <v>562</v>
      </c>
      <c r="D1149" s="82" t="s">
        <v>566</v>
      </c>
      <c r="E1149" s="96">
        <v>2078074.0</v>
      </c>
      <c r="F1149" s="96" t="s">
        <v>1114</v>
      </c>
      <c r="G1149" s="96" t="s">
        <v>564</v>
      </c>
      <c r="H1149" s="90" t="s">
        <v>965</v>
      </c>
      <c r="I1149" s="80"/>
      <c r="J1149" s="80"/>
      <c r="K1149" s="80"/>
      <c r="L1149" s="80"/>
      <c r="M1149" s="80"/>
      <c r="N1149" s="80"/>
      <c r="O1149" s="80"/>
      <c r="P1149" s="80"/>
      <c r="Q1149" s="80"/>
      <c r="R1149" s="80"/>
      <c r="S1149" s="80"/>
    </row>
    <row r="1150" ht="40.5" customHeight="1">
      <c r="A1150" s="90" t="s">
        <v>560</v>
      </c>
      <c r="B1150" s="96" t="s">
        <v>561</v>
      </c>
      <c r="C1150" s="96" t="s">
        <v>567</v>
      </c>
      <c r="D1150" s="82" t="s">
        <v>568</v>
      </c>
      <c r="E1150" s="96">
        <v>2081458.0</v>
      </c>
      <c r="F1150" s="96" t="s">
        <v>1116</v>
      </c>
      <c r="G1150" s="96" t="s">
        <v>567</v>
      </c>
      <c r="H1150" s="90" t="s">
        <v>965</v>
      </c>
      <c r="I1150" s="80"/>
      <c r="J1150" s="80"/>
      <c r="K1150" s="80"/>
      <c r="L1150" s="80"/>
      <c r="M1150" s="80"/>
      <c r="N1150" s="80"/>
      <c r="O1150" s="80"/>
      <c r="P1150" s="80"/>
      <c r="Q1150" s="80"/>
      <c r="R1150" s="80"/>
      <c r="S1150" s="80"/>
    </row>
    <row r="1151" ht="40.5" customHeight="1">
      <c r="A1151" s="90" t="s">
        <v>560</v>
      </c>
      <c r="B1151" s="96" t="s">
        <v>561</v>
      </c>
      <c r="C1151" s="96" t="s">
        <v>567</v>
      </c>
      <c r="D1151" s="82" t="s">
        <v>568</v>
      </c>
      <c r="E1151" s="96">
        <v>2087103.0</v>
      </c>
      <c r="F1151" s="96" t="s">
        <v>1117</v>
      </c>
      <c r="G1151" s="96" t="s">
        <v>567</v>
      </c>
      <c r="H1151" s="90" t="s">
        <v>965</v>
      </c>
      <c r="I1151" s="80"/>
      <c r="J1151" s="80"/>
      <c r="K1151" s="80"/>
      <c r="L1151" s="80"/>
      <c r="M1151" s="80"/>
      <c r="N1151" s="80"/>
      <c r="O1151" s="80"/>
      <c r="P1151" s="80"/>
      <c r="Q1151" s="80"/>
      <c r="R1151" s="80"/>
      <c r="S1151" s="80"/>
    </row>
    <row r="1152" ht="40.5" customHeight="1">
      <c r="A1152" s="90" t="s">
        <v>560</v>
      </c>
      <c r="B1152" s="96" t="s">
        <v>561</v>
      </c>
      <c r="C1152" s="96" t="s">
        <v>567</v>
      </c>
      <c r="D1152" s="82" t="s">
        <v>569</v>
      </c>
      <c r="E1152" s="96">
        <v>2081458.0</v>
      </c>
      <c r="F1152" s="96" t="s">
        <v>1116</v>
      </c>
      <c r="G1152" s="96" t="s">
        <v>567</v>
      </c>
      <c r="H1152" s="90" t="s">
        <v>965</v>
      </c>
      <c r="I1152" s="80"/>
      <c r="J1152" s="80"/>
      <c r="K1152" s="80"/>
      <c r="L1152" s="80"/>
      <c r="M1152" s="80"/>
      <c r="N1152" s="80"/>
      <c r="O1152" s="80"/>
      <c r="P1152" s="80"/>
      <c r="Q1152" s="80"/>
      <c r="R1152" s="80"/>
      <c r="S1152" s="80"/>
    </row>
    <row r="1153" ht="40.5" customHeight="1">
      <c r="A1153" s="90" t="s">
        <v>560</v>
      </c>
      <c r="B1153" s="96" t="s">
        <v>561</v>
      </c>
      <c r="C1153" s="96" t="s">
        <v>567</v>
      </c>
      <c r="D1153" s="82" t="s">
        <v>569</v>
      </c>
      <c r="E1153" s="96">
        <v>2087103.0</v>
      </c>
      <c r="F1153" s="96" t="s">
        <v>1117</v>
      </c>
      <c r="G1153" s="96" t="s">
        <v>567</v>
      </c>
      <c r="H1153" s="90" t="s">
        <v>965</v>
      </c>
      <c r="I1153" s="80"/>
      <c r="J1153" s="80"/>
      <c r="K1153" s="80"/>
      <c r="L1153" s="80"/>
      <c r="M1153" s="80"/>
      <c r="N1153" s="80"/>
      <c r="O1153" s="80"/>
      <c r="P1153" s="80"/>
      <c r="Q1153" s="80"/>
      <c r="R1153" s="80"/>
      <c r="S1153" s="80"/>
    </row>
    <row r="1154" ht="40.5" customHeight="1">
      <c r="A1154" s="90" t="s">
        <v>560</v>
      </c>
      <c r="B1154" s="96" t="s">
        <v>561</v>
      </c>
      <c r="C1154" s="96" t="s">
        <v>567</v>
      </c>
      <c r="D1154" s="82" t="s">
        <v>570</v>
      </c>
      <c r="E1154" s="96">
        <v>2081458.0</v>
      </c>
      <c r="F1154" s="96" t="s">
        <v>1116</v>
      </c>
      <c r="G1154" s="96" t="s">
        <v>567</v>
      </c>
      <c r="H1154" s="90" t="s">
        <v>965</v>
      </c>
      <c r="I1154" s="80"/>
      <c r="J1154" s="80"/>
      <c r="K1154" s="80"/>
      <c r="L1154" s="80"/>
      <c r="M1154" s="80"/>
      <c r="N1154" s="80"/>
      <c r="O1154" s="80"/>
      <c r="P1154" s="80"/>
      <c r="Q1154" s="80"/>
      <c r="R1154" s="80"/>
      <c r="S1154" s="80"/>
    </row>
    <row r="1155" ht="40.5" customHeight="1">
      <c r="A1155" s="90" t="s">
        <v>560</v>
      </c>
      <c r="B1155" s="96" t="s">
        <v>561</v>
      </c>
      <c r="C1155" s="96" t="s">
        <v>567</v>
      </c>
      <c r="D1155" s="82" t="s">
        <v>570</v>
      </c>
      <c r="E1155" s="96">
        <v>2087103.0</v>
      </c>
      <c r="F1155" s="96" t="s">
        <v>1117</v>
      </c>
      <c r="G1155" s="96" t="s">
        <v>567</v>
      </c>
      <c r="H1155" s="90" t="s">
        <v>965</v>
      </c>
      <c r="I1155" s="80"/>
      <c r="J1155" s="80"/>
      <c r="K1155" s="80"/>
      <c r="L1155" s="80"/>
      <c r="M1155" s="80"/>
      <c r="N1155" s="80"/>
      <c r="O1155" s="80"/>
      <c r="P1155" s="80"/>
      <c r="Q1155" s="80"/>
      <c r="R1155" s="80"/>
      <c r="S1155" s="80"/>
    </row>
    <row r="1156" ht="40.5" customHeight="1">
      <c r="A1156" s="90" t="s">
        <v>560</v>
      </c>
      <c r="B1156" s="96" t="s">
        <v>561</v>
      </c>
      <c r="C1156" s="96" t="s">
        <v>567</v>
      </c>
      <c r="D1156" s="82" t="s">
        <v>567</v>
      </c>
      <c r="E1156" s="96">
        <v>2081458.0</v>
      </c>
      <c r="F1156" s="96" t="s">
        <v>1116</v>
      </c>
      <c r="G1156" s="96" t="s">
        <v>567</v>
      </c>
      <c r="H1156" s="90" t="s">
        <v>965</v>
      </c>
      <c r="I1156" s="80"/>
      <c r="J1156" s="80"/>
      <c r="K1156" s="80"/>
      <c r="L1156" s="80"/>
      <c r="M1156" s="80"/>
      <c r="N1156" s="80"/>
      <c r="O1156" s="80"/>
      <c r="P1156" s="80"/>
      <c r="Q1156" s="80"/>
      <c r="R1156" s="80"/>
      <c r="S1156" s="80"/>
    </row>
    <row r="1157" ht="40.5" customHeight="1">
      <c r="A1157" s="90" t="s">
        <v>560</v>
      </c>
      <c r="B1157" s="96" t="s">
        <v>561</v>
      </c>
      <c r="C1157" s="96" t="s">
        <v>567</v>
      </c>
      <c r="D1157" s="82" t="s">
        <v>567</v>
      </c>
      <c r="E1157" s="96">
        <v>2087103.0</v>
      </c>
      <c r="F1157" s="96" t="s">
        <v>1117</v>
      </c>
      <c r="G1157" s="96" t="s">
        <v>567</v>
      </c>
      <c r="H1157" s="90" t="s">
        <v>965</v>
      </c>
      <c r="I1157" s="80"/>
      <c r="J1157" s="80"/>
      <c r="K1157" s="80"/>
      <c r="L1157" s="80"/>
      <c r="M1157" s="80"/>
      <c r="N1157" s="80"/>
      <c r="O1157" s="80"/>
      <c r="P1157" s="80"/>
      <c r="Q1157" s="80"/>
      <c r="R1157" s="80"/>
      <c r="S1157" s="80"/>
    </row>
    <row r="1158" ht="40.5" customHeight="1">
      <c r="A1158" s="90" t="s">
        <v>560</v>
      </c>
      <c r="B1158" s="96" t="s">
        <v>561</v>
      </c>
      <c r="C1158" s="96" t="s">
        <v>561</v>
      </c>
      <c r="D1158" s="82" t="s">
        <v>571</v>
      </c>
      <c r="E1158" s="96">
        <v>2084422.0</v>
      </c>
      <c r="F1158" s="96" t="s">
        <v>1118</v>
      </c>
      <c r="G1158" s="96" t="s">
        <v>580</v>
      </c>
      <c r="H1158" s="90" t="s">
        <v>965</v>
      </c>
      <c r="I1158" s="80"/>
      <c r="J1158" s="80"/>
      <c r="K1158" s="80"/>
      <c r="L1158" s="80"/>
      <c r="M1158" s="80"/>
      <c r="N1158" s="80"/>
      <c r="O1158" s="80"/>
      <c r="P1158" s="80"/>
      <c r="Q1158" s="80"/>
      <c r="R1158" s="80"/>
      <c r="S1158" s="80"/>
    </row>
    <row r="1159" ht="40.5" customHeight="1">
      <c r="A1159" s="90" t="s">
        <v>560</v>
      </c>
      <c r="B1159" s="96" t="s">
        <v>561</v>
      </c>
      <c r="C1159" s="96" t="s">
        <v>561</v>
      </c>
      <c r="D1159" s="82" t="s">
        <v>572</v>
      </c>
      <c r="E1159" s="96">
        <v>2748568.0</v>
      </c>
      <c r="F1159" s="96" t="s">
        <v>1119</v>
      </c>
      <c r="G1159" s="96" t="s">
        <v>572</v>
      </c>
      <c r="H1159" s="90" t="s">
        <v>965</v>
      </c>
      <c r="I1159" s="80"/>
      <c r="J1159" s="80"/>
      <c r="K1159" s="80"/>
      <c r="L1159" s="80"/>
      <c r="M1159" s="80"/>
      <c r="N1159" s="80"/>
      <c r="O1159" s="80"/>
      <c r="P1159" s="80"/>
      <c r="Q1159" s="80"/>
      <c r="R1159" s="80"/>
      <c r="S1159" s="80"/>
    </row>
    <row r="1160" ht="40.5" customHeight="1">
      <c r="A1160" s="90" t="s">
        <v>560</v>
      </c>
      <c r="B1160" s="96" t="s">
        <v>561</v>
      </c>
      <c r="C1160" s="96" t="s">
        <v>561</v>
      </c>
      <c r="D1160" s="82" t="s">
        <v>573</v>
      </c>
      <c r="E1160" s="96">
        <v>2084422.0</v>
      </c>
      <c r="F1160" s="96" t="s">
        <v>1118</v>
      </c>
      <c r="G1160" s="96" t="s">
        <v>580</v>
      </c>
      <c r="H1160" s="90" t="s">
        <v>965</v>
      </c>
      <c r="I1160" s="80"/>
      <c r="J1160" s="80"/>
      <c r="K1160" s="80"/>
      <c r="L1160" s="80"/>
      <c r="M1160" s="80"/>
      <c r="N1160" s="80"/>
      <c r="O1160" s="80"/>
      <c r="P1160" s="80"/>
      <c r="Q1160" s="80"/>
      <c r="R1160" s="80"/>
      <c r="S1160" s="80"/>
    </row>
    <row r="1161" ht="40.5" customHeight="1">
      <c r="A1161" s="90" t="s">
        <v>560</v>
      </c>
      <c r="B1161" s="96" t="s">
        <v>561</v>
      </c>
      <c r="C1161" s="96" t="s">
        <v>561</v>
      </c>
      <c r="D1161" s="82" t="s">
        <v>574</v>
      </c>
      <c r="E1161" s="96">
        <v>2748568.0</v>
      </c>
      <c r="F1161" s="96" t="s">
        <v>1119</v>
      </c>
      <c r="G1161" s="96" t="s">
        <v>572</v>
      </c>
      <c r="H1161" s="90" t="s">
        <v>965</v>
      </c>
      <c r="I1161" s="80"/>
      <c r="J1161" s="80"/>
      <c r="K1161" s="80"/>
      <c r="L1161" s="80"/>
      <c r="M1161" s="80"/>
      <c r="N1161" s="80"/>
      <c r="O1161" s="80"/>
      <c r="P1161" s="80"/>
      <c r="Q1161" s="80"/>
      <c r="R1161" s="80"/>
      <c r="S1161" s="80"/>
    </row>
    <row r="1162" ht="40.5" customHeight="1">
      <c r="A1162" s="90" t="s">
        <v>560</v>
      </c>
      <c r="B1162" s="96" t="s">
        <v>561</v>
      </c>
      <c r="C1162" s="96" t="s">
        <v>561</v>
      </c>
      <c r="D1162" s="82" t="s">
        <v>575</v>
      </c>
      <c r="E1162" s="96">
        <v>2748568.0</v>
      </c>
      <c r="F1162" s="96" t="s">
        <v>1119</v>
      </c>
      <c r="G1162" s="96" t="s">
        <v>572</v>
      </c>
      <c r="H1162" s="90" t="s">
        <v>965</v>
      </c>
      <c r="I1162" s="80"/>
      <c r="J1162" s="80"/>
      <c r="K1162" s="80"/>
      <c r="L1162" s="80"/>
      <c r="M1162" s="80"/>
      <c r="N1162" s="80"/>
      <c r="O1162" s="80"/>
      <c r="P1162" s="80"/>
      <c r="Q1162" s="80"/>
      <c r="R1162" s="80"/>
      <c r="S1162" s="80"/>
    </row>
    <row r="1163" ht="40.5" customHeight="1">
      <c r="A1163" s="90" t="s">
        <v>560</v>
      </c>
      <c r="B1163" s="96" t="s">
        <v>561</v>
      </c>
      <c r="C1163" s="96" t="s">
        <v>561</v>
      </c>
      <c r="D1163" s="82" t="s">
        <v>561</v>
      </c>
      <c r="E1163" s="96">
        <v>2772310.0</v>
      </c>
      <c r="F1163" s="96" t="s">
        <v>914</v>
      </c>
      <c r="G1163" s="96" t="s">
        <v>561</v>
      </c>
      <c r="H1163" s="90" t="s">
        <v>965</v>
      </c>
      <c r="I1163" s="80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</row>
    <row r="1164" ht="40.5" customHeight="1">
      <c r="A1164" s="90" t="s">
        <v>560</v>
      </c>
      <c r="B1164" s="96" t="s">
        <v>561</v>
      </c>
      <c r="C1164" s="96" t="s">
        <v>561</v>
      </c>
      <c r="D1164" s="82" t="s">
        <v>561</v>
      </c>
      <c r="E1164" s="96">
        <v>2087057.0</v>
      </c>
      <c r="F1164" s="96" t="s">
        <v>915</v>
      </c>
      <c r="G1164" s="96" t="s">
        <v>561</v>
      </c>
      <c r="H1164" s="90" t="s">
        <v>965</v>
      </c>
      <c r="I1164" s="80"/>
      <c r="J1164" s="80"/>
      <c r="K1164" s="80"/>
      <c r="L1164" s="80"/>
      <c r="M1164" s="80"/>
      <c r="N1164" s="80"/>
      <c r="O1164" s="80"/>
      <c r="P1164" s="80"/>
      <c r="Q1164" s="80"/>
      <c r="R1164" s="80"/>
      <c r="S1164" s="80"/>
    </row>
    <row r="1165" ht="40.5" customHeight="1">
      <c r="A1165" s="90" t="s">
        <v>560</v>
      </c>
      <c r="B1165" s="96" t="s">
        <v>561</v>
      </c>
      <c r="C1165" s="96" t="s">
        <v>561</v>
      </c>
      <c r="D1165" s="82" t="s">
        <v>576</v>
      </c>
      <c r="E1165" s="96">
        <v>2748568.0</v>
      </c>
      <c r="F1165" s="96" t="s">
        <v>1119</v>
      </c>
      <c r="G1165" s="96" t="s">
        <v>572</v>
      </c>
      <c r="H1165" s="90" t="s">
        <v>965</v>
      </c>
      <c r="I1165" s="80"/>
      <c r="J1165" s="80"/>
      <c r="K1165" s="80"/>
      <c r="L1165" s="80"/>
      <c r="M1165" s="80"/>
      <c r="N1165" s="80"/>
      <c r="O1165" s="80"/>
      <c r="P1165" s="80"/>
      <c r="Q1165" s="80"/>
      <c r="R1165" s="80"/>
      <c r="S1165" s="80"/>
    </row>
    <row r="1166" ht="40.5" customHeight="1">
      <c r="A1166" s="90" t="s">
        <v>560</v>
      </c>
      <c r="B1166" s="96" t="s">
        <v>561</v>
      </c>
      <c r="C1166" s="96" t="s">
        <v>561</v>
      </c>
      <c r="D1166" s="82" t="s">
        <v>577</v>
      </c>
      <c r="E1166" s="96">
        <v>2772310.0</v>
      </c>
      <c r="F1166" s="96" t="s">
        <v>914</v>
      </c>
      <c r="G1166" s="96" t="s">
        <v>561</v>
      </c>
      <c r="H1166" s="90" t="s">
        <v>965</v>
      </c>
      <c r="I1166" s="80"/>
      <c r="J1166" s="80"/>
      <c r="K1166" s="80"/>
      <c r="L1166" s="80"/>
      <c r="M1166" s="80"/>
      <c r="N1166" s="80"/>
      <c r="O1166" s="80"/>
      <c r="P1166" s="80"/>
      <c r="Q1166" s="80"/>
      <c r="R1166" s="80"/>
      <c r="S1166" s="80"/>
    </row>
    <row r="1167" ht="40.5" customHeight="1">
      <c r="A1167" s="90" t="s">
        <v>560</v>
      </c>
      <c r="B1167" s="96" t="s">
        <v>561</v>
      </c>
      <c r="C1167" s="96" t="s">
        <v>561</v>
      </c>
      <c r="D1167" s="82" t="s">
        <v>577</v>
      </c>
      <c r="E1167" s="96">
        <v>2087057.0</v>
      </c>
      <c r="F1167" s="96" t="s">
        <v>915</v>
      </c>
      <c r="G1167" s="96" t="s">
        <v>561</v>
      </c>
      <c r="H1167" s="90" t="s">
        <v>965</v>
      </c>
      <c r="I1167" s="80"/>
      <c r="J1167" s="80"/>
      <c r="K1167" s="80"/>
      <c r="L1167" s="80"/>
      <c r="M1167" s="80"/>
      <c r="N1167" s="80"/>
      <c r="O1167" s="80"/>
      <c r="P1167" s="80"/>
      <c r="Q1167" s="80"/>
      <c r="R1167" s="80"/>
      <c r="S1167" s="80"/>
    </row>
    <row r="1168" ht="40.5" customHeight="1">
      <c r="A1168" s="90" t="s">
        <v>560</v>
      </c>
      <c r="B1168" s="96" t="s">
        <v>561</v>
      </c>
      <c r="C1168" s="96" t="s">
        <v>561</v>
      </c>
      <c r="D1168" s="82" t="s">
        <v>578</v>
      </c>
      <c r="E1168" s="96">
        <v>2772310.0</v>
      </c>
      <c r="F1168" s="96" t="s">
        <v>914</v>
      </c>
      <c r="G1168" s="96" t="s">
        <v>561</v>
      </c>
      <c r="H1168" s="90" t="s">
        <v>965</v>
      </c>
      <c r="I1168" s="80"/>
      <c r="J1168" s="80"/>
      <c r="K1168" s="80"/>
      <c r="L1168" s="80"/>
      <c r="M1168" s="80"/>
      <c r="N1168" s="80"/>
      <c r="O1168" s="80"/>
      <c r="P1168" s="80"/>
      <c r="Q1168" s="80"/>
      <c r="R1168" s="80"/>
      <c r="S1168" s="80"/>
    </row>
    <row r="1169" ht="40.5" customHeight="1">
      <c r="A1169" s="90" t="s">
        <v>560</v>
      </c>
      <c r="B1169" s="96" t="s">
        <v>561</v>
      </c>
      <c r="C1169" s="96" t="s">
        <v>561</v>
      </c>
      <c r="D1169" s="82" t="s">
        <v>578</v>
      </c>
      <c r="E1169" s="96">
        <v>2087057.0</v>
      </c>
      <c r="F1169" s="96" t="s">
        <v>915</v>
      </c>
      <c r="G1169" s="96" t="s">
        <v>561</v>
      </c>
      <c r="H1169" s="90" t="s">
        <v>965</v>
      </c>
      <c r="I1169" s="80"/>
      <c r="J1169" s="80"/>
      <c r="K1169" s="80"/>
      <c r="L1169" s="80"/>
      <c r="M1169" s="80"/>
      <c r="N1169" s="80"/>
      <c r="O1169" s="80"/>
      <c r="P1169" s="80"/>
      <c r="Q1169" s="80"/>
      <c r="R1169" s="80"/>
      <c r="S1169" s="80"/>
    </row>
    <row r="1170" ht="40.5" customHeight="1">
      <c r="A1170" s="90" t="s">
        <v>560</v>
      </c>
      <c r="B1170" s="96" t="s">
        <v>561</v>
      </c>
      <c r="C1170" s="96" t="s">
        <v>561</v>
      </c>
      <c r="D1170" s="82" t="s">
        <v>579</v>
      </c>
      <c r="E1170" s="96">
        <v>2084422.0</v>
      </c>
      <c r="F1170" s="96" t="s">
        <v>1118</v>
      </c>
      <c r="G1170" s="96" t="s">
        <v>580</v>
      </c>
      <c r="H1170" s="90" t="s">
        <v>965</v>
      </c>
      <c r="I1170" s="80"/>
      <c r="J1170" s="80"/>
      <c r="K1170" s="80"/>
      <c r="L1170" s="80"/>
      <c r="M1170" s="80"/>
      <c r="N1170" s="80"/>
      <c r="O1170" s="80"/>
      <c r="P1170" s="80"/>
      <c r="Q1170" s="80"/>
      <c r="R1170" s="80"/>
      <c r="S1170" s="80"/>
    </row>
    <row r="1171" ht="40.5" customHeight="1">
      <c r="A1171" s="90" t="s">
        <v>560</v>
      </c>
      <c r="B1171" s="96" t="s">
        <v>561</v>
      </c>
      <c r="C1171" s="96" t="s">
        <v>561</v>
      </c>
      <c r="D1171" s="82" t="s">
        <v>580</v>
      </c>
      <c r="E1171" s="96">
        <v>2084422.0</v>
      </c>
      <c r="F1171" s="96" t="s">
        <v>1118</v>
      </c>
      <c r="G1171" s="96" t="s">
        <v>580</v>
      </c>
      <c r="H1171" s="90" t="s">
        <v>965</v>
      </c>
      <c r="I1171" s="80"/>
      <c r="J1171" s="80"/>
      <c r="K1171" s="80"/>
      <c r="L1171" s="80"/>
      <c r="M1171" s="80"/>
      <c r="N1171" s="80"/>
      <c r="O1171" s="80"/>
      <c r="P1171" s="80"/>
      <c r="Q1171" s="80"/>
      <c r="R1171" s="80"/>
      <c r="S1171" s="80"/>
    </row>
    <row r="1172" ht="40.5" customHeight="1">
      <c r="A1172" s="90" t="s">
        <v>560</v>
      </c>
      <c r="B1172" s="96" t="s">
        <v>561</v>
      </c>
      <c r="C1172" s="96" t="s">
        <v>581</v>
      </c>
      <c r="D1172" s="82" t="s">
        <v>582</v>
      </c>
      <c r="E1172" s="96">
        <v>2082888.0</v>
      </c>
      <c r="F1172" s="96" t="s">
        <v>1120</v>
      </c>
      <c r="G1172" s="96" t="s">
        <v>581</v>
      </c>
      <c r="H1172" s="90" t="s">
        <v>965</v>
      </c>
      <c r="I1172" s="80"/>
      <c r="J1172" s="80"/>
      <c r="K1172" s="80"/>
      <c r="L1172" s="80"/>
      <c r="M1172" s="80"/>
      <c r="N1172" s="80"/>
      <c r="O1172" s="80"/>
      <c r="P1172" s="80"/>
      <c r="Q1172" s="80"/>
      <c r="R1172" s="80"/>
      <c r="S1172" s="80"/>
    </row>
    <row r="1173" ht="40.5" customHeight="1">
      <c r="A1173" s="90" t="s">
        <v>560</v>
      </c>
      <c r="B1173" s="96" t="s">
        <v>561</v>
      </c>
      <c r="C1173" s="96" t="s">
        <v>581</v>
      </c>
      <c r="D1173" s="82" t="s">
        <v>583</v>
      </c>
      <c r="E1173" s="96">
        <v>2082888.0</v>
      </c>
      <c r="F1173" s="96" t="s">
        <v>1120</v>
      </c>
      <c r="G1173" s="96" t="s">
        <v>581</v>
      </c>
      <c r="H1173" s="90" t="s">
        <v>965</v>
      </c>
      <c r="I1173" s="80"/>
      <c r="J1173" s="80"/>
      <c r="K1173" s="80"/>
      <c r="L1173" s="80"/>
      <c r="M1173" s="80"/>
      <c r="N1173" s="80"/>
      <c r="O1173" s="80"/>
      <c r="P1173" s="80"/>
      <c r="Q1173" s="80"/>
      <c r="R1173" s="80"/>
      <c r="S1173" s="80"/>
    </row>
    <row r="1174" ht="40.5" customHeight="1">
      <c r="A1174" s="90" t="s">
        <v>560</v>
      </c>
      <c r="B1174" s="96" t="s">
        <v>561</v>
      </c>
      <c r="C1174" s="96" t="s">
        <v>581</v>
      </c>
      <c r="D1174" s="82" t="s">
        <v>584</v>
      </c>
      <c r="E1174" s="96">
        <v>2082888.0</v>
      </c>
      <c r="F1174" s="96" t="s">
        <v>1120</v>
      </c>
      <c r="G1174" s="96" t="s">
        <v>581</v>
      </c>
      <c r="H1174" s="90" t="s">
        <v>965</v>
      </c>
      <c r="I1174" s="80"/>
      <c r="J1174" s="80"/>
      <c r="K1174" s="80"/>
      <c r="L1174" s="80"/>
      <c r="M1174" s="80"/>
      <c r="N1174" s="80"/>
      <c r="O1174" s="80"/>
      <c r="P1174" s="80"/>
      <c r="Q1174" s="80"/>
      <c r="R1174" s="80"/>
      <c r="S1174" s="80"/>
    </row>
    <row r="1175" ht="40.5" customHeight="1">
      <c r="A1175" s="90" t="s">
        <v>560</v>
      </c>
      <c r="B1175" s="96" t="s">
        <v>561</v>
      </c>
      <c r="C1175" s="96" t="s">
        <v>581</v>
      </c>
      <c r="D1175" s="82" t="s">
        <v>585</v>
      </c>
      <c r="E1175" s="96">
        <v>2082888.0</v>
      </c>
      <c r="F1175" s="96" t="s">
        <v>1120</v>
      </c>
      <c r="G1175" s="96" t="s">
        <v>581</v>
      </c>
      <c r="H1175" s="90" t="s">
        <v>965</v>
      </c>
      <c r="I1175" s="80"/>
      <c r="J1175" s="80"/>
      <c r="K1175" s="80"/>
      <c r="L1175" s="80"/>
      <c r="M1175" s="80"/>
      <c r="N1175" s="80"/>
      <c r="O1175" s="80"/>
      <c r="P1175" s="80"/>
      <c r="Q1175" s="80"/>
      <c r="R1175" s="80"/>
      <c r="S1175" s="80"/>
    </row>
    <row r="1176" ht="40.5" customHeight="1">
      <c r="A1176" s="90" t="s">
        <v>560</v>
      </c>
      <c r="B1176" s="96" t="s">
        <v>561</v>
      </c>
      <c r="C1176" s="96" t="s">
        <v>581</v>
      </c>
      <c r="D1176" s="82" t="s">
        <v>581</v>
      </c>
      <c r="E1176" s="96">
        <v>2082888.0</v>
      </c>
      <c r="F1176" s="96" t="s">
        <v>1120</v>
      </c>
      <c r="G1176" s="96" t="s">
        <v>581</v>
      </c>
      <c r="H1176" s="90" t="s">
        <v>965</v>
      </c>
      <c r="I1176" s="80"/>
      <c r="J1176" s="80"/>
      <c r="K1176" s="80"/>
      <c r="L1176" s="80"/>
      <c r="M1176" s="80"/>
      <c r="N1176" s="80"/>
      <c r="O1176" s="80"/>
      <c r="P1176" s="80"/>
      <c r="Q1176" s="80"/>
      <c r="R1176" s="80"/>
      <c r="S1176" s="80"/>
    </row>
    <row r="1177" ht="40.5" customHeight="1">
      <c r="A1177" s="90" t="s">
        <v>560</v>
      </c>
      <c r="B1177" s="96" t="s">
        <v>561</v>
      </c>
      <c r="C1177" s="96" t="s">
        <v>581</v>
      </c>
      <c r="D1177" s="82" t="s">
        <v>586</v>
      </c>
      <c r="E1177" s="96">
        <v>2082888.0</v>
      </c>
      <c r="F1177" s="96" t="s">
        <v>1120</v>
      </c>
      <c r="G1177" s="96" t="s">
        <v>581</v>
      </c>
      <c r="H1177" s="90" t="s">
        <v>965</v>
      </c>
      <c r="I1177" s="80"/>
      <c r="J1177" s="80"/>
      <c r="K1177" s="80"/>
      <c r="L1177" s="80"/>
      <c r="M1177" s="80"/>
      <c r="N1177" s="80"/>
      <c r="O1177" s="80"/>
      <c r="P1177" s="80"/>
      <c r="Q1177" s="80"/>
      <c r="R1177" s="80"/>
      <c r="S1177" s="80"/>
    </row>
    <row r="1178" ht="40.5" customHeight="1">
      <c r="A1178" s="90" t="s">
        <v>587</v>
      </c>
      <c r="B1178" s="96" t="s">
        <v>588</v>
      </c>
      <c r="C1178" s="96" t="s">
        <v>589</v>
      </c>
      <c r="D1178" s="96" t="s">
        <v>590</v>
      </c>
      <c r="E1178" s="96">
        <v>2077558.0</v>
      </c>
      <c r="F1178" s="96" t="s">
        <v>1121</v>
      </c>
      <c r="G1178" s="96" t="s">
        <v>590</v>
      </c>
      <c r="H1178" s="90" t="s">
        <v>965</v>
      </c>
      <c r="I1178" s="80"/>
      <c r="J1178" s="80"/>
      <c r="K1178" s="80"/>
      <c r="L1178" s="80"/>
      <c r="M1178" s="80"/>
      <c r="N1178" s="80"/>
      <c r="O1178" s="80"/>
      <c r="P1178" s="80"/>
      <c r="Q1178" s="80"/>
      <c r="R1178" s="80"/>
      <c r="S1178" s="80"/>
    </row>
    <row r="1179" ht="40.5" customHeight="1">
      <c r="A1179" s="90" t="s">
        <v>587</v>
      </c>
      <c r="B1179" s="96" t="s">
        <v>588</v>
      </c>
      <c r="C1179" s="96" t="s">
        <v>591</v>
      </c>
      <c r="D1179" s="96" t="s">
        <v>592</v>
      </c>
      <c r="E1179" s="96">
        <v>2058790.0</v>
      </c>
      <c r="F1179" s="96" t="s">
        <v>1122</v>
      </c>
      <c r="G1179" s="96" t="s">
        <v>592</v>
      </c>
      <c r="H1179" s="90" t="s">
        <v>965</v>
      </c>
      <c r="I1179" s="80"/>
      <c r="J1179" s="80"/>
      <c r="K1179" s="80"/>
      <c r="L1179" s="80"/>
      <c r="M1179" s="80"/>
      <c r="N1179" s="80"/>
      <c r="O1179" s="80"/>
      <c r="P1179" s="80"/>
      <c r="Q1179" s="80"/>
      <c r="R1179" s="80"/>
      <c r="S1179" s="80"/>
    </row>
    <row r="1180" ht="40.5" customHeight="1">
      <c r="A1180" s="90" t="s">
        <v>587</v>
      </c>
      <c r="B1180" s="96" t="s">
        <v>588</v>
      </c>
      <c r="C1180" s="96" t="s">
        <v>589</v>
      </c>
      <c r="D1180" s="96" t="s">
        <v>594</v>
      </c>
      <c r="E1180" s="96">
        <v>2078848.0</v>
      </c>
      <c r="F1180" s="96" t="s">
        <v>1123</v>
      </c>
      <c r="G1180" s="96" t="s">
        <v>594</v>
      </c>
      <c r="H1180" s="90" t="s">
        <v>965</v>
      </c>
      <c r="I1180" s="80"/>
      <c r="J1180" s="80"/>
      <c r="K1180" s="80"/>
      <c r="L1180" s="80"/>
      <c r="M1180" s="80"/>
      <c r="N1180" s="80"/>
      <c r="O1180" s="80"/>
      <c r="P1180" s="80"/>
      <c r="Q1180" s="80"/>
      <c r="R1180" s="80"/>
      <c r="S1180" s="80"/>
    </row>
    <row r="1181" ht="40.5" customHeight="1">
      <c r="A1181" s="90" t="s">
        <v>587</v>
      </c>
      <c r="B1181" s="96" t="s">
        <v>588</v>
      </c>
      <c r="C1181" s="96" t="s">
        <v>591</v>
      </c>
      <c r="D1181" s="96" t="s">
        <v>595</v>
      </c>
      <c r="E1181" s="96">
        <v>2037297.0</v>
      </c>
      <c r="F1181" s="96" t="s">
        <v>1124</v>
      </c>
      <c r="G1181" s="96" t="s">
        <v>595</v>
      </c>
      <c r="H1181" s="90" t="s">
        <v>965</v>
      </c>
      <c r="I1181" s="80"/>
      <c r="J1181" s="80"/>
      <c r="K1181" s="80"/>
      <c r="L1181" s="80"/>
      <c r="M1181" s="80"/>
      <c r="N1181" s="80"/>
      <c r="O1181" s="80"/>
      <c r="P1181" s="80"/>
      <c r="Q1181" s="80"/>
      <c r="R1181" s="80"/>
      <c r="S1181" s="80"/>
    </row>
    <row r="1182" ht="40.5" customHeight="1">
      <c r="A1182" s="90" t="s">
        <v>587</v>
      </c>
      <c r="B1182" s="96" t="s">
        <v>588</v>
      </c>
      <c r="C1182" s="96" t="s">
        <v>591</v>
      </c>
      <c r="D1182" s="96" t="s">
        <v>588</v>
      </c>
      <c r="E1182" s="96">
        <v>2082128.0</v>
      </c>
      <c r="F1182" s="96" t="s">
        <v>1125</v>
      </c>
      <c r="G1182" s="96" t="s">
        <v>588</v>
      </c>
      <c r="H1182" s="90" t="s">
        <v>965</v>
      </c>
      <c r="I1182" s="80"/>
      <c r="J1182" s="80"/>
      <c r="K1182" s="80"/>
      <c r="L1182" s="80"/>
      <c r="M1182" s="80"/>
      <c r="N1182" s="80"/>
      <c r="O1182" s="80"/>
      <c r="P1182" s="80"/>
      <c r="Q1182" s="80"/>
      <c r="R1182" s="80"/>
      <c r="S1182" s="80"/>
    </row>
    <row r="1183" ht="40.5" customHeight="1">
      <c r="A1183" s="90" t="s">
        <v>587</v>
      </c>
      <c r="B1183" s="96" t="s">
        <v>588</v>
      </c>
      <c r="C1183" s="96" t="s">
        <v>591</v>
      </c>
      <c r="D1183" s="96" t="s">
        <v>588</v>
      </c>
      <c r="E1183" s="96">
        <v>2022621.0</v>
      </c>
      <c r="F1183" s="96" t="s">
        <v>1126</v>
      </c>
      <c r="G1183" s="96" t="s">
        <v>588</v>
      </c>
      <c r="H1183" s="90" t="s">
        <v>965</v>
      </c>
      <c r="I1183" s="80"/>
      <c r="J1183" s="80"/>
      <c r="K1183" s="80"/>
      <c r="L1183" s="80"/>
      <c r="M1183" s="80"/>
      <c r="N1183" s="80"/>
      <c r="O1183" s="80"/>
      <c r="P1183" s="80"/>
      <c r="Q1183" s="80"/>
      <c r="R1183" s="80"/>
      <c r="S1183" s="80"/>
    </row>
    <row r="1184" ht="40.5" customHeight="1">
      <c r="A1184" s="90" t="s">
        <v>587</v>
      </c>
      <c r="B1184" s="96" t="s">
        <v>588</v>
      </c>
      <c r="C1184" s="96" t="s">
        <v>591</v>
      </c>
      <c r="D1184" s="96" t="s">
        <v>598</v>
      </c>
      <c r="E1184" s="96">
        <v>2023644.0</v>
      </c>
      <c r="F1184" s="96" t="s">
        <v>1127</v>
      </c>
      <c r="G1184" s="96" t="s">
        <v>598</v>
      </c>
      <c r="H1184" s="90" t="s">
        <v>965</v>
      </c>
      <c r="I1184" s="80"/>
      <c r="J1184" s="80"/>
      <c r="K1184" s="80"/>
      <c r="L1184" s="80"/>
      <c r="M1184" s="80"/>
      <c r="N1184" s="80"/>
      <c r="O1184" s="80"/>
      <c r="P1184" s="80"/>
      <c r="Q1184" s="80"/>
      <c r="R1184" s="80"/>
      <c r="S1184" s="80"/>
    </row>
    <row r="1185" ht="40.5" customHeight="1">
      <c r="A1185" s="90" t="s">
        <v>587</v>
      </c>
      <c r="B1185" s="96" t="s">
        <v>588</v>
      </c>
      <c r="C1185" s="96" t="s">
        <v>591</v>
      </c>
      <c r="D1185" s="96" t="s">
        <v>600</v>
      </c>
      <c r="E1185" s="96">
        <v>2023474.0</v>
      </c>
      <c r="F1185" s="96" t="s">
        <v>1128</v>
      </c>
      <c r="G1185" s="96" t="s">
        <v>606</v>
      </c>
      <c r="H1185" s="90" t="s">
        <v>965</v>
      </c>
      <c r="I1185" s="80"/>
      <c r="J1185" s="80"/>
      <c r="K1185" s="80"/>
      <c r="L1185" s="80"/>
      <c r="M1185" s="80"/>
      <c r="N1185" s="80"/>
      <c r="O1185" s="80"/>
      <c r="P1185" s="80"/>
      <c r="Q1185" s="80"/>
      <c r="R1185" s="80"/>
      <c r="S1185" s="80"/>
    </row>
    <row r="1186" ht="40.5" customHeight="1">
      <c r="A1186" s="90" t="s">
        <v>587</v>
      </c>
      <c r="B1186" s="96" t="s">
        <v>588</v>
      </c>
      <c r="C1186" s="96" t="s">
        <v>591</v>
      </c>
      <c r="D1186" s="96" t="s">
        <v>601</v>
      </c>
      <c r="E1186" s="96">
        <v>2087715.0</v>
      </c>
      <c r="F1186" s="96" t="s">
        <v>1129</v>
      </c>
      <c r="G1186" s="96" t="s">
        <v>601</v>
      </c>
      <c r="H1186" s="90" t="s">
        <v>965</v>
      </c>
      <c r="I1186" s="80"/>
      <c r="J1186" s="80"/>
      <c r="K1186" s="80"/>
      <c r="L1186" s="80"/>
      <c r="M1186" s="80"/>
      <c r="N1186" s="80"/>
      <c r="O1186" s="80"/>
      <c r="P1186" s="80"/>
      <c r="Q1186" s="80"/>
      <c r="R1186" s="80"/>
      <c r="S1186" s="80"/>
    </row>
    <row r="1187" ht="40.5" customHeight="1">
      <c r="A1187" s="90" t="s">
        <v>587</v>
      </c>
      <c r="B1187" s="96" t="s">
        <v>588</v>
      </c>
      <c r="C1187" s="96" t="s">
        <v>591</v>
      </c>
      <c r="D1187" s="96" t="s">
        <v>603</v>
      </c>
      <c r="E1187" s="96">
        <v>5075688.0</v>
      </c>
      <c r="F1187" s="96" t="s">
        <v>1130</v>
      </c>
      <c r="G1187" s="96" t="s">
        <v>603</v>
      </c>
      <c r="H1187" s="90" t="s">
        <v>965</v>
      </c>
      <c r="I1187" s="80"/>
      <c r="J1187" s="80"/>
      <c r="K1187" s="80"/>
      <c r="L1187" s="80"/>
      <c r="M1187" s="80"/>
      <c r="N1187" s="80"/>
      <c r="O1187" s="80"/>
      <c r="P1187" s="80"/>
      <c r="Q1187" s="80"/>
      <c r="R1187" s="80"/>
      <c r="S1187" s="80"/>
    </row>
    <row r="1188" ht="40.5" customHeight="1">
      <c r="A1188" s="90" t="s">
        <v>587</v>
      </c>
      <c r="B1188" s="96" t="s">
        <v>588</v>
      </c>
      <c r="C1188" s="96" t="s">
        <v>591</v>
      </c>
      <c r="D1188" s="96" t="s">
        <v>604</v>
      </c>
      <c r="E1188" s="96">
        <v>2023709.0</v>
      </c>
      <c r="F1188" s="96" t="s">
        <v>1131</v>
      </c>
      <c r="G1188" s="96" t="s">
        <v>604</v>
      </c>
      <c r="H1188" s="90" t="s">
        <v>965</v>
      </c>
      <c r="I1188" s="80"/>
      <c r="J1188" s="80"/>
      <c r="K1188" s="80"/>
      <c r="L1188" s="80"/>
      <c r="M1188" s="80"/>
      <c r="N1188" s="80"/>
      <c r="O1188" s="80"/>
      <c r="P1188" s="80"/>
      <c r="Q1188" s="80"/>
      <c r="R1188" s="80"/>
      <c r="S1188" s="80"/>
    </row>
    <row r="1189" ht="40.5" customHeight="1">
      <c r="A1189" s="90" t="s">
        <v>587</v>
      </c>
      <c r="B1189" s="96" t="s">
        <v>588</v>
      </c>
      <c r="C1189" s="96" t="s">
        <v>591</v>
      </c>
      <c r="D1189" s="96" t="s">
        <v>606</v>
      </c>
      <c r="E1189" s="96">
        <v>2023474.0</v>
      </c>
      <c r="F1189" s="96" t="s">
        <v>1128</v>
      </c>
      <c r="G1189" s="96" t="s">
        <v>606</v>
      </c>
      <c r="H1189" s="90" t="s">
        <v>965</v>
      </c>
      <c r="I1189" s="80"/>
      <c r="J1189" s="80"/>
      <c r="K1189" s="80"/>
      <c r="L1189" s="80"/>
      <c r="M1189" s="80"/>
      <c r="N1189" s="80"/>
      <c r="O1189" s="80"/>
      <c r="P1189" s="80"/>
      <c r="Q1189" s="80"/>
      <c r="R1189" s="80"/>
      <c r="S1189" s="80"/>
    </row>
    <row r="1190" ht="40.5" customHeight="1">
      <c r="A1190" s="90" t="s">
        <v>587</v>
      </c>
      <c r="B1190" s="96" t="s">
        <v>588</v>
      </c>
      <c r="C1190" s="96" t="s">
        <v>589</v>
      </c>
      <c r="D1190" s="96" t="s">
        <v>608</v>
      </c>
      <c r="E1190" s="102"/>
      <c r="F1190" s="102"/>
      <c r="G1190" s="105"/>
      <c r="H1190" s="90" t="s">
        <v>965</v>
      </c>
      <c r="I1190" s="80"/>
      <c r="J1190" s="80"/>
      <c r="K1190" s="80"/>
      <c r="L1190" s="80"/>
      <c r="M1190" s="80"/>
      <c r="N1190" s="80"/>
      <c r="O1190" s="80"/>
      <c r="P1190" s="80"/>
      <c r="Q1190" s="80"/>
      <c r="R1190" s="80"/>
      <c r="S1190" s="80"/>
    </row>
    <row r="1191" ht="40.5" customHeight="1">
      <c r="A1191" s="90" t="s">
        <v>587</v>
      </c>
      <c r="B1191" s="96" t="s">
        <v>588</v>
      </c>
      <c r="C1191" s="96" t="s">
        <v>589</v>
      </c>
      <c r="D1191" s="96" t="s">
        <v>609</v>
      </c>
      <c r="E1191" s="96">
        <v>2078848.0</v>
      </c>
      <c r="F1191" s="96" t="s">
        <v>1123</v>
      </c>
      <c r="G1191" s="96" t="s">
        <v>594</v>
      </c>
      <c r="H1191" s="90" t="s">
        <v>965</v>
      </c>
      <c r="I1191" s="80"/>
      <c r="J1191" s="80"/>
      <c r="K1191" s="80"/>
      <c r="L1191" s="80"/>
      <c r="M1191" s="80"/>
      <c r="N1191" s="80"/>
      <c r="O1191" s="80"/>
      <c r="P1191" s="80"/>
      <c r="Q1191" s="80"/>
      <c r="R1191" s="80"/>
      <c r="S1191" s="80"/>
    </row>
    <row r="1192" ht="40.5" customHeight="1">
      <c r="A1192" s="90" t="s">
        <v>587</v>
      </c>
      <c r="B1192" s="96" t="s">
        <v>588</v>
      </c>
      <c r="C1192" s="96" t="s">
        <v>591</v>
      </c>
      <c r="D1192" s="96" t="s">
        <v>611</v>
      </c>
      <c r="E1192" s="96">
        <v>2078341.0</v>
      </c>
      <c r="F1192" s="96" t="s">
        <v>1132</v>
      </c>
      <c r="G1192" s="96" t="s">
        <v>611</v>
      </c>
      <c r="H1192" s="90" t="s">
        <v>965</v>
      </c>
      <c r="I1192" s="80"/>
      <c r="J1192" s="80"/>
      <c r="K1192" s="80"/>
      <c r="L1192" s="80"/>
      <c r="M1192" s="80"/>
      <c r="N1192" s="80"/>
      <c r="O1192" s="80"/>
      <c r="P1192" s="80"/>
      <c r="Q1192" s="80"/>
      <c r="R1192" s="80"/>
      <c r="S1192" s="80"/>
    </row>
    <row r="1193" ht="40.5" customHeight="1">
      <c r="A1193" s="90" t="s">
        <v>587</v>
      </c>
      <c r="B1193" s="96" t="s">
        <v>588</v>
      </c>
      <c r="C1193" s="96" t="s">
        <v>591</v>
      </c>
      <c r="D1193" s="96" t="s">
        <v>613</v>
      </c>
      <c r="E1193" s="96">
        <v>2023709.0</v>
      </c>
      <c r="F1193" s="96" t="s">
        <v>1131</v>
      </c>
      <c r="G1193" s="96" t="s">
        <v>604</v>
      </c>
      <c r="H1193" s="90" t="s">
        <v>965</v>
      </c>
      <c r="I1193" s="80"/>
      <c r="J1193" s="80"/>
      <c r="K1193" s="80"/>
      <c r="L1193" s="80"/>
      <c r="M1193" s="80"/>
      <c r="N1193" s="80"/>
      <c r="O1193" s="80"/>
      <c r="P1193" s="80"/>
      <c r="Q1193" s="80"/>
      <c r="R1193" s="80"/>
      <c r="S1193" s="80"/>
    </row>
    <row r="1194" ht="40.5" customHeight="1">
      <c r="A1194" s="90" t="s">
        <v>587</v>
      </c>
      <c r="B1194" s="96" t="s">
        <v>588</v>
      </c>
      <c r="C1194" s="96" t="s">
        <v>591</v>
      </c>
      <c r="D1194" s="96" t="s">
        <v>614</v>
      </c>
      <c r="E1194" s="96">
        <v>2058308.0</v>
      </c>
      <c r="F1194" s="96" t="s">
        <v>1133</v>
      </c>
      <c r="G1194" s="82" t="s">
        <v>614</v>
      </c>
      <c r="H1194" s="90" t="s">
        <v>965</v>
      </c>
      <c r="I1194" s="80"/>
      <c r="J1194" s="80"/>
      <c r="K1194" s="80"/>
      <c r="L1194" s="80"/>
      <c r="M1194" s="80"/>
      <c r="N1194" s="80"/>
      <c r="O1194" s="80"/>
      <c r="P1194" s="80"/>
      <c r="Q1194" s="80"/>
      <c r="R1194" s="80"/>
      <c r="S1194" s="80"/>
    </row>
    <row r="1195" ht="40.5" customHeight="1">
      <c r="A1195" s="90" t="s">
        <v>587</v>
      </c>
      <c r="B1195" s="96" t="s">
        <v>588</v>
      </c>
      <c r="C1195" s="96" t="s">
        <v>591</v>
      </c>
      <c r="D1195" s="96" t="s">
        <v>616</v>
      </c>
      <c r="E1195" s="96">
        <v>2051059.0</v>
      </c>
      <c r="F1195" s="96" t="s">
        <v>1134</v>
      </c>
      <c r="G1195" s="96" t="s">
        <v>616</v>
      </c>
      <c r="H1195" s="90" t="s">
        <v>965</v>
      </c>
      <c r="I1195" s="80"/>
      <c r="J1195" s="80"/>
      <c r="K1195" s="80"/>
      <c r="L1195" s="80"/>
      <c r="M1195" s="80"/>
      <c r="N1195" s="80"/>
      <c r="O1195" s="80"/>
      <c r="P1195" s="80"/>
      <c r="Q1195" s="80"/>
      <c r="R1195" s="80"/>
      <c r="S1195" s="80"/>
    </row>
    <row r="1196" ht="40.5" customHeight="1">
      <c r="A1196" s="90" t="s">
        <v>587</v>
      </c>
      <c r="B1196" s="96" t="s">
        <v>588</v>
      </c>
      <c r="C1196" s="96" t="s">
        <v>591</v>
      </c>
      <c r="D1196" s="96" t="s">
        <v>618</v>
      </c>
      <c r="E1196" s="96">
        <v>2023474.0</v>
      </c>
      <c r="F1196" s="96" t="s">
        <v>1128</v>
      </c>
      <c r="G1196" s="100" t="s">
        <v>606</v>
      </c>
      <c r="H1196" s="90" t="s">
        <v>965</v>
      </c>
      <c r="I1196" s="80"/>
      <c r="J1196" s="80"/>
      <c r="K1196" s="80"/>
      <c r="L1196" s="80"/>
      <c r="M1196" s="80"/>
      <c r="N1196" s="80"/>
      <c r="O1196" s="80"/>
      <c r="P1196" s="80"/>
      <c r="Q1196" s="80"/>
      <c r="R1196" s="80"/>
      <c r="S1196" s="80"/>
    </row>
    <row r="1197" ht="40.5" customHeight="1">
      <c r="A1197" s="90" t="s">
        <v>587</v>
      </c>
      <c r="B1197" s="96" t="s">
        <v>588</v>
      </c>
      <c r="C1197" s="96" t="s">
        <v>591</v>
      </c>
      <c r="D1197" s="96" t="s">
        <v>620</v>
      </c>
      <c r="E1197" s="96">
        <v>2079232.0</v>
      </c>
      <c r="F1197" s="96" t="s">
        <v>1135</v>
      </c>
      <c r="G1197" s="100" t="s">
        <v>927</v>
      </c>
      <c r="H1197" s="90" t="s">
        <v>965</v>
      </c>
      <c r="I1197" s="80"/>
      <c r="J1197" s="80"/>
      <c r="K1197" s="80"/>
      <c r="L1197" s="80"/>
      <c r="M1197" s="80"/>
      <c r="N1197" s="80"/>
      <c r="O1197" s="80"/>
      <c r="P1197" s="80"/>
      <c r="Q1197" s="80"/>
      <c r="R1197" s="80"/>
      <c r="S1197" s="80"/>
    </row>
    <row r="1198" ht="40.5" customHeight="1">
      <c r="A1198" s="90" t="s">
        <v>587</v>
      </c>
      <c r="B1198" s="96" t="s">
        <v>588</v>
      </c>
      <c r="C1198" s="96" t="s">
        <v>591</v>
      </c>
      <c r="D1198" s="96" t="s">
        <v>622</v>
      </c>
      <c r="E1198" s="96">
        <v>2078848.0</v>
      </c>
      <c r="F1198" s="96" t="s">
        <v>1123</v>
      </c>
      <c r="G1198" s="96" t="s">
        <v>594</v>
      </c>
      <c r="H1198" s="90" t="s">
        <v>965</v>
      </c>
      <c r="I1198" s="80"/>
      <c r="J1198" s="80"/>
      <c r="K1198" s="80"/>
      <c r="L1198" s="80"/>
      <c r="M1198" s="80"/>
      <c r="N1198" s="80"/>
      <c r="O1198" s="80"/>
      <c r="P1198" s="80"/>
      <c r="Q1198" s="80"/>
      <c r="R1198" s="80"/>
      <c r="S1198" s="80"/>
    </row>
    <row r="1199" ht="40.5" customHeight="1">
      <c r="A1199" s="90" t="s">
        <v>587</v>
      </c>
      <c r="B1199" s="96" t="s">
        <v>588</v>
      </c>
      <c r="C1199" s="96" t="s">
        <v>589</v>
      </c>
      <c r="D1199" s="96" t="s">
        <v>624</v>
      </c>
      <c r="E1199" s="96">
        <v>2081393.0</v>
      </c>
      <c r="F1199" s="96" t="s">
        <v>1136</v>
      </c>
      <c r="G1199" s="96" t="s">
        <v>624</v>
      </c>
      <c r="H1199" s="90" t="s">
        <v>965</v>
      </c>
      <c r="I1199" s="80"/>
      <c r="J1199" s="80"/>
      <c r="K1199" s="80"/>
      <c r="L1199" s="80"/>
      <c r="M1199" s="80"/>
      <c r="N1199" s="80"/>
      <c r="O1199" s="80"/>
      <c r="P1199" s="80"/>
      <c r="Q1199" s="80"/>
      <c r="R1199" s="80"/>
      <c r="S1199" s="80"/>
    </row>
    <row r="1200" ht="40.5" customHeight="1">
      <c r="A1200" s="90" t="s">
        <v>587</v>
      </c>
      <c r="B1200" s="96" t="s">
        <v>588</v>
      </c>
      <c r="C1200" s="96" t="s">
        <v>591</v>
      </c>
      <c r="D1200" s="96" t="s">
        <v>625</v>
      </c>
      <c r="E1200" s="96">
        <v>2083981.0</v>
      </c>
      <c r="F1200" s="96" t="s">
        <v>918</v>
      </c>
      <c r="G1200" s="96" t="s">
        <v>625</v>
      </c>
      <c r="H1200" s="90" t="s">
        <v>965</v>
      </c>
      <c r="I1200" s="80"/>
      <c r="J1200" s="80"/>
      <c r="K1200" s="80"/>
      <c r="L1200" s="80"/>
      <c r="M1200" s="80"/>
      <c r="N1200" s="80"/>
      <c r="O1200" s="80"/>
      <c r="P1200" s="80"/>
      <c r="Q1200" s="80"/>
      <c r="R1200" s="80"/>
      <c r="S1200" s="80"/>
    </row>
    <row r="1201" ht="40.5" customHeight="1">
      <c r="A1201" s="90" t="s">
        <v>587</v>
      </c>
      <c r="B1201" s="96" t="s">
        <v>588</v>
      </c>
      <c r="C1201" s="96" t="s">
        <v>591</v>
      </c>
      <c r="D1201" s="96" t="s">
        <v>627</v>
      </c>
      <c r="E1201" s="96">
        <v>2097877.0</v>
      </c>
      <c r="F1201" s="96" t="s">
        <v>1137</v>
      </c>
      <c r="G1201" s="96" t="s">
        <v>627</v>
      </c>
      <c r="H1201" s="90" t="s">
        <v>965</v>
      </c>
      <c r="I1201" s="80"/>
      <c r="J1201" s="80"/>
      <c r="K1201" s="80"/>
      <c r="L1201" s="80"/>
      <c r="M1201" s="80"/>
      <c r="N1201" s="80"/>
      <c r="O1201" s="80"/>
      <c r="P1201" s="80"/>
      <c r="Q1201" s="80"/>
      <c r="R1201" s="80"/>
      <c r="S1201" s="80"/>
    </row>
    <row r="1202" ht="40.5" customHeight="1">
      <c r="A1202" s="90" t="s">
        <v>587</v>
      </c>
      <c r="B1202" s="96" t="s">
        <v>588</v>
      </c>
      <c r="C1202" s="96" t="s">
        <v>591</v>
      </c>
      <c r="D1202" s="96" t="s">
        <v>629</v>
      </c>
      <c r="E1202" s="96">
        <v>2699915.0</v>
      </c>
      <c r="F1202" s="96" t="s">
        <v>1138</v>
      </c>
      <c r="G1202" s="96" t="s">
        <v>629</v>
      </c>
      <c r="H1202" s="90" t="s">
        <v>965</v>
      </c>
      <c r="I1202" s="80"/>
      <c r="J1202" s="80"/>
      <c r="K1202" s="80"/>
      <c r="L1202" s="80"/>
      <c r="M1202" s="80"/>
      <c r="N1202" s="80"/>
      <c r="O1202" s="80"/>
      <c r="P1202" s="80"/>
      <c r="Q1202" s="80"/>
      <c r="R1202" s="80"/>
      <c r="S1202" s="80"/>
    </row>
    <row r="1203" ht="40.5" customHeight="1">
      <c r="A1203" s="90" t="s">
        <v>587</v>
      </c>
      <c r="B1203" s="82" t="s">
        <v>630</v>
      </c>
      <c r="C1203" s="82" t="s">
        <v>631</v>
      </c>
      <c r="D1203" s="82" t="s">
        <v>632</v>
      </c>
      <c r="E1203" s="82">
        <v>2084228.0</v>
      </c>
      <c r="F1203" s="82" t="s">
        <v>1139</v>
      </c>
      <c r="G1203" s="82" t="s">
        <v>630</v>
      </c>
      <c r="H1203" s="90" t="s">
        <v>965</v>
      </c>
      <c r="I1203" s="80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</row>
    <row r="1204" ht="40.5" customHeight="1">
      <c r="A1204" s="90" t="s">
        <v>587</v>
      </c>
      <c r="B1204" s="82" t="s">
        <v>630</v>
      </c>
      <c r="C1204" s="82" t="s">
        <v>631</v>
      </c>
      <c r="D1204" s="82" t="s">
        <v>633</v>
      </c>
      <c r="E1204" s="82">
        <v>2084228.0</v>
      </c>
      <c r="F1204" s="82" t="s">
        <v>1139</v>
      </c>
      <c r="G1204" s="82" t="s">
        <v>630</v>
      </c>
      <c r="H1204" s="90" t="s">
        <v>965</v>
      </c>
      <c r="I1204" s="80"/>
      <c r="J1204" s="80"/>
      <c r="K1204" s="80"/>
      <c r="L1204" s="80"/>
      <c r="M1204" s="80"/>
      <c r="N1204" s="80"/>
      <c r="O1204" s="80"/>
      <c r="P1204" s="80"/>
      <c r="Q1204" s="80"/>
      <c r="R1204" s="80"/>
      <c r="S1204" s="80"/>
    </row>
    <row r="1205" ht="40.5" customHeight="1">
      <c r="A1205" s="90" t="s">
        <v>587</v>
      </c>
      <c r="B1205" s="82" t="s">
        <v>630</v>
      </c>
      <c r="C1205" s="82" t="s">
        <v>634</v>
      </c>
      <c r="D1205" s="82" t="s">
        <v>635</v>
      </c>
      <c r="E1205" s="82">
        <v>2080923.0</v>
      </c>
      <c r="F1205" s="82" t="s">
        <v>1140</v>
      </c>
      <c r="G1205" s="82" t="s">
        <v>649</v>
      </c>
      <c r="H1205" s="90" t="s">
        <v>965</v>
      </c>
      <c r="I1205" s="80"/>
      <c r="J1205" s="80"/>
      <c r="K1205" s="80"/>
      <c r="L1205" s="80"/>
      <c r="M1205" s="80"/>
      <c r="N1205" s="80"/>
      <c r="O1205" s="80"/>
      <c r="P1205" s="80"/>
      <c r="Q1205" s="80"/>
      <c r="R1205" s="80"/>
      <c r="S1205" s="80"/>
    </row>
    <row r="1206" ht="40.5" customHeight="1">
      <c r="A1206" s="90" t="s">
        <v>587</v>
      </c>
      <c r="B1206" s="82" t="s">
        <v>630</v>
      </c>
      <c r="C1206" s="82" t="s">
        <v>634</v>
      </c>
      <c r="D1206" s="82" t="s">
        <v>637</v>
      </c>
      <c r="E1206" s="82">
        <v>2705222.0</v>
      </c>
      <c r="F1206" s="82" t="s">
        <v>1141</v>
      </c>
      <c r="G1206" s="82" t="s">
        <v>644</v>
      </c>
      <c r="H1206" s="90" t="s">
        <v>965</v>
      </c>
      <c r="I1206" s="80"/>
      <c r="J1206" s="80"/>
      <c r="K1206" s="80"/>
      <c r="L1206" s="80"/>
      <c r="M1206" s="80"/>
      <c r="N1206" s="80"/>
      <c r="O1206" s="80"/>
      <c r="P1206" s="80"/>
      <c r="Q1206" s="80"/>
      <c r="R1206" s="80"/>
      <c r="S1206" s="80"/>
    </row>
    <row r="1207" ht="40.5" customHeight="1">
      <c r="A1207" s="90" t="s">
        <v>587</v>
      </c>
      <c r="B1207" s="82" t="s">
        <v>630</v>
      </c>
      <c r="C1207" s="82" t="s">
        <v>634</v>
      </c>
      <c r="D1207" s="82" t="s">
        <v>638</v>
      </c>
      <c r="E1207" s="82">
        <v>2080923.0</v>
      </c>
      <c r="F1207" s="82" t="s">
        <v>1140</v>
      </c>
      <c r="G1207" s="82" t="s">
        <v>649</v>
      </c>
      <c r="H1207" s="90" t="s">
        <v>965</v>
      </c>
      <c r="I1207" s="80"/>
      <c r="J1207" s="80"/>
      <c r="K1207" s="80"/>
      <c r="L1207" s="80"/>
      <c r="M1207" s="80"/>
      <c r="N1207" s="80"/>
      <c r="O1207" s="80"/>
      <c r="P1207" s="80"/>
      <c r="Q1207" s="80"/>
      <c r="R1207" s="80"/>
      <c r="S1207" s="80"/>
    </row>
    <row r="1208" ht="40.5" customHeight="1">
      <c r="A1208" s="90" t="s">
        <v>587</v>
      </c>
      <c r="B1208" s="82" t="s">
        <v>630</v>
      </c>
      <c r="C1208" s="82" t="s">
        <v>631</v>
      </c>
      <c r="D1208" s="82" t="s">
        <v>639</v>
      </c>
      <c r="E1208" s="82">
        <v>2751623.0</v>
      </c>
      <c r="F1208" s="82" t="s">
        <v>1142</v>
      </c>
      <c r="G1208" s="82" t="s">
        <v>639</v>
      </c>
      <c r="H1208" s="90" t="s">
        <v>965</v>
      </c>
      <c r="I1208" s="80"/>
      <c r="J1208" s="80"/>
      <c r="K1208" s="80"/>
      <c r="L1208" s="80"/>
      <c r="M1208" s="80"/>
      <c r="N1208" s="80"/>
      <c r="O1208" s="80"/>
      <c r="P1208" s="80"/>
      <c r="Q1208" s="80"/>
      <c r="R1208" s="80"/>
      <c r="S1208" s="80"/>
    </row>
    <row r="1209" ht="40.5" customHeight="1">
      <c r="A1209" s="90" t="s">
        <v>587</v>
      </c>
      <c r="B1209" s="82" t="s">
        <v>630</v>
      </c>
      <c r="C1209" s="82" t="s">
        <v>640</v>
      </c>
      <c r="D1209" s="82" t="s">
        <v>641</v>
      </c>
      <c r="E1209" s="82">
        <v>2096463.0</v>
      </c>
      <c r="F1209" s="82" t="s">
        <v>1143</v>
      </c>
      <c r="G1209" s="82" t="s">
        <v>645</v>
      </c>
      <c r="H1209" s="90" t="s">
        <v>965</v>
      </c>
      <c r="I1209" s="80"/>
      <c r="J1209" s="80"/>
      <c r="K1209" s="80"/>
      <c r="L1209" s="80"/>
      <c r="M1209" s="80"/>
      <c r="N1209" s="80"/>
      <c r="O1209" s="80"/>
      <c r="P1209" s="80"/>
      <c r="Q1209" s="80"/>
      <c r="R1209" s="80"/>
      <c r="S1209" s="80"/>
    </row>
    <row r="1210" ht="40.5" customHeight="1">
      <c r="A1210" s="90" t="s">
        <v>587</v>
      </c>
      <c r="B1210" s="82" t="s">
        <v>630</v>
      </c>
      <c r="C1210" s="82" t="s">
        <v>640</v>
      </c>
      <c r="D1210" s="82" t="s">
        <v>642</v>
      </c>
      <c r="E1210" s="82">
        <v>2081091.0</v>
      </c>
      <c r="F1210" s="82" t="s">
        <v>1144</v>
      </c>
      <c r="G1210" s="82" t="s">
        <v>642</v>
      </c>
      <c r="H1210" s="90" t="s">
        <v>965</v>
      </c>
      <c r="I1210" s="80"/>
      <c r="J1210" s="80"/>
      <c r="K1210" s="80"/>
      <c r="L1210" s="80"/>
      <c r="M1210" s="80"/>
      <c r="N1210" s="80"/>
      <c r="O1210" s="80"/>
      <c r="P1210" s="80"/>
      <c r="Q1210" s="80"/>
      <c r="R1210" s="80"/>
      <c r="S1210" s="80"/>
    </row>
    <row r="1211" ht="40.5" customHeight="1">
      <c r="A1211" s="90" t="s">
        <v>587</v>
      </c>
      <c r="B1211" s="82" t="s">
        <v>630</v>
      </c>
      <c r="C1211" s="82" t="s">
        <v>634</v>
      </c>
      <c r="D1211" s="82" t="s">
        <v>643</v>
      </c>
      <c r="E1211" s="82">
        <v>2080923.0</v>
      </c>
      <c r="F1211" s="82" t="s">
        <v>1140</v>
      </c>
      <c r="G1211" s="82" t="s">
        <v>649</v>
      </c>
      <c r="H1211" s="90" t="s">
        <v>965</v>
      </c>
      <c r="I1211" s="80"/>
      <c r="J1211" s="80"/>
      <c r="K1211" s="80"/>
      <c r="L1211" s="80"/>
      <c r="M1211" s="80"/>
      <c r="N1211" s="80"/>
      <c r="O1211" s="80"/>
      <c r="P1211" s="80"/>
      <c r="Q1211" s="80"/>
      <c r="R1211" s="80"/>
      <c r="S1211" s="80"/>
    </row>
    <row r="1212" ht="40.5" customHeight="1">
      <c r="A1212" s="90" t="s">
        <v>587</v>
      </c>
      <c r="B1212" s="82" t="s">
        <v>630</v>
      </c>
      <c r="C1212" s="82" t="s">
        <v>634</v>
      </c>
      <c r="D1212" s="82" t="s">
        <v>644</v>
      </c>
      <c r="E1212" s="82">
        <v>2705222.0</v>
      </c>
      <c r="F1212" s="82" t="s">
        <v>1141</v>
      </c>
      <c r="G1212" s="82" t="s">
        <v>644</v>
      </c>
      <c r="H1212" s="90" t="s">
        <v>965</v>
      </c>
      <c r="I1212" s="80"/>
      <c r="J1212" s="80"/>
      <c r="K1212" s="80"/>
      <c r="L1212" s="80"/>
      <c r="M1212" s="80"/>
      <c r="N1212" s="80"/>
      <c r="O1212" s="80"/>
      <c r="P1212" s="80"/>
      <c r="Q1212" s="80"/>
      <c r="R1212" s="80"/>
      <c r="S1212" s="80"/>
    </row>
    <row r="1213" ht="40.5" customHeight="1">
      <c r="A1213" s="90" t="s">
        <v>587</v>
      </c>
      <c r="B1213" s="82" t="s">
        <v>630</v>
      </c>
      <c r="C1213" s="82" t="s">
        <v>640</v>
      </c>
      <c r="D1213" s="82" t="s">
        <v>645</v>
      </c>
      <c r="E1213" s="82">
        <v>2096463.0</v>
      </c>
      <c r="F1213" s="82" t="s">
        <v>1143</v>
      </c>
      <c r="G1213" s="82" t="s">
        <v>645</v>
      </c>
      <c r="H1213" s="90" t="s">
        <v>965</v>
      </c>
      <c r="I1213" s="80"/>
      <c r="J1213" s="80"/>
      <c r="K1213" s="80"/>
      <c r="L1213" s="80"/>
      <c r="M1213" s="80"/>
      <c r="N1213" s="80"/>
      <c r="O1213" s="80"/>
      <c r="P1213" s="80"/>
      <c r="Q1213" s="80"/>
      <c r="R1213" s="80"/>
      <c r="S1213" s="80"/>
    </row>
    <row r="1214" ht="40.5" customHeight="1">
      <c r="A1214" s="90" t="s">
        <v>587</v>
      </c>
      <c r="B1214" s="82" t="s">
        <v>630</v>
      </c>
      <c r="C1214" s="82" t="s">
        <v>640</v>
      </c>
      <c r="D1214" s="82" t="s">
        <v>646</v>
      </c>
      <c r="E1214" s="82">
        <v>2088193.0</v>
      </c>
      <c r="F1214" s="82" t="s">
        <v>1145</v>
      </c>
      <c r="G1214" s="82" t="s">
        <v>646</v>
      </c>
      <c r="H1214" s="90" t="s">
        <v>965</v>
      </c>
      <c r="I1214" s="80"/>
      <c r="J1214" s="80"/>
      <c r="K1214" s="80"/>
      <c r="L1214" s="80"/>
      <c r="M1214" s="80"/>
      <c r="N1214" s="80"/>
      <c r="O1214" s="80"/>
      <c r="P1214" s="80"/>
      <c r="Q1214" s="80"/>
      <c r="R1214" s="80"/>
      <c r="S1214" s="80"/>
    </row>
    <row r="1215" ht="40.5" customHeight="1">
      <c r="A1215" s="90" t="s">
        <v>587</v>
      </c>
      <c r="B1215" s="82" t="s">
        <v>630</v>
      </c>
      <c r="C1215" s="82" t="s">
        <v>631</v>
      </c>
      <c r="D1215" s="82" t="s">
        <v>647</v>
      </c>
      <c r="E1215" s="82">
        <v>2080745.0</v>
      </c>
      <c r="F1215" s="82" t="s">
        <v>1146</v>
      </c>
      <c r="G1215" s="82" t="s">
        <v>647</v>
      </c>
      <c r="H1215" s="90" t="s">
        <v>965</v>
      </c>
      <c r="I1215" s="80"/>
      <c r="J1215" s="80"/>
      <c r="K1215" s="80"/>
      <c r="L1215" s="80"/>
      <c r="M1215" s="80"/>
      <c r="N1215" s="80"/>
      <c r="O1215" s="80"/>
      <c r="P1215" s="80"/>
      <c r="Q1215" s="80"/>
      <c r="R1215" s="80"/>
      <c r="S1215" s="80"/>
    </row>
    <row r="1216" ht="40.5" customHeight="1">
      <c r="A1216" s="90" t="s">
        <v>587</v>
      </c>
      <c r="B1216" s="82" t="s">
        <v>630</v>
      </c>
      <c r="C1216" s="82" t="s">
        <v>631</v>
      </c>
      <c r="D1216" s="82" t="s">
        <v>648</v>
      </c>
      <c r="E1216" s="82">
        <v>2751623.0</v>
      </c>
      <c r="F1216" s="82" t="s">
        <v>1142</v>
      </c>
      <c r="G1216" s="82" t="s">
        <v>639</v>
      </c>
      <c r="H1216" s="90" t="s">
        <v>965</v>
      </c>
      <c r="I1216" s="80"/>
      <c r="J1216" s="80"/>
      <c r="K1216" s="80"/>
      <c r="L1216" s="80"/>
      <c r="M1216" s="80"/>
      <c r="N1216" s="80"/>
      <c r="O1216" s="80"/>
      <c r="P1216" s="80"/>
      <c r="Q1216" s="80"/>
      <c r="R1216" s="80"/>
      <c r="S1216" s="80"/>
    </row>
    <row r="1217" ht="40.5" customHeight="1">
      <c r="A1217" s="90" t="s">
        <v>587</v>
      </c>
      <c r="B1217" s="82" t="s">
        <v>630</v>
      </c>
      <c r="C1217" s="82" t="s">
        <v>631</v>
      </c>
      <c r="D1217" s="82" t="s">
        <v>630</v>
      </c>
      <c r="E1217" s="82">
        <v>2084228.0</v>
      </c>
      <c r="F1217" s="82" t="s">
        <v>1139</v>
      </c>
      <c r="G1217" s="82" t="s">
        <v>630</v>
      </c>
      <c r="H1217" s="90" t="s">
        <v>965</v>
      </c>
      <c r="I1217" s="80"/>
      <c r="J1217" s="80"/>
      <c r="K1217" s="80"/>
      <c r="L1217" s="80"/>
      <c r="M1217" s="80"/>
      <c r="N1217" s="80"/>
      <c r="O1217" s="80"/>
      <c r="P1217" s="80"/>
      <c r="Q1217" s="80"/>
      <c r="R1217" s="80"/>
      <c r="S1217" s="80"/>
    </row>
    <row r="1218" ht="40.5" customHeight="1">
      <c r="A1218" s="90" t="s">
        <v>587</v>
      </c>
      <c r="B1218" s="82" t="s">
        <v>630</v>
      </c>
      <c r="C1218" s="82" t="s">
        <v>634</v>
      </c>
      <c r="D1218" s="82" t="s">
        <v>649</v>
      </c>
      <c r="E1218" s="82">
        <v>2080923.0</v>
      </c>
      <c r="F1218" s="82" t="s">
        <v>1140</v>
      </c>
      <c r="G1218" s="82" t="s">
        <v>649</v>
      </c>
      <c r="H1218" s="90" t="s">
        <v>965</v>
      </c>
      <c r="I1218" s="80"/>
      <c r="J1218" s="80"/>
      <c r="K1218" s="80"/>
      <c r="L1218" s="80"/>
      <c r="M1218" s="80"/>
      <c r="N1218" s="80"/>
      <c r="O1218" s="80"/>
      <c r="P1218" s="80"/>
      <c r="Q1218" s="80"/>
      <c r="R1218" s="80"/>
      <c r="S1218" s="80"/>
    </row>
    <row r="1219" ht="40.5" customHeight="1">
      <c r="A1219" s="90" t="s">
        <v>587</v>
      </c>
      <c r="B1219" s="82" t="s">
        <v>630</v>
      </c>
      <c r="C1219" s="82" t="s">
        <v>634</v>
      </c>
      <c r="D1219" s="82" t="s">
        <v>650</v>
      </c>
      <c r="E1219" s="82">
        <v>2705222.0</v>
      </c>
      <c r="F1219" s="82" t="s">
        <v>1141</v>
      </c>
      <c r="G1219" s="82" t="s">
        <v>644</v>
      </c>
      <c r="H1219" s="90" t="s">
        <v>965</v>
      </c>
      <c r="I1219" s="80"/>
      <c r="J1219" s="80"/>
      <c r="K1219" s="80"/>
      <c r="L1219" s="80"/>
      <c r="M1219" s="80"/>
      <c r="N1219" s="80"/>
      <c r="O1219" s="80"/>
      <c r="P1219" s="80"/>
      <c r="Q1219" s="80"/>
      <c r="R1219" s="80"/>
      <c r="S1219" s="80"/>
    </row>
    <row r="1220" ht="40.5" customHeight="1">
      <c r="A1220" s="90" t="s">
        <v>587</v>
      </c>
      <c r="B1220" s="82" t="s">
        <v>630</v>
      </c>
      <c r="C1220" s="82" t="s">
        <v>631</v>
      </c>
      <c r="D1220" s="82" t="s">
        <v>651</v>
      </c>
      <c r="E1220" s="82">
        <v>2749149.0</v>
      </c>
      <c r="F1220" s="82" t="s">
        <v>1147</v>
      </c>
      <c r="G1220" s="82" t="s">
        <v>651</v>
      </c>
      <c r="H1220" s="90" t="s">
        <v>965</v>
      </c>
      <c r="I1220" s="80"/>
      <c r="J1220" s="80"/>
      <c r="K1220" s="80"/>
      <c r="L1220" s="80"/>
      <c r="M1220" s="80"/>
      <c r="N1220" s="80"/>
      <c r="O1220" s="80"/>
      <c r="P1220" s="80"/>
      <c r="Q1220" s="80"/>
      <c r="R1220" s="80"/>
      <c r="S1220" s="80"/>
    </row>
    <row r="1221" ht="40.5" customHeight="1">
      <c r="A1221" s="90" t="s">
        <v>587</v>
      </c>
      <c r="B1221" s="82" t="s">
        <v>630</v>
      </c>
      <c r="C1221" s="82" t="s">
        <v>634</v>
      </c>
      <c r="D1221" s="82" t="s">
        <v>652</v>
      </c>
      <c r="E1221" s="82">
        <v>2705222.0</v>
      </c>
      <c r="F1221" s="82" t="s">
        <v>1141</v>
      </c>
      <c r="G1221" s="82" t="s">
        <v>644</v>
      </c>
      <c r="H1221" s="90" t="s">
        <v>965</v>
      </c>
      <c r="I1221" s="80"/>
      <c r="J1221" s="80"/>
      <c r="K1221" s="80"/>
      <c r="L1221" s="80"/>
      <c r="M1221" s="80"/>
      <c r="N1221" s="80"/>
      <c r="O1221" s="80"/>
      <c r="P1221" s="80"/>
      <c r="Q1221" s="80"/>
      <c r="R1221" s="80"/>
      <c r="S1221" s="80"/>
    </row>
    <row r="1222" ht="40.5" customHeight="1">
      <c r="A1222" s="90" t="s">
        <v>587</v>
      </c>
      <c r="B1222" s="82" t="s">
        <v>630</v>
      </c>
      <c r="C1222" s="82" t="s">
        <v>631</v>
      </c>
      <c r="D1222" s="82" t="s">
        <v>653</v>
      </c>
      <c r="E1222" s="82">
        <v>2081903.0</v>
      </c>
      <c r="F1222" s="82" t="s">
        <v>1148</v>
      </c>
      <c r="G1222" s="82" t="s">
        <v>653</v>
      </c>
      <c r="H1222" s="90" t="s">
        <v>965</v>
      </c>
      <c r="I1222" s="80"/>
      <c r="J1222" s="80"/>
      <c r="K1222" s="80"/>
      <c r="L1222" s="80"/>
      <c r="M1222" s="80"/>
      <c r="N1222" s="80"/>
      <c r="O1222" s="80"/>
      <c r="P1222" s="80"/>
      <c r="Q1222" s="80"/>
      <c r="R1222" s="80"/>
      <c r="S1222" s="80"/>
    </row>
    <row r="1223" ht="40.5" customHeight="1">
      <c r="A1223" s="90" t="s">
        <v>654</v>
      </c>
      <c r="B1223" s="96" t="s">
        <v>588</v>
      </c>
      <c r="C1223" s="96" t="s">
        <v>655</v>
      </c>
      <c r="D1223" s="96" t="s">
        <v>656</v>
      </c>
      <c r="E1223" s="96">
        <v>5366828.0</v>
      </c>
      <c r="F1223" s="96" t="s">
        <v>1149</v>
      </c>
      <c r="G1223" s="96" t="s">
        <v>656</v>
      </c>
      <c r="H1223" s="90" t="s">
        <v>965</v>
      </c>
      <c r="I1223" s="80"/>
      <c r="J1223" s="80"/>
      <c r="K1223" s="80"/>
      <c r="L1223" s="80"/>
      <c r="M1223" s="80"/>
      <c r="N1223" s="80"/>
      <c r="O1223" s="80"/>
      <c r="P1223" s="80"/>
      <c r="Q1223" s="80"/>
      <c r="R1223" s="80"/>
      <c r="S1223" s="80"/>
    </row>
    <row r="1224" ht="40.5" customHeight="1">
      <c r="A1224" s="90" t="s">
        <v>654</v>
      </c>
      <c r="B1224" s="96" t="s">
        <v>588</v>
      </c>
      <c r="C1224" s="96" t="s">
        <v>655</v>
      </c>
      <c r="D1224" s="96" t="s">
        <v>657</v>
      </c>
      <c r="E1224" s="96">
        <v>5366828.0</v>
      </c>
      <c r="F1224" s="96" t="s">
        <v>1149</v>
      </c>
      <c r="G1224" s="96" t="s">
        <v>656</v>
      </c>
      <c r="H1224" s="90" t="s">
        <v>965</v>
      </c>
      <c r="I1224" s="80"/>
      <c r="J1224" s="80"/>
      <c r="K1224" s="80"/>
      <c r="L1224" s="80"/>
      <c r="M1224" s="80"/>
      <c r="N1224" s="80"/>
      <c r="O1224" s="80"/>
      <c r="P1224" s="80"/>
      <c r="Q1224" s="80"/>
      <c r="R1224" s="80"/>
      <c r="S1224" s="80"/>
    </row>
    <row r="1225" ht="40.5" customHeight="1">
      <c r="A1225" s="90" t="s">
        <v>654</v>
      </c>
      <c r="B1225" s="96" t="s">
        <v>588</v>
      </c>
      <c r="C1225" s="96" t="s">
        <v>655</v>
      </c>
      <c r="D1225" s="96" t="s">
        <v>658</v>
      </c>
      <c r="E1225" s="96">
        <v>2688433.0</v>
      </c>
      <c r="F1225" s="96" t="s">
        <v>1150</v>
      </c>
      <c r="G1225" s="96" t="s">
        <v>658</v>
      </c>
      <c r="H1225" s="90" t="s">
        <v>965</v>
      </c>
      <c r="I1225" s="80"/>
      <c r="J1225" s="80"/>
      <c r="K1225" s="80"/>
      <c r="L1225" s="80"/>
      <c r="M1225" s="80"/>
      <c r="N1225" s="80"/>
      <c r="O1225" s="80"/>
      <c r="P1225" s="80"/>
      <c r="Q1225" s="80"/>
      <c r="R1225" s="80"/>
      <c r="S1225" s="80"/>
    </row>
    <row r="1226" ht="40.5" customHeight="1">
      <c r="A1226" s="90" t="s">
        <v>654</v>
      </c>
      <c r="B1226" s="96" t="s">
        <v>588</v>
      </c>
      <c r="C1226" s="96" t="s">
        <v>655</v>
      </c>
      <c r="D1226" s="96" t="s">
        <v>659</v>
      </c>
      <c r="E1226" s="96">
        <v>2688433.0</v>
      </c>
      <c r="F1226" s="96" t="s">
        <v>1150</v>
      </c>
      <c r="G1226" s="96" t="s">
        <v>658</v>
      </c>
      <c r="H1226" s="90" t="s">
        <v>965</v>
      </c>
      <c r="I1226" s="80"/>
      <c r="J1226" s="80"/>
      <c r="K1226" s="80"/>
      <c r="L1226" s="80"/>
      <c r="M1226" s="80"/>
      <c r="N1226" s="80"/>
      <c r="O1226" s="80"/>
      <c r="P1226" s="80"/>
      <c r="Q1226" s="80"/>
      <c r="R1226" s="80"/>
      <c r="S1226" s="80"/>
    </row>
    <row r="1227" ht="40.5" customHeight="1">
      <c r="A1227" s="90" t="s">
        <v>654</v>
      </c>
      <c r="B1227" s="96" t="s">
        <v>588</v>
      </c>
      <c r="C1227" s="96" t="s">
        <v>655</v>
      </c>
      <c r="D1227" s="96" t="s">
        <v>660</v>
      </c>
      <c r="E1227" s="96">
        <v>5366828.0</v>
      </c>
      <c r="F1227" s="96" t="s">
        <v>1149</v>
      </c>
      <c r="G1227" s="96" t="s">
        <v>656</v>
      </c>
      <c r="H1227" s="90" t="s">
        <v>965</v>
      </c>
      <c r="I1227" s="80"/>
      <c r="J1227" s="80"/>
      <c r="K1227" s="80"/>
      <c r="L1227" s="80"/>
      <c r="M1227" s="80"/>
      <c r="N1227" s="80"/>
      <c r="O1227" s="80"/>
      <c r="P1227" s="80"/>
      <c r="Q1227" s="80"/>
      <c r="R1227" s="80"/>
      <c r="S1227" s="80"/>
    </row>
    <row r="1228" ht="40.5" customHeight="1">
      <c r="A1228" s="90" t="s">
        <v>654</v>
      </c>
      <c r="B1228" s="96" t="s">
        <v>588</v>
      </c>
      <c r="C1228" s="96" t="s">
        <v>655</v>
      </c>
      <c r="D1228" s="96" t="s">
        <v>661</v>
      </c>
      <c r="E1228" s="96">
        <v>2688433.0</v>
      </c>
      <c r="F1228" s="96" t="s">
        <v>1150</v>
      </c>
      <c r="G1228" s="96" t="s">
        <v>658</v>
      </c>
      <c r="H1228" s="90" t="s">
        <v>965</v>
      </c>
      <c r="I1228" s="80"/>
      <c r="J1228" s="80"/>
      <c r="K1228" s="80"/>
      <c r="L1228" s="80"/>
      <c r="M1228" s="80"/>
      <c r="N1228" s="80"/>
      <c r="O1228" s="80"/>
      <c r="P1228" s="80"/>
      <c r="Q1228" s="80"/>
      <c r="R1228" s="80"/>
      <c r="S1228" s="80"/>
    </row>
    <row r="1229" ht="40.5" customHeight="1">
      <c r="A1229" s="90" t="s">
        <v>654</v>
      </c>
      <c r="B1229" s="96" t="s">
        <v>588</v>
      </c>
      <c r="C1229" s="96" t="s">
        <v>655</v>
      </c>
      <c r="D1229" s="96" t="s">
        <v>662</v>
      </c>
      <c r="E1229" s="96">
        <v>2688433.0</v>
      </c>
      <c r="F1229" s="96" t="s">
        <v>1150</v>
      </c>
      <c r="G1229" s="96" t="s">
        <v>658</v>
      </c>
      <c r="H1229" s="90" t="s">
        <v>965</v>
      </c>
      <c r="I1229" s="80"/>
      <c r="J1229" s="80"/>
      <c r="K1229" s="80"/>
      <c r="L1229" s="80"/>
      <c r="M1229" s="80"/>
      <c r="N1229" s="80"/>
      <c r="O1229" s="80"/>
      <c r="P1229" s="80"/>
      <c r="Q1229" s="80"/>
      <c r="R1229" s="80"/>
      <c r="S1229" s="80"/>
    </row>
    <row r="1230" ht="40.5" customHeight="1">
      <c r="A1230" s="90" t="s">
        <v>654</v>
      </c>
      <c r="B1230" s="96" t="s">
        <v>588</v>
      </c>
      <c r="C1230" s="96" t="s">
        <v>655</v>
      </c>
      <c r="D1230" s="96" t="s">
        <v>663</v>
      </c>
      <c r="E1230" s="96">
        <v>2079852.0</v>
      </c>
      <c r="F1230" s="96" t="s">
        <v>1151</v>
      </c>
      <c r="G1230" s="96" t="s">
        <v>663</v>
      </c>
      <c r="H1230" s="90" t="s">
        <v>965</v>
      </c>
      <c r="I1230" s="80"/>
      <c r="J1230" s="80"/>
      <c r="K1230" s="80"/>
      <c r="L1230" s="80"/>
      <c r="M1230" s="80"/>
      <c r="N1230" s="80"/>
      <c r="O1230" s="80"/>
      <c r="P1230" s="80"/>
      <c r="Q1230" s="80"/>
      <c r="R1230" s="80"/>
      <c r="S1230" s="80"/>
    </row>
    <row r="1231" ht="40.5" customHeight="1">
      <c r="A1231" s="90" t="s">
        <v>654</v>
      </c>
      <c r="B1231" s="96" t="s">
        <v>588</v>
      </c>
      <c r="C1231" s="96" t="s">
        <v>655</v>
      </c>
      <c r="D1231" s="96" t="s">
        <v>664</v>
      </c>
      <c r="E1231" s="96">
        <v>2079704.0</v>
      </c>
      <c r="F1231" s="96" t="s">
        <v>1152</v>
      </c>
      <c r="G1231" s="96" t="s">
        <v>664</v>
      </c>
      <c r="H1231" s="90" t="s">
        <v>965</v>
      </c>
      <c r="I1231" s="80"/>
      <c r="J1231" s="80"/>
      <c r="K1231" s="80"/>
      <c r="L1231" s="80"/>
      <c r="M1231" s="80"/>
      <c r="N1231" s="80"/>
      <c r="O1231" s="80"/>
      <c r="P1231" s="80"/>
      <c r="Q1231" s="80"/>
      <c r="R1231" s="80"/>
      <c r="S1231" s="80"/>
    </row>
    <row r="1232" ht="40.5" customHeight="1">
      <c r="A1232" s="90" t="s">
        <v>654</v>
      </c>
      <c r="B1232" s="96" t="s">
        <v>588</v>
      </c>
      <c r="C1232" s="96" t="s">
        <v>655</v>
      </c>
      <c r="D1232" s="96" t="s">
        <v>665</v>
      </c>
      <c r="E1232" s="96">
        <v>2688433.0</v>
      </c>
      <c r="F1232" s="96" t="s">
        <v>1150</v>
      </c>
      <c r="G1232" s="96" t="s">
        <v>658</v>
      </c>
      <c r="H1232" s="90" t="s">
        <v>965</v>
      </c>
      <c r="I1232" s="80"/>
      <c r="J1232" s="80"/>
      <c r="K1232" s="80"/>
      <c r="L1232" s="80"/>
      <c r="M1232" s="80"/>
      <c r="N1232" s="80"/>
      <c r="O1232" s="80"/>
      <c r="P1232" s="80"/>
      <c r="Q1232" s="80"/>
      <c r="R1232" s="80"/>
      <c r="S1232" s="80"/>
    </row>
    <row r="1233" ht="40.5" customHeight="1">
      <c r="A1233" s="90" t="s">
        <v>654</v>
      </c>
      <c r="B1233" s="96" t="s">
        <v>588</v>
      </c>
      <c r="C1233" s="96" t="s">
        <v>655</v>
      </c>
      <c r="D1233" s="96" t="s">
        <v>666</v>
      </c>
      <c r="E1233" s="96">
        <v>2688433.0</v>
      </c>
      <c r="F1233" s="96" t="s">
        <v>1150</v>
      </c>
      <c r="G1233" s="96" t="s">
        <v>658</v>
      </c>
      <c r="H1233" s="90" t="s">
        <v>965</v>
      </c>
      <c r="I1233" s="80"/>
      <c r="J1233" s="80"/>
      <c r="K1233" s="80"/>
      <c r="L1233" s="80"/>
      <c r="M1233" s="80"/>
      <c r="N1233" s="80"/>
      <c r="O1233" s="80"/>
      <c r="P1233" s="80"/>
      <c r="Q1233" s="80"/>
      <c r="R1233" s="80"/>
      <c r="S1233" s="80"/>
    </row>
    <row r="1234" ht="40.5" customHeight="1">
      <c r="A1234" s="90" t="s">
        <v>654</v>
      </c>
      <c r="B1234" s="96" t="s">
        <v>588</v>
      </c>
      <c r="C1234" s="96" t="s">
        <v>667</v>
      </c>
      <c r="D1234" s="96" t="s">
        <v>668</v>
      </c>
      <c r="E1234" s="96">
        <v>2079313.0</v>
      </c>
      <c r="F1234" s="96" t="s">
        <v>1153</v>
      </c>
      <c r="G1234" s="96" t="s">
        <v>668</v>
      </c>
      <c r="H1234" s="90" t="s">
        <v>965</v>
      </c>
      <c r="I1234" s="80"/>
      <c r="J1234" s="80"/>
      <c r="K1234" s="80"/>
      <c r="L1234" s="80"/>
      <c r="M1234" s="80"/>
      <c r="N1234" s="80"/>
      <c r="O1234" s="80"/>
      <c r="P1234" s="80"/>
      <c r="Q1234" s="80"/>
      <c r="R1234" s="80"/>
      <c r="S1234" s="80"/>
    </row>
    <row r="1235" ht="40.5" customHeight="1">
      <c r="A1235" s="90" t="s">
        <v>654</v>
      </c>
      <c r="B1235" s="96" t="s">
        <v>588</v>
      </c>
      <c r="C1235" s="96" t="s">
        <v>667</v>
      </c>
      <c r="D1235" s="96" t="s">
        <v>669</v>
      </c>
      <c r="E1235" s="96">
        <v>2087219.0</v>
      </c>
      <c r="F1235" s="96" t="s">
        <v>1154</v>
      </c>
      <c r="G1235" s="96" t="s">
        <v>669</v>
      </c>
      <c r="H1235" s="90" t="s">
        <v>965</v>
      </c>
      <c r="I1235" s="80"/>
      <c r="J1235" s="80"/>
      <c r="K1235" s="80"/>
      <c r="L1235" s="80"/>
      <c r="M1235" s="80"/>
      <c r="N1235" s="80"/>
      <c r="O1235" s="80"/>
      <c r="P1235" s="80"/>
      <c r="Q1235" s="80"/>
      <c r="R1235" s="80"/>
      <c r="S1235" s="80"/>
    </row>
    <row r="1236" ht="40.5" customHeight="1">
      <c r="A1236" s="90" t="s">
        <v>654</v>
      </c>
      <c r="B1236" s="96" t="s">
        <v>588</v>
      </c>
      <c r="C1236" s="96" t="s">
        <v>667</v>
      </c>
      <c r="D1236" s="96" t="s">
        <v>670</v>
      </c>
      <c r="E1236" s="96">
        <v>2078538.0</v>
      </c>
      <c r="F1236" s="96" t="s">
        <v>1155</v>
      </c>
      <c r="G1236" s="96" t="s">
        <v>670</v>
      </c>
      <c r="H1236" s="90" t="s">
        <v>965</v>
      </c>
      <c r="I1236" s="80"/>
      <c r="J1236" s="80"/>
      <c r="K1236" s="80"/>
      <c r="L1236" s="80"/>
      <c r="M1236" s="80"/>
      <c r="N1236" s="80"/>
      <c r="O1236" s="80"/>
      <c r="P1236" s="80"/>
      <c r="Q1236" s="80"/>
      <c r="R1236" s="80"/>
      <c r="S1236" s="80"/>
    </row>
    <row r="1237" ht="40.5" customHeight="1">
      <c r="A1237" s="90" t="s">
        <v>654</v>
      </c>
      <c r="B1237" s="96" t="s">
        <v>588</v>
      </c>
      <c r="C1237" s="96" t="s">
        <v>667</v>
      </c>
      <c r="D1237" s="96" t="s">
        <v>671</v>
      </c>
      <c r="E1237" s="96">
        <v>2087219.0</v>
      </c>
      <c r="F1237" s="96" t="s">
        <v>1154</v>
      </c>
      <c r="G1237" s="96" t="s">
        <v>669</v>
      </c>
      <c r="H1237" s="90" t="s">
        <v>965</v>
      </c>
      <c r="I1237" s="80"/>
      <c r="J1237" s="80"/>
      <c r="K1237" s="80"/>
      <c r="L1237" s="80"/>
      <c r="M1237" s="80"/>
      <c r="N1237" s="80"/>
      <c r="O1237" s="80"/>
      <c r="P1237" s="80"/>
      <c r="Q1237" s="80"/>
      <c r="R1237" s="80"/>
      <c r="S1237" s="80"/>
    </row>
    <row r="1238" ht="40.5" customHeight="1">
      <c r="A1238" s="90" t="s">
        <v>654</v>
      </c>
      <c r="B1238" s="96" t="s">
        <v>588</v>
      </c>
      <c r="C1238" s="96" t="s">
        <v>667</v>
      </c>
      <c r="D1238" s="96" t="s">
        <v>667</v>
      </c>
      <c r="E1238" s="96">
        <v>3012212.0</v>
      </c>
      <c r="F1238" s="96" t="s">
        <v>1156</v>
      </c>
      <c r="G1238" s="96" t="s">
        <v>667</v>
      </c>
      <c r="H1238" s="90" t="s">
        <v>965</v>
      </c>
      <c r="I1238" s="80"/>
      <c r="J1238" s="80"/>
      <c r="K1238" s="80"/>
      <c r="L1238" s="80"/>
      <c r="M1238" s="80"/>
      <c r="N1238" s="80"/>
      <c r="O1238" s="80"/>
      <c r="P1238" s="80"/>
      <c r="Q1238" s="80"/>
      <c r="R1238" s="80"/>
      <c r="S1238" s="80"/>
    </row>
    <row r="1239" ht="40.5" customHeight="1">
      <c r="A1239" s="90" t="s">
        <v>654</v>
      </c>
      <c r="B1239" s="96" t="s">
        <v>588</v>
      </c>
      <c r="C1239" s="96" t="s">
        <v>667</v>
      </c>
      <c r="D1239" s="96" t="s">
        <v>672</v>
      </c>
      <c r="E1239" s="96">
        <v>2079917.0</v>
      </c>
      <c r="F1239" s="96" t="s">
        <v>1157</v>
      </c>
      <c r="G1239" s="96" t="s">
        <v>672</v>
      </c>
      <c r="H1239" s="90" t="s">
        <v>965</v>
      </c>
      <c r="I1239" s="80"/>
      <c r="J1239" s="80"/>
      <c r="K1239" s="80"/>
      <c r="L1239" s="80"/>
      <c r="M1239" s="80"/>
      <c r="N1239" s="80"/>
      <c r="O1239" s="80"/>
      <c r="P1239" s="80"/>
      <c r="Q1239" s="80"/>
      <c r="R1239" s="80"/>
      <c r="S1239" s="80"/>
    </row>
    <row r="1240" ht="40.5" customHeight="1">
      <c r="A1240" s="90" t="s">
        <v>654</v>
      </c>
      <c r="B1240" s="96" t="s">
        <v>588</v>
      </c>
      <c r="C1240" s="96" t="s">
        <v>667</v>
      </c>
      <c r="D1240" s="96" t="s">
        <v>673</v>
      </c>
      <c r="E1240" s="96">
        <v>2087219.0</v>
      </c>
      <c r="F1240" s="96" t="s">
        <v>1154</v>
      </c>
      <c r="G1240" s="96" t="s">
        <v>667</v>
      </c>
      <c r="H1240" s="90" t="s">
        <v>965</v>
      </c>
      <c r="I1240" s="80"/>
      <c r="J1240" s="80"/>
      <c r="K1240" s="80"/>
      <c r="L1240" s="80"/>
      <c r="M1240" s="80"/>
      <c r="N1240" s="80"/>
      <c r="O1240" s="80"/>
      <c r="P1240" s="80"/>
      <c r="Q1240" s="80"/>
      <c r="R1240" s="80"/>
      <c r="S1240" s="80"/>
    </row>
    <row r="1241" ht="40.5" customHeight="1">
      <c r="A1241" s="90" t="s">
        <v>674</v>
      </c>
      <c r="B1241" s="96" t="s">
        <v>675</v>
      </c>
      <c r="C1241" s="96" t="s">
        <v>676</v>
      </c>
      <c r="D1241" s="96" t="s">
        <v>677</v>
      </c>
      <c r="E1241" s="96">
        <v>2024756.0</v>
      </c>
      <c r="F1241" s="96" t="s">
        <v>1158</v>
      </c>
      <c r="G1241" s="96" t="s">
        <v>677</v>
      </c>
      <c r="H1241" s="90" t="s">
        <v>965</v>
      </c>
      <c r="I1241" s="80"/>
      <c r="J1241" s="80"/>
      <c r="K1241" s="80"/>
      <c r="L1241" s="80"/>
      <c r="M1241" s="80"/>
      <c r="N1241" s="80"/>
      <c r="O1241" s="80"/>
      <c r="P1241" s="80"/>
      <c r="Q1241" s="80"/>
      <c r="R1241" s="80"/>
      <c r="S1241" s="80"/>
    </row>
    <row r="1242" ht="40.5" customHeight="1">
      <c r="A1242" s="90" t="s">
        <v>674</v>
      </c>
      <c r="B1242" s="96" t="s">
        <v>675</v>
      </c>
      <c r="C1242" s="96" t="s">
        <v>676</v>
      </c>
      <c r="D1242" s="96" t="s">
        <v>678</v>
      </c>
      <c r="E1242" s="96">
        <v>2085194.0</v>
      </c>
      <c r="F1242" s="96" t="s">
        <v>1159</v>
      </c>
      <c r="G1242" s="96" t="s">
        <v>679</v>
      </c>
      <c r="H1242" s="90" t="s">
        <v>965</v>
      </c>
      <c r="I1242" s="80"/>
      <c r="J1242" s="80"/>
      <c r="K1242" s="80"/>
      <c r="L1242" s="80"/>
      <c r="M1242" s="80"/>
      <c r="N1242" s="80"/>
      <c r="O1242" s="80"/>
      <c r="P1242" s="80"/>
      <c r="Q1242" s="80"/>
      <c r="R1242" s="80"/>
      <c r="S1242" s="80"/>
    </row>
    <row r="1243" ht="40.5" customHeight="1">
      <c r="A1243" s="90" t="s">
        <v>674</v>
      </c>
      <c r="B1243" s="96" t="s">
        <v>675</v>
      </c>
      <c r="C1243" s="96" t="s">
        <v>676</v>
      </c>
      <c r="D1243" s="96" t="s">
        <v>679</v>
      </c>
      <c r="E1243" s="96">
        <v>2085194.0</v>
      </c>
      <c r="F1243" s="96" t="s">
        <v>1159</v>
      </c>
      <c r="G1243" s="96" t="s">
        <v>679</v>
      </c>
      <c r="H1243" s="90" t="s">
        <v>965</v>
      </c>
      <c r="I1243" s="80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</row>
    <row r="1244" ht="40.5" customHeight="1">
      <c r="A1244" s="90" t="s">
        <v>674</v>
      </c>
      <c r="B1244" s="96" t="s">
        <v>675</v>
      </c>
      <c r="C1244" s="96" t="s">
        <v>676</v>
      </c>
      <c r="D1244" s="96" t="s">
        <v>680</v>
      </c>
      <c r="E1244" s="96">
        <v>2024756.0</v>
      </c>
      <c r="F1244" s="96" t="s">
        <v>1158</v>
      </c>
      <c r="G1244" s="96" t="s">
        <v>677</v>
      </c>
      <c r="H1244" s="90" t="s">
        <v>965</v>
      </c>
      <c r="I1244" s="80"/>
      <c r="J1244" s="80"/>
      <c r="K1244" s="80"/>
      <c r="L1244" s="80"/>
      <c r="M1244" s="80"/>
      <c r="N1244" s="80"/>
      <c r="O1244" s="80"/>
      <c r="P1244" s="80"/>
      <c r="Q1244" s="80"/>
      <c r="R1244" s="80"/>
      <c r="S1244" s="80"/>
    </row>
    <row r="1245" ht="40.5" customHeight="1">
      <c r="A1245" s="90" t="s">
        <v>674</v>
      </c>
      <c r="B1245" s="96" t="s">
        <v>675</v>
      </c>
      <c r="C1245" s="96" t="s">
        <v>676</v>
      </c>
      <c r="D1245" s="96" t="s">
        <v>681</v>
      </c>
      <c r="E1245" s="96">
        <v>9628.0</v>
      </c>
      <c r="F1245" s="96" t="s">
        <v>1160</v>
      </c>
      <c r="G1245" s="96" t="s">
        <v>684</v>
      </c>
      <c r="H1245" s="90" t="s">
        <v>965</v>
      </c>
      <c r="I1245" s="80"/>
      <c r="J1245" s="80"/>
      <c r="K1245" s="80"/>
      <c r="L1245" s="80"/>
      <c r="M1245" s="80"/>
      <c r="N1245" s="80"/>
      <c r="O1245" s="80"/>
      <c r="P1245" s="80"/>
      <c r="Q1245" s="80"/>
      <c r="R1245" s="80"/>
      <c r="S1245" s="80"/>
    </row>
    <row r="1246" ht="40.5" customHeight="1">
      <c r="A1246" s="90" t="s">
        <v>674</v>
      </c>
      <c r="B1246" s="96" t="s">
        <v>675</v>
      </c>
      <c r="C1246" s="96" t="s">
        <v>676</v>
      </c>
      <c r="D1246" s="96" t="s">
        <v>682</v>
      </c>
      <c r="E1246" s="96">
        <v>9628.0</v>
      </c>
      <c r="F1246" s="96" t="s">
        <v>1160</v>
      </c>
      <c r="G1246" s="96" t="s">
        <v>684</v>
      </c>
      <c r="H1246" s="90" t="s">
        <v>965</v>
      </c>
      <c r="I1246" s="80"/>
      <c r="J1246" s="80"/>
      <c r="K1246" s="80"/>
      <c r="L1246" s="80"/>
      <c r="M1246" s="80"/>
      <c r="N1246" s="80"/>
      <c r="O1246" s="80"/>
      <c r="P1246" s="80"/>
      <c r="Q1246" s="80"/>
      <c r="R1246" s="80"/>
      <c r="S1246" s="80"/>
    </row>
    <row r="1247" ht="40.5" customHeight="1">
      <c r="A1247" s="90" t="s">
        <v>674</v>
      </c>
      <c r="B1247" s="96" t="s">
        <v>675</v>
      </c>
      <c r="C1247" s="96" t="s">
        <v>676</v>
      </c>
      <c r="D1247" s="96" t="s">
        <v>683</v>
      </c>
      <c r="E1247" s="96">
        <v>2085194.0</v>
      </c>
      <c r="F1247" s="96" t="s">
        <v>1159</v>
      </c>
      <c r="G1247" s="96" t="s">
        <v>679</v>
      </c>
      <c r="H1247" s="90" t="s">
        <v>965</v>
      </c>
      <c r="I1247" s="80"/>
      <c r="J1247" s="80"/>
      <c r="K1247" s="80"/>
      <c r="L1247" s="80"/>
      <c r="M1247" s="80"/>
      <c r="N1247" s="80"/>
      <c r="O1247" s="80"/>
      <c r="P1247" s="80"/>
      <c r="Q1247" s="80"/>
      <c r="R1247" s="80"/>
      <c r="S1247" s="80"/>
    </row>
    <row r="1248" ht="40.5" customHeight="1">
      <c r="A1248" s="90" t="s">
        <v>674</v>
      </c>
      <c r="B1248" s="96" t="s">
        <v>675</v>
      </c>
      <c r="C1248" s="96" t="s">
        <v>676</v>
      </c>
      <c r="D1248" s="96" t="s">
        <v>684</v>
      </c>
      <c r="E1248" s="96">
        <v>9628.0</v>
      </c>
      <c r="F1248" s="96" t="s">
        <v>1160</v>
      </c>
      <c r="G1248" s="96" t="s">
        <v>684</v>
      </c>
      <c r="H1248" s="90" t="s">
        <v>965</v>
      </c>
      <c r="I1248" s="80"/>
      <c r="J1248" s="80"/>
      <c r="K1248" s="80"/>
      <c r="L1248" s="80"/>
      <c r="M1248" s="80"/>
      <c r="N1248" s="80"/>
      <c r="O1248" s="80"/>
      <c r="P1248" s="80"/>
      <c r="Q1248" s="80"/>
      <c r="R1248" s="80"/>
      <c r="S1248" s="80"/>
    </row>
    <row r="1249" ht="40.5" customHeight="1">
      <c r="A1249" s="90" t="s">
        <v>674</v>
      </c>
      <c r="B1249" s="96" t="s">
        <v>675</v>
      </c>
      <c r="C1249" s="96" t="s">
        <v>685</v>
      </c>
      <c r="D1249" s="96" t="s">
        <v>686</v>
      </c>
      <c r="E1249" s="96">
        <v>2087111.0</v>
      </c>
      <c r="F1249" s="96" t="s">
        <v>948</v>
      </c>
      <c r="G1249" s="96" t="s">
        <v>696</v>
      </c>
      <c r="H1249" s="90" t="s">
        <v>965</v>
      </c>
      <c r="I1249" s="80"/>
      <c r="J1249" s="80"/>
      <c r="K1249" s="80"/>
      <c r="L1249" s="80"/>
      <c r="M1249" s="80"/>
      <c r="N1249" s="80"/>
      <c r="O1249" s="80"/>
      <c r="P1249" s="80"/>
      <c r="Q1249" s="80"/>
      <c r="R1249" s="80"/>
      <c r="S1249" s="80"/>
    </row>
    <row r="1250" ht="40.5" customHeight="1">
      <c r="A1250" s="90" t="s">
        <v>674</v>
      </c>
      <c r="B1250" s="96" t="s">
        <v>675</v>
      </c>
      <c r="C1250" s="96" t="s">
        <v>685</v>
      </c>
      <c r="D1250" s="96" t="s">
        <v>687</v>
      </c>
      <c r="E1250" s="96">
        <v>2024691.0</v>
      </c>
      <c r="F1250" s="96" t="s">
        <v>1161</v>
      </c>
      <c r="G1250" s="96" t="s">
        <v>692</v>
      </c>
      <c r="H1250" s="90" t="s">
        <v>965</v>
      </c>
      <c r="I1250" s="80"/>
      <c r="J1250" s="80"/>
      <c r="K1250" s="80"/>
      <c r="L1250" s="80"/>
      <c r="M1250" s="80"/>
      <c r="N1250" s="80"/>
      <c r="O1250" s="80"/>
      <c r="P1250" s="80"/>
      <c r="Q1250" s="80"/>
      <c r="R1250" s="80"/>
      <c r="S1250" s="80"/>
    </row>
    <row r="1251" ht="40.5" customHeight="1">
      <c r="A1251" s="90" t="s">
        <v>674</v>
      </c>
      <c r="B1251" s="96" t="s">
        <v>675</v>
      </c>
      <c r="C1251" s="96" t="s">
        <v>685</v>
      </c>
      <c r="D1251" s="96" t="s">
        <v>688</v>
      </c>
      <c r="E1251" s="96">
        <v>2024691.0</v>
      </c>
      <c r="F1251" s="96" t="s">
        <v>1161</v>
      </c>
      <c r="G1251" s="96" t="s">
        <v>692</v>
      </c>
      <c r="H1251" s="90" t="s">
        <v>965</v>
      </c>
      <c r="I1251" s="80"/>
      <c r="J1251" s="80"/>
      <c r="K1251" s="80"/>
      <c r="L1251" s="80"/>
      <c r="M1251" s="80"/>
      <c r="N1251" s="80"/>
      <c r="O1251" s="80"/>
      <c r="P1251" s="80"/>
      <c r="Q1251" s="80"/>
      <c r="R1251" s="80"/>
      <c r="S1251" s="80"/>
    </row>
    <row r="1252" ht="40.5" customHeight="1">
      <c r="A1252" s="90" t="s">
        <v>674</v>
      </c>
      <c r="B1252" s="96" t="s">
        <v>675</v>
      </c>
      <c r="C1252" s="96" t="s">
        <v>685</v>
      </c>
      <c r="D1252" s="96" t="s">
        <v>689</v>
      </c>
      <c r="E1252" s="96">
        <v>2024691.0</v>
      </c>
      <c r="F1252" s="96" t="s">
        <v>1161</v>
      </c>
      <c r="G1252" s="96" t="s">
        <v>692</v>
      </c>
      <c r="H1252" s="90" t="s">
        <v>965</v>
      </c>
      <c r="I1252" s="80"/>
      <c r="J1252" s="80"/>
      <c r="K1252" s="80"/>
      <c r="L1252" s="80"/>
      <c r="M1252" s="80"/>
      <c r="N1252" s="80"/>
      <c r="O1252" s="80"/>
      <c r="P1252" s="80"/>
      <c r="Q1252" s="80"/>
      <c r="R1252" s="80"/>
      <c r="S1252" s="80"/>
    </row>
    <row r="1253" ht="40.5" customHeight="1">
      <c r="A1253" s="90" t="s">
        <v>674</v>
      </c>
      <c r="B1253" s="96" t="s">
        <v>675</v>
      </c>
      <c r="C1253" s="96" t="s">
        <v>685</v>
      </c>
      <c r="D1253" s="96" t="s">
        <v>690</v>
      </c>
      <c r="E1253" s="96">
        <v>2087111.0</v>
      </c>
      <c r="F1253" s="96" t="s">
        <v>948</v>
      </c>
      <c r="G1253" s="96" t="s">
        <v>696</v>
      </c>
      <c r="H1253" s="90" t="s">
        <v>965</v>
      </c>
      <c r="I1253" s="80"/>
      <c r="J1253" s="80"/>
      <c r="K1253" s="80"/>
      <c r="L1253" s="80"/>
      <c r="M1253" s="80"/>
      <c r="N1253" s="80"/>
      <c r="O1253" s="80"/>
      <c r="P1253" s="80"/>
      <c r="Q1253" s="80"/>
      <c r="R1253" s="80"/>
      <c r="S1253" s="80"/>
    </row>
    <row r="1254" ht="40.5" customHeight="1">
      <c r="A1254" s="90" t="s">
        <v>674</v>
      </c>
      <c r="B1254" s="96" t="s">
        <v>675</v>
      </c>
      <c r="C1254" s="96" t="s">
        <v>685</v>
      </c>
      <c r="D1254" s="96" t="s">
        <v>691</v>
      </c>
      <c r="E1254" s="96">
        <v>2087111.0</v>
      </c>
      <c r="F1254" s="96" t="s">
        <v>948</v>
      </c>
      <c r="G1254" s="96" t="s">
        <v>696</v>
      </c>
      <c r="H1254" s="90" t="s">
        <v>965</v>
      </c>
      <c r="I1254" s="80"/>
      <c r="J1254" s="80"/>
      <c r="K1254" s="80"/>
      <c r="L1254" s="80"/>
      <c r="M1254" s="80"/>
      <c r="N1254" s="80"/>
      <c r="O1254" s="80"/>
      <c r="P1254" s="80"/>
      <c r="Q1254" s="80"/>
      <c r="R1254" s="80"/>
      <c r="S1254" s="80"/>
    </row>
    <row r="1255" ht="40.5" customHeight="1">
      <c r="A1255" s="90" t="s">
        <v>674</v>
      </c>
      <c r="B1255" s="96" t="s">
        <v>675</v>
      </c>
      <c r="C1255" s="96" t="s">
        <v>685</v>
      </c>
      <c r="D1255" s="96" t="s">
        <v>692</v>
      </c>
      <c r="E1255" s="96">
        <v>2024691.0</v>
      </c>
      <c r="F1255" s="96" t="s">
        <v>1161</v>
      </c>
      <c r="G1255" s="96" t="s">
        <v>692</v>
      </c>
      <c r="H1255" s="90" t="s">
        <v>965</v>
      </c>
      <c r="I1255" s="80"/>
      <c r="J1255" s="80"/>
      <c r="K1255" s="80"/>
      <c r="L1255" s="80"/>
      <c r="M1255" s="80"/>
      <c r="N1255" s="80"/>
      <c r="O1255" s="80"/>
      <c r="P1255" s="80"/>
      <c r="Q1255" s="80"/>
      <c r="R1255" s="80"/>
      <c r="S1255" s="80"/>
    </row>
    <row r="1256" ht="40.5" customHeight="1">
      <c r="A1256" s="90" t="s">
        <v>674</v>
      </c>
      <c r="B1256" s="96" t="s">
        <v>675</v>
      </c>
      <c r="C1256" s="96" t="s">
        <v>685</v>
      </c>
      <c r="D1256" s="96" t="s">
        <v>693</v>
      </c>
      <c r="E1256" s="96">
        <v>2079518.0</v>
      </c>
      <c r="F1256" s="96" t="s">
        <v>1162</v>
      </c>
      <c r="G1256" s="96" t="s">
        <v>693</v>
      </c>
      <c r="H1256" s="90" t="s">
        <v>965</v>
      </c>
      <c r="I1256" s="80"/>
      <c r="J1256" s="80"/>
      <c r="K1256" s="80"/>
      <c r="L1256" s="80"/>
      <c r="M1256" s="80"/>
      <c r="N1256" s="80"/>
      <c r="O1256" s="80"/>
      <c r="P1256" s="80"/>
      <c r="Q1256" s="80"/>
      <c r="R1256" s="80"/>
      <c r="S1256" s="80"/>
    </row>
    <row r="1257" ht="40.5" customHeight="1">
      <c r="A1257" s="90" t="s">
        <v>674</v>
      </c>
      <c r="B1257" s="96" t="s">
        <v>675</v>
      </c>
      <c r="C1257" s="96" t="s">
        <v>685</v>
      </c>
      <c r="D1257" s="96" t="s">
        <v>694</v>
      </c>
      <c r="E1257" s="96">
        <v>2081512.0</v>
      </c>
      <c r="F1257" s="96" t="s">
        <v>1163</v>
      </c>
      <c r="G1257" s="96" t="s">
        <v>694</v>
      </c>
      <c r="H1257" s="90" t="s">
        <v>965</v>
      </c>
      <c r="I1257" s="80"/>
      <c r="J1257" s="80"/>
      <c r="K1257" s="80"/>
      <c r="L1257" s="80"/>
      <c r="M1257" s="80"/>
      <c r="N1257" s="80"/>
      <c r="O1257" s="80"/>
      <c r="P1257" s="80"/>
      <c r="Q1257" s="80"/>
      <c r="R1257" s="80"/>
      <c r="S1257" s="80"/>
    </row>
    <row r="1258" ht="40.5" customHeight="1">
      <c r="A1258" s="90" t="s">
        <v>674</v>
      </c>
      <c r="B1258" s="96" t="s">
        <v>675</v>
      </c>
      <c r="C1258" s="96" t="s">
        <v>685</v>
      </c>
      <c r="D1258" s="96" t="s">
        <v>695</v>
      </c>
      <c r="E1258" s="96">
        <v>2024691.0</v>
      </c>
      <c r="F1258" s="96" t="s">
        <v>1161</v>
      </c>
      <c r="G1258" s="96" t="s">
        <v>692</v>
      </c>
      <c r="H1258" s="90" t="s">
        <v>965</v>
      </c>
      <c r="I1258" s="80"/>
      <c r="J1258" s="80"/>
      <c r="K1258" s="80"/>
      <c r="L1258" s="80"/>
      <c r="M1258" s="80"/>
      <c r="N1258" s="80"/>
      <c r="O1258" s="80"/>
      <c r="P1258" s="80"/>
      <c r="Q1258" s="80"/>
      <c r="R1258" s="80"/>
      <c r="S1258" s="80"/>
    </row>
    <row r="1259" ht="40.5" customHeight="1">
      <c r="A1259" s="90" t="s">
        <v>674</v>
      </c>
      <c r="B1259" s="96" t="s">
        <v>675</v>
      </c>
      <c r="C1259" s="96" t="s">
        <v>685</v>
      </c>
      <c r="D1259" s="96" t="s">
        <v>696</v>
      </c>
      <c r="E1259" s="96">
        <v>2087111.0</v>
      </c>
      <c r="F1259" s="96" t="s">
        <v>948</v>
      </c>
      <c r="G1259" s="96" t="s">
        <v>696</v>
      </c>
      <c r="H1259" s="90" t="s">
        <v>965</v>
      </c>
      <c r="I1259" s="80"/>
      <c r="J1259" s="80"/>
      <c r="K1259" s="80"/>
      <c r="L1259" s="80"/>
      <c r="M1259" s="80"/>
      <c r="N1259" s="80"/>
      <c r="O1259" s="80"/>
      <c r="P1259" s="80"/>
      <c r="Q1259" s="80"/>
      <c r="R1259" s="80"/>
      <c r="S1259" s="80"/>
    </row>
    <row r="1260" ht="40.5" customHeight="1">
      <c r="A1260" s="90" t="s">
        <v>674</v>
      </c>
      <c r="B1260" s="96" t="s">
        <v>675</v>
      </c>
      <c r="C1260" s="96" t="s">
        <v>685</v>
      </c>
      <c r="D1260" s="96" t="s">
        <v>697</v>
      </c>
      <c r="E1260" s="96">
        <v>2087111.0</v>
      </c>
      <c r="F1260" s="96" t="s">
        <v>948</v>
      </c>
      <c r="G1260" s="96" t="s">
        <v>696</v>
      </c>
      <c r="H1260" s="90" t="s">
        <v>965</v>
      </c>
      <c r="I1260" s="80"/>
      <c r="J1260" s="80"/>
      <c r="K1260" s="80"/>
      <c r="L1260" s="80"/>
      <c r="M1260" s="80"/>
      <c r="N1260" s="80"/>
      <c r="O1260" s="80"/>
      <c r="P1260" s="80"/>
      <c r="Q1260" s="80"/>
      <c r="R1260" s="80"/>
      <c r="S1260" s="80"/>
    </row>
    <row r="1261" ht="40.5" customHeight="1">
      <c r="A1261" s="90" t="s">
        <v>674</v>
      </c>
      <c r="B1261" s="96" t="s">
        <v>675</v>
      </c>
      <c r="C1261" s="96" t="s">
        <v>685</v>
      </c>
      <c r="D1261" s="96" t="s">
        <v>698</v>
      </c>
      <c r="E1261" s="96">
        <v>2087111.0</v>
      </c>
      <c r="F1261" s="96" t="s">
        <v>948</v>
      </c>
      <c r="G1261" s="96" t="s">
        <v>696</v>
      </c>
      <c r="H1261" s="90" t="s">
        <v>965</v>
      </c>
      <c r="I1261" s="80"/>
      <c r="J1261" s="80"/>
      <c r="K1261" s="80"/>
      <c r="L1261" s="80"/>
      <c r="M1261" s="80"/>
      <c r="N1261" s="80"/>
      <c r="O1261" s="80"/>
      <c r="P1261" s="80"/>
      <c r="Q1261" s="80"/>
      <c r="R1261" s="80"/>
      <c r="S1261" s="80"/>
    </row>
    <row r="1262" ht="40.5" customHeight="1">
      <c r="A1262" s="90" t="s">
        <v>674</v>
      </c>
      <c r="B1262" s="96" t="s">
        <v>675</v>
      </c>
      <c r="C1262" s="96" t="s">
        <v>685</v>
      </c>
      <c r="D1262" s="96" t="s">
        <v>699</v>
      </c>
      <c r="E1262" s="96">
        <v>2024691.0</v>
      </c>
      <c r="F1262" s="96" t="s">
        <v>1161</v>
      </c>
      <c r="G1262" s="96" t="s">
        <v>692</v>
      </c>
      <c r="H1262" s="90" t="s">
        <v>965</v>
      </c>
      <c r="I1262" s="80"/>
      <c r="J1262" s="80"/>
      <c r="K1262" s="80"/>
      <c r="L1262" s="80"/>
      <c r="M1262" s="80"/>
      <c r="N1262" s="80"/>
      <c r="O1262" s="80"/>
      <c r="P1262" s="80"/>
      <c r="Q1262" s="80"/>
      <c r="R1262" s="80"/>
      <c r="S1262" s="80"/>
    </row>
    <row r="1263" ht="40.5" customHeight="1">
      <c r="A1263" s="90" t="s">
        <v>674</v>
      </c>
      <c r="B1263" s="96" t="s">
        <v>675</v>
      </c>
      <c r="C1263" s="96" t="s">
        <v>685</v>
      </c>
      <c r="D1263" s="96" t="s">
        <v>700</v>
      </c>
      <c r="E1263" s="96">
        <v>2087111.0</v>
      </c>
      <c r="F1263" s="96" t="s">
        <v>948</v>
      </c>
      <c r="G1263" s="96" t="s">
        <v>696</v>
      </c>
      <c r="H1263" s="90" t="s">
        <v>965</v>
      </c>
      <c r="I1263" s="80"/>
      <c r="J1263" s="80"/>
      <c r="K1263" s="80"/>
      <c r="L1263" s="80"/>
      <c r="M1263" s="80"/>
      <c r="N1263" s="80"/>
      <c r="O1263" s="80"/>
      <c r="P1263" s="80"/>
      <c r="Q1263" s="80"/>
      <c r="R1263" s="80"/>
      <c r="S1263" s="80"/>
    </row>
    <row r="1264" ht="40.5" customHeight="1">
      <c r="A1264" s="90" t="s">
        <v>674</v>
      </c>
      <c r="B1264" s="96" t="s">
        <v>675</v>
      </c>
      <c r="C1264" s="96" t="s">
        <v>685</v>
      </c>
      <c r="D1264" s="96" t="s">
        <v>701</v>
      </c>
      <c r="E1264" s="96">
        <v>2024691.0</v>
      </c>
      <c r="F1264" s="96" t="s">
        <v>1161</v>
      </c>
      <c r="G1264" s="96" t="s">
        <v>692</v>
      </c>
      <c r="H1264" s="90" t="s">
        <v>965</v>
      </c>
      <c r="I1264" s="80"/>
      <c r="J1264" s="80"/>
      <c r="K1264" s="80"/>
      <c r="L1264" s="80"/>
      <c r="M1264" s="80"/>
      <c r="N1264" s="80"/>
      <c r="O1264" s="80"/>
      <c r="P1264" s="80"/>
      <c r="Q1264" s="80"/>
      <c r="R1264" s="80"/>
      <c r="S1264" s="80"/>
    </row>
    <row r="1265" ht="40.5" customHeight="1">
      <c r="A1265" s="90" t="s">
        <v>674</v>
      </c>
      <c r="B1265" s="96" t="s">
        <v>675</v>
      </c>
      <c r="C1265" s="96" t="s">
        <v>685</v>
      </c>
      <c r="D1265" s="96" t="s">
        <v>702</v>
      </c>
      <c r="E1265" s="96">
        <v>2024691.0</v>
      </c>
      <c r="F1265" s="96" t="s">
        <v>1161</v>
      </c>
      <c r="G1265" s="96" t="s">
        <v>692</v>
      </c>
      <c r="H1265" s="90" t="s">
        <v>965</v>
      </c>
      <c r="I1265" s="80"/>
      <c r="J1265" s="80"/>
      <c r="K1265" s="80"/>
      <c r="L1265" s="80"/>
      <c r="M1265" s="80"/>
      <c r="N1265" s="80"/>
      <c r="O1265" s="80"/>
      <c r="P1265" s="80"/>
      <c r="Q1265" s="80"/>
      <c r="R1265" s="80"/>
      <c r="S1265" s="80"/>
    </row>
    <row r="1266" ht="40.5" customHeight="1">
      <c r="A1266" s="90" t="s">
        <v>674</v>
      </c>
      <c r="B1266" s="96" t="s">
        <v>675</v>
      </c>
      <c r="C1266" s="96" t="s">
        <v>703</v>
      </c>
      <c r="D1266" s="96" t="s">
        <v>704</v>
      </c>
      <c r="E1266" s="96">
        <v>2082926.0</v>
      </c>
      <c r="F1266" s="96" t="s">
        <v>1164</v>
      </c>
      <c r="G1266" s="96" t="s">
        <v>704</v>
      </c>
      <c r="H1266" s="90" t="s">
        <v>965</v>
      </c>
      <c r="I1266" s="80"/>
      <c r="J1266" s="80"/>
      <c r="K1266" s="80"/>
      <c r="L1266" s="80"/>
      <c r="M1266" s="80"/>
      <c r="N1266" s="80"/>
      <c r="O1266" s="80"/>
      <c r="P1266" s="80"/>
      <c r="Q1266" s="80"/>
      <c r="R1266" s="80"/>
      <c r="S1266" s="80"/>
    </row>
    <row r="1267" ht="40.5" customHeight="1">
      <c r="A1267" s="90" t="s">
        <v>674</v>
      </c>
      <c r="B1267" s="96" t="s">
        <v>675</v>
      </c>
      <c r="C1267" s="96" t="s">
        <v>703</v>
      </c>
      <c r="D1267" s="96" t="s">
        <v>705</v>
      </c>
      <c r="E1267" s="96">
        <v>2747871.0</v>
      </c>
      <c r="F1267" s="96" t="s">
        <v>1165</v>
      </c>
      <c r="G1267" s="96" t="s">
        <v>953</v>
      </c>
      <c r="H1267" s="90" t="s">
        <v>965</v>
      </c>
      <c r="I1267" s="80"/>
      <c r="J1267" s="80"/>
      <c r="K1267" s="80"/>
      <c r="L1267" s="80"/>
      <c r="M1267" s="80"/>
      <c r="N1267" s="80"/>
      <c r="O1267" s="80"/>
      <c r="P1267" s="80"/>
      <c r="Q1267" s="80"/>
      <c r="R1267" s="80"/>
      <c r="S1267" s="80"/>
    </row>
    <row r="1268" ht="40.5" customHeight="1">
      <c r="A1268" s="90" t="s">
        <v>674</v>
      </c>
      <c r="B1268" s="96" t="s">
        <v>675</v>
      </c>
      <c r="C1268" s="96" t="s">
        <v>703</v>
      </c>
      <c r="D1268" s="96" t="s">
        <v>706</v>
      </c>
      <c r="E1268" s="96">
        <v>2765934.0</v>
      </c>
      <c r="F1268" s="96" t="s">
        <v>1166</v>
      </c>
      <c r="G1268" s="96" t="s">
        <v>706</v>
      </c>
      <c r="H1268" s="90" t="s">
        <v>965</v>
      </c>
      <c r="I1268" s="80"/>
      <c r="J1268" s="80"/>
      <c r="K1268" s="80"/>
      <c r="L1268" s="80"/>
      <c r="M1268" s="80"/>
      <c r="N1268" s="80"/>
      <c r="O1268" s="80"/>
      <c r="P1268" s="80"/>
      <c r="Q1268" s="80"/>
      <c r="R1268" s="80"/>
      <c r="S1268" s="80"/>
    </row>
    <row r="1269" ht="40.5" customHeight="1">
      <c r="A1269" s="90" t="s">
        <v>674</v>
      </c>
      <c r="B1269" s="96" t="s">
        <v>675</v>
      </c>
      <c r="C1269" s="96" t="s">
        <v>703</v>
      </c>
      <c r="D1269" s="96" t="s">
        <v>707</v>
      </c>
      <c r="E1269" s="96">
        <v>2702193.0</v>
      </c>
      <c r="F1269" s="96" t="s">
        <v>1167</v>
      </c>
      <c r="G1269" s="96" t="s">
        <v>707</v>
      </c>
      <c r="H1269" s="90" t="s">
        <v>965</v>
      </c>
      <c r="I1269" s="80"/>
      <c r="J1269" s="80"/>
      <c r="K1269" s="80"/>
      <c r="L1269" s="80"/>
      <c r="M1269" s="80"/>
      <c r="N1269" s="80"/>
      <c r="O1269" s="80"/>
      <c r="P1269" s="80"/>
      <c r="Q1269" s="80"/>
      <c r="R1269" s="80"/>
      <c r="S1269" s="80"/>
    </row>
    <row r="1270" ht="40.5" customHeight="1">
      <c r="A1270" s="90" t="s">
        <v>674</v>
      </c>
      <c r="B1270" s="96" t="s">
        <v>675</v>
      </c>
      <c r="C1270" s="96" t="s">
        <v>708</v>
      </c>
      <c r="D1270" s="96" t="s">
        <v>709</v>
      </c>
      <c r="E1270" s="96">
        <v>7947984.0</v>
      </c>
      <c r="F1270" s="96" t="s">
        <v>1168</v>
      </c>
      <c r="G1270" s="96" t="s">
        <v>709</v>
      </c>
      <c r="H1270" s="90" t="s">
        <v>965</v>
      </c>
      <c r="I1270" s="80"/>
      <c r="J1270" s="80"/>
      <c r="K1270" s="80"/>
      <c r="L1270" s="80"/>
      <c r="M1270" s="80"/>
      <c r="N1270" s="80"/>
      <c r="O1270" s="80"/>
      <c r="P1270" s="80"/>
      <c r="Q1270" s="80"/>
      <c r="R1270" s="80"/>
      <c r="S1270" s="80"/>
    </row>
    <row r="1271" ht="40.5" customHeight="1">
      <c r="A1271" s="90" t="s">
        <v>674</v>
      </c>
      <c r="B1271" s="96" t="s">
        <v>675</v>
      </c>
      <c r="C1271" s="96" t="s">
        <v>708</v>
      </c>
      <c r="D1271" s="96" t="s">
        <v>711</v>
      </c>
      <c r="E1271" s="96">
        <v>2749319.0</v>
      </c>
      <c r="F1271" s="96" t="s">
        <v>949</v>
      </c>
      <c r="G1271" s="96" t="s">
        <v>675</v>
      </c>
      <c r="H1271" s="90" t="s">
        <v>965</v>
      </c>
      <c r="I1271" s="80"/>
      <c r="J1271" s="80"/>
      <c r="K1271" s="80"/>
      <c r="L1271" s="80"/>
      <c r="M1271" s="80"/>
      <c r="N1271" s="80"/>
      <c r="O1271" s="80"/>
      <c r="P1271" s="80"/>
      <c r="Q1271" s="80"/>
      <c r="R1271" s="80"/>
      <c r="S1271" s="80"/>
    </row>
    <row r="1272" ht="40.5" customHeight="1">
      <c r="A1272" s="90" t="s">
        <v>674</v>
      </c>
      <c r="B1272" s="96" t="s">
        <v>675</v>
      </c>
      <c r="C1272" s="96" t="s">
        <v>708</v>
      </c>
      <c r="D1272" s="96" t="s">
        <v>711</v>
      </c>
      <c r="E1272" s="96">
        <v>2755092.0</v>
      </c>
      <c r="F1272" s="96" t="s">
        <v>1169</v>
      </c>
      <c r="G1272" s="104" t="s">
        <v>713</v>
      </c>
      <c r="H1272" s="90" t="s">
        <v>965</v>
      </c>
      <c r="I1272" s="80"/>
      <c r="J1272" s="80"/>
      <c r="K1272" s="80"/>
      <c r="L1272" s="80"/>
      <c r="M1272" s="80"/>
      <c r="N1272" s="80"/>
      <c r="O1272" s="80"/>
      <c r="P1272" s="80"/>
      <c r="Q1272" s="80"/>
      <c r="R1272" s="80"/>
      <c r="S1272" s="80"/>
    </row>
    <row r="1273" ht="40.5" customHeight="1">
      <c r="A1273" s="90" t="s">
        <v>674</v>
      </c>
      <c r="B1273" s="96" t="s">
        <v>675</v>
      </c>
      <c r="C1273" s="96" t="s">
        <v>708</v>
      </c>
      <c r="D1273" s="96" t="s">
        <v>712</v>
      </c>
      <c r="E1273" s="96">
        <v>2749319.0</v>
      </c>
      <c r="F1273" s="96" t="s">
        <v>949</v>
      </c>
      <c r="G1273" s="96" t="s">
        <v>675</v>
      </c>
      <c r="H1273" s="90" t="s">
        <v>965</v>
      </c>
      <c r="I1273" s="80"/>
      <c r="J1273" s="80"/>
      <c r="K1273" s="80"/>
      <c r="L1273" s="80"/>
      <c r="M1273" s="80"/>
      <c r="N1273" s="80"/>
      <c r="O1273" s="80"/>
      <c r="P1273" s="80"/>
      <c r="Q1273" s="80"/>
      <c r="R1273" s="80"/>
      <c r="S1273" s="80"/>
    </row>
    <row r="1274" ht="40.5" customHeight="1">
      <c r="A1274" s="90" t="s">
        <v>674</v>
      </c>
      <c r="B1274" s="96" t="s">
        <v>675</v>
      </c>
      <c r="C1274" s="96" t="s">
        <v>708</v>
      </c>
      <c r="D1274" s="96" t="s">
        <v>712</v>
      </c>
      <c r="E1274" s="96">
        <v>2755092.0</v>
      </c>
      <c r="F1274" s="96" t="s">
        <v>1170</v>
      </c>
      <c r="G1274" s="104" t="s">
        <v>713</v>
      </c>
      <c r="H1274" s="90" t="s">
        <v>965</v>
      </c>
      <c r="I1274" s="80"/>
      <c r="J1274" s="80"/>
      <c r="K1274" s="80"/>
      <c r="L1274" s="80"/>
      <c r="M1274" s="80"/>
      <c r="N1274" s="80"/>
      <c r="O1274" s="80"/>
      <c r="P1274" s="80"/>
      <c r="Q1274" s="80"/>
      <c r="R1274" s="80"/>
      <c r="S1274" s="80"/>
    </row>
    <row r="1275" ht="40.5" customHeight="1">
      <c r="A1275" s="90" t="s">
        <v>674</v>
      </c>
      <c r="B1275" s="96" t="s">
        <v>675</v>
      </c>
      <c r="C1275" s="96" t="s">
        <v>708</v>
      </c>
      <c r="D1275" s="96" t="s">
        <v>712</v>
      </c>
      <c r="E1275" s="96">
        <v>2082926.0</v>
      </c>
      <c r="F1275" s="96" t="s">
        <v>1164</v>
      </c>
      <c r="G1275" s="96" t="s">
        <v>704</v>
      </c>
      <c r="H1275" s="90" t="s">
        <v>965</v>
      </c>
      <c r="I1275" s="80"/>
      <c r="J1275" s="80"/>
      <c r="K1275" s="80"/>
      <c r="L1275" s="80"/>
      <c r="M1275" s="80"/>
      <c r="N1275" s="80"/>
      <c r="O1275" s="80"/>
      <c r="P1275" s="80"/>
      <c r="Q1275" s="80"/>
      <c r="R1275" s="80"/>
      <c r="S1275" s="80"/>
    </row>
    <row r="1276" ht="40.5" customHeight="1">
      <c r="A1276" s="90" t="s">
        <v>674</v>
      </c>
      <c r="B1276" s="96" t="s">
        <v>675</v>
      </c>
      <c r="C1276" s="96" t="s">
        <v>708</v>
      </c>
      <c r="D1276" s="96" t="s">
        <v>713</v>
      </c>
      <c r="E1276" s="96">
        <v>2755092.0</v>
      </c>
      <c r="F1276" s="96" t="s">
        <v>1169</v>
      </c>
      <c r="G1276" s="96" t="s">
        <v>713</v>
      </c>
      <c r="H1276" s="90" t="s">
        <v>965</v>
      </c>
      <c r="I1276" s="80"/>
      <c r="J1276" s="80"/>
      <c r="K1276" s="80"/>
      <c r="L1276" s="80"/>
      <c r="M1276" s="80"/>
      <c r="N1276" s="80"/>
      <c r="O1276" s="80"/>
      <c r="P1276" s="80"/>
      <c r="Q1276" s="80"/>
      <c r="R1276" s="80"/>
      <c r="S1276" s="80"/>
    </row>
    <row r="1277" ht="40.5" customHeight="1">
      <c r="A1277" s="90" t="s">
        <v>674</v>
      </c>
      <c r="B1277" s="96" t="s">
        <v>675</v>
      </c>
      <c r="C1277" s="96" t="s">
        <v>708</v>
      </c>
      <c r="D1277" s="96" t="s">
        <v>715</v>
      </c>
      <c r="E1277" s="96">
        <v>2749319.0</v>
      </c>
      <c r="F1277" s="96" t="s">
        <v>949</v>
      </c>
      <c r="G1277" s="96" t="s">
        <v>675</v>
      </c>
      <c r="H1277" s="90" t="s">
        <v>965</v>
      </c>
      <c r="I1277" s="80"/>
      <c r="J1277" s="80"/>
      <c r="K1277" s="80"/>
      <c r="L1277" s="80"/>
      <c r="M1277" s="80"/>
      <c r="N1277" s="80"/>
      <c r="O1277" s="80"/>
      <c r="P1277" s="80"/>
      <c r="Q1277" s="80"/>
      <c r="R1277" s="80"/>
      <c r="S1277" s="80"/>
    </row>
    <row r="1278" ht="40.5" customHeight="1">
      <c r="A1278" s="90" t="s">
        <v>674</v>
      </c>
      <c r="B1278" s="96" t="s">
        <v>675</v>
      </c>
      <c r="C1278" s="96" t="s">
        <v>708</v>
      </c>
      <c r="D1278" s="96" t="s">
        <v>715</v>
      </c>
      <c r="E1278" s="96">
        <v>2755092.0</v>
      </c>
      <c r="F1278" s="96" t="s">
        <v>1169</v>
      </c>
      <c r="G1278" s="104" t="s">
        <v>713</v>
      </c>
      <c r="H1278" s="90" t="s">
        <v>965</v>
      </c>
      <c r="I1278" s="80"/>
      <c r="J1278" s="80"/>
      <c r="K1278" s="80"/>
      <c r="L1278" s="80"/>
      <c r="M1278" s="80"/>
      <c r="N1278" s="80"/>
      <c r="O1278" s="80"/>
      <c r="P1278" s="80"/>
      <c r="Q1278" s="80"/>
      <c r="R1278" s="80"/>
      <c r="S1278" s="80"/>
    </row>
    <row r="1279" ht="40.5" customHeight="1">
      <c r="A1279" s="90" t="s">
        <v>674</v>
      </c>
      <c r="B1279" s="96" t="s">
        <v>675</v>
      </c>
      <c r="C1279" s="96" t="s">
        <v>708</v>
      </c>
      <c r="D1279" s="96" t="s">
        <v>716</v>
      </c>
      <c r="E1279" s="96">
        <v>7947984.0</v>
      </c>
      <c r="F1279" s="96" t="s">
        <v>1168</v>
      </c>
      <c r="G1279" s="96" t="s">
        <v>709</v>
      </c>
      <c r="H1279" s="90" t="s">
        <v>965</v>
      </c>
      <c r="I1279" s="80"/>
      <c r="J1279" s="80"/>
      <c r="K1279" s="80"/>
      <c r="L1279" s="80"/>
      <c r="M1279" s="80"/>
      <c r="N1279" s="80"/>
      <c r="O1279" s="80"/>
      <c r="P1279" s="80"/>
      <c r="Q1279" s="80"/>
      <c r="R1279" s="80"/>
      <c r="S1279" s="80"/>
    </row>
    <row r="1280" ht="40.5" customHeight="1">
      <c r="A1280" s="90" t="s">
        <v>674</v>
      </c>
      <c r="B1280" s="96" t="s">
        <v>675</v>
      </c>
      <c r="C1280" s="96" t="s">
        <v>708</v>
      </c>
      <c r="D1280" s="96" t="s">
        <v>716</v>
      </c>
      <c r="E1280" s="96">
        <v>2755092.0</v>
      </c>
      <c r="F1280" s="96" t="s">
        <v>1169</v>
      </c>
      <c r="G1280" s="104" t="s">
        <v>713</v>
      </c>
      <c r="H1280" s="90" t="s">
        <v>965</v>
      </c>
      <c r="I1280" s="80"/>
      <c r="J1280" s="80"/>
      <c r="K1280" s="80"/>
      <c r="L1280" s="80"/>
      <c r="M1280" s="80"/>
      <c r="N1280" s="80"/>
      <c r="O1280" s="80"/>
      <c r="P1280" s="80"/>
      <c r="Q1280" s="80"/>
      <c r="R1280" s="80"/>
      <c r="S1280" s="80"/>
    </row>
    <row r="1281" ht="40.5" customHeight="1">
      <c r="A1281" s="90" t="s">
        <v>674</v>
      </c>
      <c r="B1281" s="96" t="s">
        <v>675</v>
      </c>
      <c r="C1281" s="96" t="s">
        <v>708</v>
      </c>
      <c r="D1281" s="96" t="s">
        <v>717</v>
      </c>
      <c r="E1281" s="96">
        <v>2078546.0</v>
      </c>
      <c r="F1281" s="96" t="s">
        <v>1171</v>
      </c>
      <c r="G1281" s="96" t="s">
        <v>717</v>
      </c>
      <c r="H1281" s="90" t="s">
        <v>965</v>
      </c>
      <c r="I1281" s="80"/>
      <c r="J1281" s="80"/>
      <c r="K1281" s="80"/>
      <c r="L1281" s="80"/>
      <c r="M1281" s="80"/>
      <c r="N1281" s="80"/>
      <c r="O1281" s="80"/>
      <c r="P1281" s="80"/>
      <c r="Q1281" s="80"/>
      <c r="R1281" s="80"/>
      <c r="S1281" s="80"/>
    </row>
    <row r="1282" ht="40.5" customHeight="1">
      <c r="A1282" s="90" t="s">
        <v>674</v>
      </c>
      <c r="B1282" s="96" t="s">
        <v>675</v>
      </c>
      <c r="C1282" s="96" t="s">
        <v>708</v>
      </c>
      <c r="D1282" s="96" t="s">
        <v>717</v>
      </c>
      <c r="E1282" s="96">
        <v>7947984.0</v>
      </c>
      <c r="F1282" s="96" t="s">
        <v>1168</v>
      </c>
      <c r="G1282" s="96" t="s">
        <v>709</v>
      </c>
      <c r="H1282" s="90" t="s">
        <v>965</v>
      </c>
      <c r="I1282" s="80"/>
      <c r="J1282" s="80"/>
      <c r="K1282" s="80"/>
      <c r="L1282" s="80"/>
      <c r="M1282" s="80"/>
      <c r="N1282" s="80"/>
      <c r="O1282" s="80"/>
      <c r="P1282" s="80"/>
      <c r="Q1282" s="80"/>
      <c r="R1282" s="80"/>
      <c r="S1282" s="80"/>
    </row>
    <row r="1283" ht="40.5" customHeight="1">
      <c r="A1283" s="90" t="s">
        <v>674</v>
      </c>
      <c r="B1283" s="96" t="s">
        <v>675</v>
      </c>
      <c r="C1283" s="96" t="s">
        <v>708</v>
      </c>
      <c r="D1283" s="96" t="s">
        <v>718</v>
      </c>
      <c r="E1283" s="96">
        <v>2749319.0</v>
      </c>
      <c r="F1283" s="96" t="s">
        <v>949</v>
      </c>
      <c r="G1283" s="96" t="s">
        <v>675</v>
      </c>
      <c r="H1283" s="90" t="s">
        <v>965</v>
      </c>
      <c r="I1283" s="80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</row>
    <row r="1284" ht="40.5" customHeight="1">
      <c r="A1284" s="90" t="s">
        <v>674</v>
      </c>
      <c r="B1284" s="96" t="s">
        <v>675</v>
      </c>
      <c r="C1284" s="96" t="s">
        <v>708</v>
      </c>
      <c r="D1284" s="96" t="s">
        <v>718</v>
      </c>
      <c r="E1284" s="96">
        <v>2755092.0</v>
      </c>
      <c r="F1284" s="96" t="s">
        <v>1169</v>
      </c>
      <c r="G1284" s="104" t="s">
        <v>713</v>
      </c>
      <c r="H1284" s="90" t="s">
        <v>965</v>
      </c>
      <c r="I1284" s="80"/>
      <c r="J1284" s="80"/>
      <c r="K1284" s="80"/>
      <c r="L1284" s="80"/>
      <c r="M1284" s="80"/>
      <c r="N1284" s="80"/>
      <c r="O1284" s="80"/>
      <c r="P1284" s="80"/>
      <c r="Q1284" s="80"/>
      <c r="R1284" s="80"/>
      <c r="S1284" s="80"/>
    </row>
    <row r="1285" ht="40.5" customHeight="1">
      <c r="A1285" s="90" t="s">
        <v>674</v>
      </c>
      <c r="B1285" s="96" t="s">
        <v>675</v>
      </c>
      <c r="C1285" s="96" t="s">
        <v>708</v>
      </c>
      <c r="D1285" s="96" t="s">
        <v>675</v>
      </c>
      <c r="E1285" s="96">
        <v>2749319.0</v>
      </c>
      <c r="F1285" s="96" t="s">
        <v>949</v>
      </c>
      <c r="G1285" s="96" t="s">
        <v>675</v>
      </c>
      <c r="H1285" s="90" t="s">
        <v>965</v>
      </c>
      <c r="I1285" s="80"/>
      <c r="J1285" s="80"/>
      <c r="K1285" s="80"/>
      <c r="L1285" s="80"/>
      <c r="M1285" s="80"/>
      <c r="N1285" s="80"/>
      <c r="O1285" s="80"/>
      <c r="P1285" s="80"/>
      <c r="Q1285" s="80"/>
      <c r="R1285" s="80"/>
      <c r="S1285" s="80"/>
    </row>
    <row r="1286" ht="40.5" customHeight="1">
      <c r="A1286" s="90" t="s">
        <v>674</v>
      </c>
      <c r="B1286" s="96" t="s">
        <v>675</v>
      </c>
      <c r="C1286" s="96" t="s">
        <v>708</v>
      </c>
      <c r="D1286" s="96" t="s">
        <v>675</v>
      </c>
      <c r="E1286" s="96">
        <v>2755092.0</v>
      </c>
      <c r="F1286" s="96" t="s">
        <v>1169</v>
      </c>
      <c r="G1286" s="104" t="s">
        <v>713</v>
      </c>
      <c r="H1286" s="90" t="s">
        <v>965</v>
      </c>
      <c r="I1286" s="80"/>
      <c r="J1286" s="80"/>
      <c r="K1286" s="80"/>
      <c r="L1286" s="80"/>
      <c r="M1286" s="80"/>
      <c r="N1286" s="80"/>
      <c r="O1286" s="80"/>
      <c r="P1286" s="80"/>
      <c r="Q1286" s="80"/>
      <c r="R1286" s="80"/>
      <c r="S1286" s="80"/>
    </row>
    <row r="1287" ht="40.5" customHeight="1">
      <c r="A1287" s="90" t="s">
        <v>674</v>
      </c>
      <c r="B1287" s="96" t="s">
        <v>675</v>
      </c>
      <c r="C1287" s="96" t="s">
        <v>708</v>
      </c>
      <c r="D1287" s="96" t="s">
        <v>721</v>
      </c>
      <c r="E1287" s="96">
        <v>2749319.0</v>
      </c>
      <c r="F1287" s="96" t="s">
        <v>949</v>
      </c>
      <c r="G1287" s="96" t="s">
        <v>675</v>
      </c>
      <c r="H1287" s="90" t="s">
        <v>965</v>
      </c>
      <c r="I1287" s="80"/>
      <c r="J1287" s="80"/>
      <c r="K1287" s="80"/>
      <c r="L1287" s="80"/>
      <c r="M1287" s="80"/>
      <c r="N1287" s="80"/>
      <c r="O1287" s="80"/>
      <c r="P1287" s="80"/>
      <c r="Q1287" s="80"/>
      <c r="R1287" s="80"/>
      <c r="S1287" s="80"/>
    </row>
    <row r="1288" ht="40.5" customHeight="1">
      <c r="A1288" s="90" t="s">
        <v>674</v>
      </c>
      <c r="B1288" s="96" t="s">
        <v>675</v>
      </c>
      <c r="C1288" s="96" t="s">
        <v>708</v>
      </c>
      <c r="D1288" s="96" t="s">
        <v>721</v>
      </c>
      <c r="E1288" s="104">
        <v>2755092.0</v>
      </c>
      <c r="F1288" s="96" t="s">
        <v>1169</v>
      </c>
      <c r="G1288" s="104" t="s">
        <v>713</v>
      </c>
      <c r="H1288" s="90" t="s">
        <v>965</v>
      </c>
      <c r="I1288" s="80"/>
      <c r="J1288" s="80"/>
      <c r="K1288" s="80"/>
      <c r="L1288" s="80"/>
      <c r="M1288" s="80"/>
      <c r="N1288" s="80"/>
      <c r="O1288" s="80"/>
      <c r="P1288" s="80"/>
      <c r="Q1288" s="80"/>
      <c r="R1288" s="80"/>
      <c r="S1288" s="80"/>
    </row>
    <row r="1289" ht="40.5" customHeight="1">
      <c r="A1289" s="90" t="s">
        <v>723</v>
      </c>
      <c r="B1289" s="96" t="s">
        <v>724</v>
      </c>
      <c r="C1289" s="96" t="s">
        <v>725</v>
      </c>
      <c r="D1289" s="96" t="s">
        <v>726</v>
      </c>
      <c r="E1289" s="96">
        <v>6943284.0</v>
      </c>
      <c r="F1289" s="96" t="s">
        <v>1172</v>
      </c>
      <c r="G1289" s="96" t="s">
        <v>960</v>
      </c>
      <c r="H1289" s="90" t="s">
        <v>965</v>
      </c>
      <c r="I1289" s="80"/>
      <c r="J1289" s="80"/>
      <c r="K1289" s="80"/>
      <c r="L1289" s="80"/>
      <c r="M1289" s="80"/>
      <c r="N1289" s="80"/>
      <c r="O1289" s="80"/>
      <c r="P1289" s="80"/>
      <c r="Q1289" s="80"/>
      <c r="R1289" s="80"/>
      <c r="S1289" s="80"/>
    </row>
    <row r="1290" ht="40.5" customHeight="1">
      <c r="A1290" s="90" t="s">
        <v>723</v>
      </c>
      <c r="B1290" s="96" t="s">
        <v>724</v>
      </c>
      <c r="C1290" s="96" t="s">
        <v>725</v>
      </c>
      <c r="D1290" s="96" t="s">
        <v>724</v>
      </c>
      <c r="E1290" s="96">
        <v>6943284.0</v>
      </c>
      <c r="F1290" s="96" t="s">
        <v>1172</v>
      </c>
      <c r="G1290" s="96" t="s">
        <v>960</v>
      </c>
      <c r="H1290" s="90" t="s">
        <v>965</v>
      </c>
      <c r="I1290" s="80"/>
      <c r="J1290" s="80"/>
      <c r="K1290" s="80"/>
      <c r="L1290" s="80"/>
      <c r="M1290" s="80"/>
      <c r="N1290" s="80"/>
      <c r="O1290" s="80"/>
      <c r="P1290" s="80"/>
      <c r="Q1290" s="80"/>
      <c r="R1290" s="80"/>
      <c r="S1290" s="80"/>
    </row>
    <row r="1291" ht="40.5" customHeight="1">
      <c r="A1291" s="90" t="s">
        <v>723</v>
      </c>
      <c r="B1291" s="96" t="s">
        <v>724</v>
      </c>
      <c r="C1291" s="96" t="s">
        <v>725</v>
      </c>
      <c r="D1291" s="96" t="s">
        <v>727</v>
      </c>
      <c r="E1291" s="96">
        <v>6943284.0</v>
      </c>
      <c r="F1291" s="96" t="s">
        <v>1172</v>
      </c>
      <c r="G1291" s="96" t="s">
        <v>960</v>
      </c>
      <c r="H1291" s="90" t="s">
        <v>965</v>
      </c>
      <c r="I1291" s="80"/>
      <c r="J1291" s="80"/>
      <c r="K1291" s="80"/>
      <c r="L1291" s="80"/>
      <c r="M1291" s="80"/>
      <c r="N1291" s="80"/>
      <c r="O1291" s="80"/>
      <c r="P1291" s="80"/>
      <c r="Q1291" s="80"/>
      <c r="R1291" s="80"/>
      <c r="S1291" s="80"/>
    </row>
    <row r="1292" ht="40.5" customHeight="1">
      <c r="A1292" s="90" t="s">
        <v>723</v>
      </c>
      <c r="B1292" s="96" t="s">
        <v>724</v>
      </c>
      <c r="C1292" s="96" t="s">
        <v>725</v>
      </c>
      <c r="D1292" s="96" t="s">
        <v>728</v>
      </c>
      <c r="E1292" s="96">
        <v>6943284.0</v>
      </c>
      <c r="F1292" s="96" t="s">
        <v>1172</v>
      </c>
      <c r="G1292" s="96" t="s">
        <v>960</v>
      </c>
      <c r="H1292" s="90" t="s">
        <v>965</v>
      </c>
      <c r="I1292" s="80"/>
      <c r="J1292" s="80"/>
      <c r="K1292" s="80"/>
      <c r="L1292" s="80"/>
      <c r="M1292" s="80"/>
      <c r="N1292" s="80"/>
      <c r="O1292" s="80"/>
      <c r="P1292" s="80"/>
      <c r="Q1292" s="80"/>
      <c r="R1292" s="80"/>
      <c r="S1292" s="80"/>
    </row>
    <row r="1293" ht="40.5" customHeight="1">
      <c r="A1293" s="90" t="s">
        <v>723</v>
      </c>
      <c r="B1293" s="96" t="s">
        <v>724</v>
      </c>
      <c r="C1293" s="96" t="s">
        <v>725</v>
      </c>
      <c r="D1293" s="96" t="s">
        <v>729</v>
      </c>
      <c r="E1293" s="96">
        <v>6943284.0</v>
      </c>
      <c r="F1293" s="96" t="s">
        <v>1172</v>
      </c>
      <c r="G1293" s="96" t="s">
        <v>960</v>
      </c>
      <c r="H1293" s="90" t="s">
        <v>965</v>
      </c>
      <c r="I1293" s="80"/>
      <c r="J1293" s="80"/>
      <c r="K1293" s="80"/>
      <c r="L1293" s="80"/>
      <c r="M1293" s="80"/>
      <c r="N1293" s="80"/>
      <c r="O1293" s="80"/>
      <c r="P1293" s="80"/>
      <c r="Q1293" s="80"/>
      <c r="R1293" s="80"/>
      <c r="S1293" s="80"/>
    </row>
    <row r="1294" ht="40.5" customHeight="1">
      <c r="A1294" s="90" t="s">
        <v>723</v>
      </c>
      <c r="B1294" s="96" t="s">
        <v>724</v>
      </c>
      <c r="C1294" s="96" t="s">
        <v>725</v>
      </c>
      <c r="D1294" s="96" t="s">
        <v>730</v>
      </c>
      <c r="E1294" s="96">
        <v>6943284.0</v>
      </c>
      <c r="F1294" s="96" t="s">
        <v>1172</v>
      </c>
      <c r="G1294" s="96" t="s">
        <v>960</v>
      </c>
      <c r="H1294" s="90" t="s">
        <v>965</v>
      </c>
      <c r="I1294" s="80"/>
      <c r="J1294" s="80"/>
      <c r="K1294" s="80"/>
      <c r="L1294" s="80"/>
      <c r="M1294" s="80"/>
      <c r="N1294" s="80"/>
      <c r="O1294" s="80"/>
      <c r="P1294" s="80"/>
      <c r="Q1294" s="80"/>
      <c r="R1294" s="80"/>
      <c r="S1294" s="80"/>
    </row>
    <row r="1295" ht="40.5" customHeight="1">
      <c r="A1295" s="90" t="s">
        <v>723</v>
      </c>
      <c r="B1295" s="96" t="s">
        <v>724</v>
      </c>
      <c r="C1295" s="96" t="s">
        <v>725</v>
      </c>
      <c r="D1295" s="96" t="s">
        <v>731</v>
      </c>
      <c r="E1295" s="96">
        <v>6943284.0</v>
      </c>
      <c r="F1295" s="96" t="s">
        <v>1172</v>
      </c>
      <c r="G1295" s="96" t="s">
        <v>960</v>
      </c>
      <c r="H1295" s="90" t="s">
        <v>965</v>
      </c>
      <c r="I1295" s="80"/>
      <c r="J1295" s="80"/>
      <c r="K1295" s="80"/>
      <c r="L1295" s="80"/>
      <c r="M1295" s="80"/>
      <c r="N1295" s="80"/>
      <c r="O1295" s="80"/>
      <c r="P1295" s="80"/>
      <c r="Q1295" s="80"/>
      <c r="R1295" s="80"/>
      <c r="S1295" s="80"/>
    </row>
    <row r="1296" ht="40.5" customHeight="1">
      <c r="A1296" s="90" t="s">
        <v>723</v>
      </c>
      <c r="B1296" s="96" t="s">
        <v>724</v>
      </c>
      <c r="C1296" s="96" t="s">
        <v>725</v>
      </c>
      <c r="D1296" s="96" t="s">
        <v>732</v>
      </c>
      <c r="E1296" s="96">
        <v>6943284.0</v>
      </c>
      <c r="F1296" s="96" t="s">
        <v>1172</v>
      </c>
      <c r="G1296" s="96" t="s">
        <v>960</v>
      </c>
      <c r="H1296" s="90" t="s">
        <v>965</v>
      </c>
      <c r="I1296" s="80"/>
      <c r="J1296" s="80"/>
      <c r="K1296" s="80"/>
      <c r="L1296" s="80"/>
      <c r="M1296" s="80"/>
      <c r="N1296" s="80"/>
      <c r="O1296" s="80"/>
      <c r="P1296" s="80"/>
      <c r="Q1296" s="80"/>
      <c r="R1296" s="80"/>
      <c r="S1296" s="80"/>
    </row>
    <row r="1297" ht="40.5" customHeight="1">
      <c r="A1297" s="90" t="s">
        <v>723</v>
      </c>
      <c r="B1297" s="96" t="s">
        <v>724</v>
      </c>
      <c r="C1297" s="96" t="s">
        <v>733</v>
      </c>
      <c r="D1297" s="96" t="s">
        <v>734</v>
      </c>
      <c r="E1297" s="96">
        <v>2081989.0</v>
      </c>
      <c r="F1297" s="96" t="s">
        <v>1173</v>
      </c>
      <c r="G1297" s="96" t="s">
        <v>1174</v>
      </c>
      <c r="H1297" s="90" t="s">
        <v>965</v>
      </c>
      <c r="I1297" s="80"/>
      <c r="J1297" s="80"/>
      <c r="K1297" s="80"/>
      <c r="L1297" s="80"/>
      <c r="M1297" s="80"/>
      <c r="N1297" s="80"/>
      <c r="O1297" s="80"/>
      <c r="P1297" s="80"/>
      <c r="Q1297" s="80"/>
      <c r="R1297" s="80"/>
      <c r="S1297" s="80"/>
    </row>
    <row r="1298" ht="40.5" customHeight="1">
      <c r="A1298" s="90" t="s">
        <v>723</v>
      </c>
      <c r="B1298" s="96" t="s">
        <v>724</v>
      </c>
      <c r="C1298" s="96" t="s">
        <v>733</v>
      </c>
      <c r="D1298" s="96" t="s">
        <v>735</v>
      </c>
      <c r="E1298" s="96">
        <v>2082640.0</v>
      </c>
      <c r="F1298" s="96" t="s">
        <v>1175</v>
      </c>
      <c r="G1298" s="96" t="s">
        <v>1176</v>
      </c>
      <c r="H1298" s="90" t="s">
        <v>965</v>
      </c>
      <c r="I1298" s="80"/>
      <c r="J1298" s="80"/>
      <c r="K1298" s="80"/>
      <c r="L1298" s="80"/>
      <c r="M1298" s="80"/>
      <c r="N1298" s="80"/>
      <c r="O1298" s="80"/>
      <c r="P1298" s="80"/>
      <c r="Q1298" s="80"/>
      <c r="R1298" s="80"/>
      <c r="S1298" s="80"/>
    </row>
    <row r="1299" ht="40.5" customHeight="1">
      <c r="A1299" s="90" t="s">
        <v>723</v>
      </c>
      <c r="B1299" s="96" t="s">
        <v>724</v>
      </c>
      <c r="C1299" s="96" t="s">
        <v>733</v>
      </c>
      <c r="D1299" s="96" t="s">
        <v>736</v>
      </c>
      <c r="E1299" s="96">
        <v>2079836.0</v>
      </c>
      <c r="F1299" s="96" t="s">
        <v>1177</v>
      </c>
      <c r="G1299" s="96" t="s">
        <v>736</v>
      </c>
      <c r="H1299" s="90" t="s">
        <v>965</v>
      </c>
      <c r="I1299" s="80"/>
      <c r="J1299" s="80"/>
      <c r="K1299" s="80"/>
      <c r="L1299" s="80"/>
      <c r="M1299" s="80"/>
      <c r="N1299" s="80"/>
      <c r="O1299" s="80"/>
      <c r="P1299" s="80"/>
      <c r="Q1299" s="80"/>
      <c r="R1299" s="80"/>
      <c r="S1299" s="80"/>
    </row>
    <row r="1300" ht="40.5" customHeight="1">
      <c r="A1300" s="90" t="s">
        <v>723</v>
      </c>
      <c r="B1300" s="96" t="s">
        <v>724</v>
      </c>
      <c r="C1300" s="96" t="s">
        <v>733</v>
      </c>
      <c r="D1300" s="96" t="s">
        <v>737</v>
      </c>
      <c r="E1300" s="96">
        <v>2747685.0</v>
      </c>
      <c r="F1300" s="96" t="s">
        <v>1178</v>
      </c>
      <c r="G1300" s="96" t="s">
        <v>737</v>
      </c>
      <c r="H1300" s="90" t="s">
        <v>965</v>
      </c>
      <c r="I1300" s="80"/>
      <c r="J1300" s="80"/>
      <c r="K1300" s="80"/>
      <c r="L1300" s="80"/>
      <c r="M1300" s="80"/>
      <c r="N1300" s="80"/>
      <c r="O1300" s="80"/>
      <c r="P1300" s="80"/>
      <c r="Q1300" s="80"/>
      <c r="R1300" s="80"/>
      <c r="S1300" s="80"/>
    </row>
    <row r="1301" ht="40.5" customHeight="1">
      <c r="A1301" s="90" t="s">
        <v>723</v>
      </c>
      <c r="B1301" s="96" t="s">
        <v>724</v>
      </c>
      <c r="C1301" s="96" t="s">
        <v>733</v>
      </c>
      <c r="D1301" s="96" t="s">
        <v>738</v>
      </c>
      <c r="E1301" s="96">
        <v>2079399.0</v>
      </c>
      <c r="F1301" s="96" t="s">
        <v>1179</v>
      </c>
      <c r="G1301" s="96" t="s">
        <v>738</v>
      </c>
      <c r="H1301" s="90" t="s">
        <v>965</v>
      </c>
      <c r="I1301" s="80"/>
      <c r="J1301" s="80"/>
      <c r="K1301" s="80"/>
      <c r="L1301" s="80"/>
      <c r="M1301" s="80"/>
      <c r="N1301" s="80"/>
      <c r="O1301" s="80"/>
      <c r="P1301" s="80"/>
      <c r="Q1301" s="80"/>
      <c r="R1301" s="80"/>
      <c r="S1301" s="80"/>
    </row>
    <row r="1302" ht="40.5" customHeight="1">
      <c r="A1302" s="90" t="s">
        <v>723</v>
      </c>
      <c r="B1302" s="96" t="s">
        <v>724</v>
      </c>
      <c r="C1302" s="96" t="s">
        <v>739</v>
      </c>
      <c r="D1302" s="96" t="s">
        <v>740</v>
      </c>
      <c r="E1302" s="96">
        <v>2081717.0</v>
      </c>
      <c r="F1302" s="96" t="s">
        <v>1180</v>
      </c>
      <c r="G1302" s="96" t="s">
        <v>740</v>
      </c>
      <c r="H1302" s="90" t="s">
        <v>965</v>
      </c>
      <c r="I1302" s="80"/>
      <c r="J1302" s="80"/>
      <c r="K1302" s="80"/>
      <c r="L1302" s="80"/>
      <c r="M1302" s="80"/>
      <c r="N1302" s="80"/>
      <c r="O1302" s="80"/>
      <c r="P1302" s="80"/>
      <c r="Q1302" s="80"/>
      <c r="R1302" s="80"/>
      <c r="S1302" s="80"/>
    </row>
    <row r="1303" ht="40.5" customHeight="1">
      <c r="A1303" s="90" t="s">
        <v>723</v>
      </c>
      <c r="B1303" s="96" t="s">
        <v>724</v>
      </c>
      <c r="C1303" s="96" t="s">
        <v>739</v>
      </c>
      <c r="D1303" s="96" t="s">
        <v>741</v>
      </c>
      <c r="E1303" s="96">
        <v>2747022.0</v>
      </c>
      <c r="F1303" s="96" t="s">
        <v>1181</v>
      </c>
      <c r="G1303" s="96" t="s">
        <v>741</v>
      </c>
      <c r="H1303" s="90" t="s">
        <v>965</v>
      </c>
      <c r="I1303" s="80"/>
      <c r="J1303" s="80"/>
      <c r="K1303" s="80"/>
      <c r="L1303" s="80"/>
      <c r="M1303" s="80"/>
      <c r="N1303" s="80"/>
      <c r="O1303" s="80"/>
      <c r="P1303" s="80"/>
      <c r="Q1303" s="80"/>
      <c r="R1303" s="80"/>
      <c r="S1303" s="80"/>
    </row>
    <row r="1304" ht="40.5" customHeight="1">
      <c r="A1304" s="90" t="s">
        <v>723</v>
      </c>
      <c r="B1304" s="96" t="s">
        <v>724</v>
      </c>
      <c r="C1304" s="96" t="s">
        <v>739</v>
      </c>
      <c r="D1304" s="96" t="s">
        <v>742</v>
      </c>
      <c r="E1304" s="96">
        <v>7377738.0</v>
      </c>
      <c r="F1304" s="96" t="s">
        <v>1182</v>
      </c>
      <c r="G1304" s="96" t="s">
        <v>742</v>
      </c>
      <c r="H1304" s="90" t="s">
        <v>965</v>
      </c>
      <c r="I1304" s="80"/>
      <c r="J1304" s="80"/>
      <c r="K1304" s="80"/>
      <c r="L1304" s="80"/>
      <c r="M1304" s="80"/>
      <c r="N1304" s="80"/>
      <c r="O1304" s="80"/>
      <c r="P1304" s="80"/>
      <c r="Q1304" s="80"/>
      <c r="R1304" s="80"/>
      <c r="S1304" s="80"/>
    </row>
    <row r="1305" ht="40.5" customHeight="1">
      <c r="A1305" s="90" t="s">
        <v>723</v>
      </c>
      <c r="B1305" s="96" t="s">
        <v>724</v>
      </c>
      <c r="C1305" s="96" t="s">
        <v>739</v>
      </c>
      <c r="D1305" s="96" t="s">
        <v>743</v>
      </c>
      <c r="E1305" s="96">
        <v>2082322.0</v>
      </c>
      <c r="F1305" s="96" t="s">
        <v>1183</v>
      </c>
      <c r="G1305" s="96" t="s">
        <v>743</v>
      </c>
      <c r="H1305" s="90" t="s">
        <v>965</v>
      </c>
      <c r="I1305" s="80"/>
      <c r="J1305" s="80"/>
      <c r="K1305" s="80"/>
      <c r="L1305" s="80"/>
      <c r="M1305" s="80"/>
      <c r="N1305" s="80"/>
      <c r="O1305" s="80"/>
      <c r="P1305" s="80"/>
      <c r="Q1305" s="80"/>
      <c r="R1305" s="80"/>
      <c r="S1305" s="80"/>
    </row>
    <row r="1306" ht="40.5" customHeight="1">
      <c r="A1306" s="90" t="s">
        <v>723</v>
      </c>
      <c r="B1306" s="96" t="s">
        <v>724</v>
      </c>
      <c r="C1306" s="96" t="s">
        <v>739</v>
      </c>
      <c r="D1306" s="96" t="s">
        <v>744</v>
      </c>
      <c r="E1306" s="96">
        <v>2747693.0</v>
      </c>
      <c r="F1306" s="96" t="s">
        <v>1184</v>
      </c>
      <c r="G1306" s="96" t="s">
        <v>744</v>
      </c>
      <c r="H1306" s="90" t="s">
        <v>965</v>
      </c>
      <c r="I1306" s="80"/>
      <c r="J1306" s="80"/>
      <c r="K1306" s="80"/>
      <c r="L1306" s="80"/>
      <c r="M1306" s="80"/>
      <c r="N1306" s="80"/>
      <c r="O1306" s="80"/>
      <c r="P1306" s="80"/>
      <c r="Q1306" s="80"/>
      <c r="R1306" s="80"/>
      <c r="S1306" s="80"/>
    </row>
    <row r="1307" ht="40.5" customHeight="1">
      <c r="A1307" s="90" t="s">
        <v>723</v>
      </c>
      <c r="B1307" s="96" t="s">
        <v>724</v>
      </c>
      <c r="C1307" s="96" t="s">
        <v>739</v>
      </c>
      <c r="D1307" s="96" t="s">
        <v>745</v>
      </c>
      <c r="E1307" s="96">
        <v>2080931.0</v>
      </c>
      <c r="F1307" s="96" t="s">
        <v>1185</v>
      </c>
      <c r="G1307" s="96" t="s">
        <v>745</v>
      </c>
      <c r="H1307" s="90" t="s">
        <v>965</v>
      </c>
      <c r="I1307" s="80"/>
      <c r="J1307" s="80"/>
      <c r="K1307" s="80"/>
      <c r="L1307" s="80"/>
      <c r="M1307" s="80"/>
      <c r="N1307" s="80"/>
      <c r="O1307" s="80"/>
      <c r="P1307" s="80"/>
      <c r="Q1307" s="80"/>
      <c r="R1307" s="80"/>
      <c r="S1307" s="80"/>
    </row>
    <row r="1308" ht="40.5" customHeight="1">
      <c r="A1308" s="90" t="s">
        <v>723</v>
      </c>
      <c r="B1308" s="96" t="s">
        <v>724</v>
      </c>
      <c r="C1308" s="96" t="s">
        <v>487</v>
      </c>
      <c r="D1308" s="96" t="s">
        <v>746</v>
      </c>
      <c r="E1308" s="96">
        <v>2078295.0</v>
      </c>
      <c r="F1308" s="96" t="s">
        <v>1186</v>
      </c>
      <c r="G1308" s="96" t="s">
        <v>750</v>
      </c>
      <c r="H1308" s="90" t="s">
        <v>965</v>
      </c>
      <c r="I1308" s="80"/>
      <c r="J1308" s="80"/>
      <c r="K1308" s="80"/>
      <c r="L1308" s="80"/>
      <c r="M1308" s="80"/>
      <c r="N1308" s="80"/>
      <c r="O1308" s="80"/>
      <c r="P1308" s="80"/>
      <c r="Q1308" s="80"/>
      <c r="R1308" s="80"/>
      <c r="S1308" s="80"/>
    </row>
    <row r="1309" ht="40.5" customHeight="1">
      <c r="A1309" s="90" t="s">
        <v>723</v>
      </c>
      <c r="B1309" s="96" t="s">
        <v>724</v>
      </c>
      <c r="C1309" s="96" t="s">
        <v>487</v>
      </c>
      <c r="D1309" s="96" t="s">
        <v>747</v>
      </c>
      <c r="E1309" s="96">
        <v>2090961.0</v>
      </c>
      <c r="F1309" s="96" t="s">
        <v>961</v>
      </c>
      <c r="G1309" s="96" t="s">
        <v>962</v>
      </c>
      <c r="H1309" s="90" t="s">
        <v>965</v>
      </c>
      <c r="I1309" s="80"/>
      <c r="J1309" s="80"/>
      <c r="K1309" s="80"/>
      <c r="L1309" s="80"/>
      <c r="M1309" s="80"/>
      <c r="N1309" s="80"/>
      <c r="O1309" s="80"/>
      <c r="P1309" s="80"/>
      <c r="Q1309" s="80"/>
      <c r="R1309" s="80"/>
      <c r="S1309" s="80"/>
    </row>
    <row r="1310" ht="40.5" customHeight="1">
      <c r="A1310" s="90" t="s">
        <v>723</v>
      </c>
      <c r="B1310" s="96" t="s">
        <v>724</v>
      </c>
      <c r="C1310" s="96" t="s">
        <v>487</v>
      </c>
      <c r="D1310" s="96" t="s">
        <v>748</v>
      </c>
      <c r="E1310" s="96">
        <v>2090961.0</v>
      </c>
      <c r="F1310" s="96" t="s">
        <v>961</v>
      </c>
      <c r="G1310" s="96" t="s">
        <v>748</v>
      </c>
      <c r="H1310" s="90" t="s">
        <v>965</v>
      </c>
      <c r="I1310" s="80"/>
      <c r="J1310" s="80"/>
      <c r="K1310" s="80"/>
      <c r="L1310" s="80"/>
      <c r="M1310" s="80"/>
      <c r="N1310" s="80"/>
      <c r="O1310" s="80"/>
      <c r="P1310" s="80"/>
      <c r="Q1310" s="80"/>
      <c r="R1310" s="80"/>
      <c r="S1310" s="80"/>
    </row>
    <row r="1311" ht="40.5" customHeight="1">
      <c r="A1311" s="90" t="s">
        <v>723</v>
      </c>
      <c r="B1311" s="96" t="s">
        <v>724</v>
      </c>
      <c r="C1311" s="96" t="s">
        <v>487</v>
      </c>
      <c r="D1311" s="96" t="s">
        <v>749</v>
      </c>
      <c r="E1311" s="96">
        <v>2078295.0</v>
      </c>
      <c r="F1311" s="96" t="s">
        <v>1186</v>
      </c>
      <c r="G1311" s="96" t="s">
        <v>750</v>
      </c>
      <c r="H1311" s="90" t="s">
        <v>965</v>
      </c>
      <c r="I1311" s="80"/>
      <c r="J1311" s="80"/>
      <c r="K1311" s="80"/>
      <c r="L1311" s="80"/>
      <c r="M1311" s="80"/>
      <c r="N1311" s="80"/>
      <c r="O1311" s="80"/>
      <c r="P1311" s="80"/>
      <c r="Q1311" s="80"/>
      <c r="R1311" s="80"/>
      <c r="S1311" s="80"/>
    </row>
    <row r="1312" ht="40.5" customHeight="1">
      <c r="A1312" s="90" t="s">
        <v>723</v>
      </c>
      <c r="B1312" s="96" t="s">
        <v>724</v>
      </c>
      <c r="C1312" s="96" t="s">
        <v>487</v>
      </c>
      <c r="D1312" s="96" t="s">
        <v>750</v>
      </c>
      <c r="E1312" s="96">
        <v>2078295.0</v>
      </c>
      <c r="F1312" s="96" t="s">
        <v>1186</v>
      </c>
      <c r="G1312" s="96" t="s">
        <v>750</v>
      </c>
      <c r="H1312" s="90" t="s">
        <v>965</v>
      </c>
      <c r="I1312" s="80"/>
      <c r="J1312" s="80"/>
      <c r="K1312" s="80"/>
      <c r="L1312" s="80"/>
      <c r="M1312" s="80"/>
      <c r="N1312" s="80"/>
      <c r="O1312" s="80"/>
      <c r="P1312" s="80"/>
      <c r="Q1312" s="80"/>
      <c r="R1312" s="80"/>
      <c r="S1312" s="80"/>
    </row>
  </sheetData>
  <dataValidations>
    <dataValidation type="list" allowBlank="1" showErrorMessage="1" sqref="B622:B663 B1241:B1288">
      <formula1>#REF!</formula1>
    </dataValidation>
    <dataValidation type="list" allowBlank="1" showErrorMessage="1" sqref="B526:B592 B1178:B1222">
      <formula1>#REF!</formula1>
    </dataValidation>
    <dataValidation type="list" allowBlank="1" showErrorMessage="1" sqref="C173:C234 C826:C887">
      <formula1>#REF!</formula1>
    </dataValidation>
    <dataValidation type="list" allowBlank="1" showErrorMessage="1" sqref="C622:C663 C1241:C1288">
      <formula1>#REF!</formula1>
    </dataValidation>
    <dataValidation type="list" allowBlank="1" showErrorMessage="1" sqref="B489:B525 B1145:B1177">
      <formula1>#REF!</formula1>
    </dataValidation>
    <dataValidation type="list" allowBlank="1" showErrorMessage="1" sqref="C593:C621 C1223:C1240">
      <formula1>#REF!</formula1>
    </dataValidation>
    <dataValidation type="list" allowBlank="1" showErrorMessage="1" sqref="B89:B172 B758:B825">
      <formula1>#REF!</formula1>
    </dataValidation>
    <dataValidation type="list" allowBlank="1" showErrorMessage="1" sqref="B2:B8 B53:B60 B688:B694 B727:B733">
      <formula1>#REF!</formula1>
    </dataValidation>
    <dataValidation type="list" allowBlank="1" showErrorMessage="1" sqref="B593:B621 B1223:B1240">
      <formula1>#REF!</formula1>
    </dataValidation>
    <dataValidation type="list" allowBlank="1" showErrorMessage="1" sqref="C489:C525 C1145:C1177">
      <formula1>#REF!</formula1>
    </dataValidation>
    <dataValidation type="list" allowBlank="1" showErrorMessage="1" sqref="C526:C592 C1178:C1222">
      <formula1>#REF!</formula1>
    </dataValidation>
    <dataValidation type="list" allowBlank="1" showErrorMessage="1" sqref="C89:C172 C758:C825">
      <formula1>#REF!</formula1>
    </dataValidation>
    <dataValidation type="list" allowBlank="1" showErrorMessage="1" sqref="B173:B234 B826:B887">
      <formula1>#REF!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4.43" defaultRowHeight="15.0"/>
  <cols>
    <col customWidth="1" min="1" max="2" width="22.0"/>
    <col customWidth="1" min="3" max="3" width="18.43"/>
    <col customWidth="1" min="4" max="4" width="16.71"/>
    <col customWidth="1" min="5" max="5" width="15.86"/>
    <col customWidth="1" min="7" max="7" width="39.86"/>
    <col customWidth="1" min="8" max="8" width="24.71"/>
    <col customWidth="1" min="9" max="9" width="22.0"/>
  </cols>
  <sheetData>
    <row r="1" ht="42.0" customHeight="1">
      <c r="A1" s="89" t="s">
        <v>0</v>
      </c>
      <c r="B1" s="76" t="s">
        <v>751</v>
      </c>
      <c r="C1" s="77" t="s">
        <v>752</v>
      </c>
      <c r="D1" s="76" t="s">
        <v>3</v>
      </c>
      <c r="E1" s="76" t="s">
        <v>1</v>
      </c>
      <c r="F1" s="76" t="s">
        <v>788</v>
      </c>
      <c r="G1" s="77" t="s">
        <v>789</v>
      </c>
      <c r="H1" s="77" t="s">
        <v>790</v>
      </c>
      <c r="I1" s="77" t="s">
        <v>791</v>
      </c>
      <c r="J1" s="80"/>
      <c r="K1" s="80"/>
      <c r="L1" s="80"/>
      <c r="M1" s="80"/>
      <c r="N1" s="80"/>
      <c r="O1" s="80"/>
      <c r="P1" s="80"/>
      <c r="Q1" s="80"/>
      <c r="R1" s="80"/>
      <c r="S1" s="80"/>
    </row>
    <row r="2" ht="42.0" customHeight="1">
      <c r="A2" s="90" t="s">
        <v>753</v>
      </c>
      <c r="B2" s="82" t="s">
        <v>754</v>
      </c>
      <c r="C2" s="82" t="s">
        <v>755</v>
      </c>
      <c r="D2" s="82" t="s">
        <v>756</v>
      </c>
      <c r="E2" s="82" t="s">
        <v>26</v>
      </c>
      <c r="F2" s="82">
        <v>2077574.0</v>
      </c>
      <c r="G2" s="82" t="s">
        <v>1187</v>
      </c>
      <c r="H2" s="82" t="s">
        <v>756</v>
      </c>
      <c r="I2" s="90" t="s">
        <v>793</v>
      </c>
      <c r="J2" s="80"/>
      <c r="K2" s="80"/>
      <c r="L2" s="80"/>
      <c r="M2" s="80"/>
      <c r="N2" s="80"/>
      <c r="O2" s="80"/>
      <c r="P2" s="80"/>
      <c r="Q2" s="80"/>
      <c r="R2" s="80"/>
      <c r="S2" s="80"/>
    </row>
    <row r="3" ht="42.0" customHeight="1">
      <c r="A3" s="90" t="s">
        <v>753</v>
      </c>
      <c r="B3" s="82" t="s">
        <v>754</v>
      </c>
      <c r="C3" s="82" t="s">
        <v>755</v>
      </c>
      <c r="D3" s="82" t="s">
        <v>756</v>
      </c>
      <c r="E3" s="82" t="s">
        <v>26</v>
      </c>
      <c r="F3" s="82">
        <v>2079186.0</v>
      </c>
      <c r="G3" s="82" t="s">
        <v>1188</v>
      </c>
      <c r="H3" s="82" t="s">
        <v>756</v>
      </c>
      <c r="I3" s="90" t="s">
        <v>793</v>
      </c>
      <c r="J3" s="80"/>
      <c r="K3" s="80"/>
      <c r="L3" s="80"/>
      <c r="M3" s="80"/>
      <c r="N3" s="80"/>
      <c r="O3" s="80"/>
      <c r="P3" s="80"/>
      <c r="Q3" s="80"/>
      <c r="R3" s="80"/>
      <c r="S3" s="80"/>
    </row>
    <row r="4" ht="42.0" customHeight="1">
      <c r="A4" s="90" t="s">
        <v>753</v>
      </c>
      <c r="B4" s="82" t="s">
        <v>754</v>
      </c>
      <c r="C4" s="82" t="s">
        <v>757</v>
      </c>
      <c r="D4" s="82" t="s">
        <v>756</v>
      </c>
      <c r="E4" s="82" t="s">
        <v>26</v>
      </c>
      <c r="F4" s="82">
        <v>2082225.0</v>
      </c>
      <c r="G4" s="82" t="s">
        <v>1189</v>
      </c>
      <c r="H4" s="82" t="s">
        <v>756</v>
      </c>
      <c r="I4" s="90" t="s">
        <v>793</v>
      </c>
      <c r="J4" s="80"/>
      <c r="K4" s="80"/>
      <c r="L4" s="80"/>
      <c r="M4" s="80"/>
      <c r="N4" s="80"/>
      <c r="O4" s="80"/>
      <c r="P4" s="80"/>
      <c r="Q4" s="80"/>
      <c r="R4" s="80"/>
      <c r="S4" s="80"/>
    </row>
    <row r="5" ht="42.0" customHeight="1">
      <c r="A5" s="90" t="s">
        <v>753</v>
      </c>
      <c r="B5" s="82" t="s">
        <v>754</v>
      </c>
      <c r="C5" s="82" t="s">
        <v>757</v>
      </c>
      <c r="D5" s="82" t="s">
        <v>756</v>
      </c>
      <c r="E5" s="82" t="s">
        <v>26</v>
      </c>
      <c r="F5" s="82">
        <v>2079186.0</v>
      </c>
      <c r="G5" s="82" t="s">
        <v>1188</v>
      </c>
      <c r="H5" s="82" t="s">
        <v>756</v>
      </c>
      <c r="I5" s="90" t="s">
        <v>793</v>
      </c>
      <c r="J5" s="80"/>
      <c r="K5" s="80"/>
      <c r="L5" s="80"/>
      <c r="M5" s="80"/>
      <c r="N5" s="80"/>
      <c r="O5" s="80"/>
      <c r="P5" s="80"/>
      <c r="Q5" s="80"/>
      <c r="R5" s="80"/>
      <c r="S5" s="80"/>
    </row>
    <row r="6" ht="42.0" customHeight="1">
      <c r="A6" s="90" t="s">
        <v>753</v>
      </c>
      <c r="B6" s="82" t="s">
        <v>754</v>
      </c>
      <c r="C6" s="82" t="s">
        <v>758</v>
      </c>
      <c r="D6" s="82" t="s">
        <v>756</v>
      </c>
      <c r="E6" s="82" t="s">
        <v>26</v>
      </c>
      <c r="F6" s="82">
        <v>2082225.0</v>
      </c>
      <c r="G6" s="82" t="s">
        <v>1189</v>
      </c>
      <c r="H6" s="82" t="s">
        <v>756</v>
      </c>
      <c r="I6" s="90" t="s">
        <v>793</v>
      </c>
      <c r="J6" s="80"/>
      <c r="K6" s="80"/>
      <c r="L6" s="80"/>
      <c r="M6" s="80"/>
      <c r="N6" s="80"/>
      <c r="O6" s="80"/>
      <c r="P6" s="80"/>
      <c r="Q6" s="80"/>
      <c r="R6" s="80"/>
      <c r="S6" s="80"/>
    </row>
    <row r="7" ht="42.0" customHeight="1">
      <c r="A7" s="90" t="s">
        <v>753</v>
      </c>
      <c r="B7" s="82" t="s">
        <v>754</v>
      </c>
      <c r="C7" s="82" t="s">
        <v>759</v>
      </c>
      <c r="D7" s="82" t="s">
        <v>756</v>
      </c>
      <c r="E7" s="82" t="s">
        <v>26</v>
      </c>
      <c r="F7" s="82">
        <v>2082225.0</v>
      </c>
      <c r="G7" s="82" t="s">
        <v>1189</v>
      </c>
      <c r="H7" s="82" t="s">
        <v>756</v>
      </c>
      <c r="I7" s="90" t="s">
        <v>793</v>
      </c>
      <c r="J7" s="80"/>
      <c r="K7" s="80"/>
      <c r="L7" s="80"/>
      <c r="M7" s="80"/>
      <c r="N7" s="80"/>
      <c r="O7" s="80"/>
      <c r="P7" s="80"/>
      <c r="Q7" s="80"/>
      <c r="R7" s="80"/>
      <c r="S7" s="80"/>
    </row>
    <row r="8" ht="42.0" customHeight="1">
      <c r="A8" s="90" t="s">
        <v>753</v>
      </c>
      <c r="B8" s="82" t="s">
        <v>754</v>
      </c>
      <c r="C8" s="82" t="s">
        <v>759</v>
      </c>
      <c r="D8" s="82" t="s">
        <v>756</v>
      </c>
      <c r="E8" s="82" t="s">
        <v>26</v>
      </c>
      <c r="F8" s="82">
        <v>2079186.0</v>
      </c>
      <c r="G8" s="82" t="s">
        <v>1188</v>
      </c>
      <c r="H8" s="82" t="s">
        <v>756</v>
      </c>
      <c r="I8" s="90" t="s">
        <v>793</v>
      </c>
      <c r="J8" s="80"/>
      <c r="K8" s="80"/>
      <c r="L8" s="80"/>
      <c r="M8" s="80"/>
      <c r="N8" s="80"/>
      <c r="O8" s="80"/>
      <c r="P8" s="80"/>
      <c r="Q8" s="80"/>
      <c r="R8" s="80"/>
      <c r="S8" s="80"/>
    </row>
    <row r="9" ht="42.0" customHeight="1">
      <c r="A9" s="90" t="s">
        <v>753</v>
      </c>
      <c r="B9" s="82" t="s">
        <v>754</v>
      </c>
      <c r="C9" s="82" t="s">
        <v>1190</v>
      </c>
      <c r="D9" s="82" t="s">
        <v>756</v>
      </c>
      <c r="E9" s="82" t="s">
        <v>26</v>
      </c>
      <c r="F9" s="82">
        <v>2077574.0</v>
      </c>
      <c r="G9" s="82" t="s">
        <v>1187</v>
      </c>
      <c r="H9" s="82" t="s">
        <v>756</v>
      </c>
      <c r="I9" s="90" t="s">
        <v>793</v>
      </c>
      <c r="J9" s="80"/>
      <c r="K9" s="80"/>
      <c r="L9" s="80"/>
      <c r="M9" s="80"/>
      <c r="N9" s="80"/>
      <c r="O9" s="80"/>
      <c r="P9" s="80"/>
      <c r="Q9" s="80"/>
      <c r="R9" s="80"/>
      <c r="S9" s="80"/>
    </row>
    <row r="10" ht="42.0" customHeight="1">
      <c r="A10" s="90" t="s">
        <v>753</v>
      </c>
      <c r="B10" s="82" t="s">
        <v>754</v>
      </c>
      <c r="C10" s="82" t="s">
        <v>1190</v>
      </c>
      <c r="D10" s="82" t="s">
        <v>756</v>
      </c>
      <c r="E10" s="82" t="s">
        <v>26</v>
      </c>
      <c r="F10" s="82">
        <v>2076896.0</v>
      </c>
      <c r="G10" s="82" t="s">
        <v>1191</v>
      </c>
      <c r="H10" s="82" t="s">
        <v>756</v>
      </c>
      <c r="I10" s="90" t="s">
        <v>793</v>
      </c>
      <c r="J10" s="80"/>
      <c r="K10" s="80"/>
      <c r="L10" s="80"/>
      <c r="M10" s="80"/>
      <c r="N10" s="80"/>
      <c r="O10" s="80"/>
      <c r="P10" s="80"/>
      <c r="Q10" s="80"/>
      <c r="R10" s="80"/>
      <c r="S10" s="80"/>
    </row>
    <row r="11" ht="42.0" customHeight="1">
      <c r="A11" s="90" t="s">
        <v>753</v>
      </c>
      <c r="B11" s="82" t="s">
        <v>754</v>
      </c>
      <c r="C11" s="82" t="s">
        <v>761</v>
      </c>
      <c r="D11" s="82" t="s">
        <v>756</v>
      </c>
      <c r="E11" s="82" t="s">
        <v>26</v>
      </c>
      <c r="F11" s="82">
        <v>3212130.0</v>
      </c>
      <c r="G11" s="82" t="s">
        <v>1192</v>
      </c>
      <c r="H11" s="82" t="s">
        <v>756</v>
      </c>
      <c r="I11" s="90" t="s">
        <v>793</v>
      </c>
      <c r="J11" s="80"/>
      <c r="K11" s="80"/>
      <c r="L11" s="80"/>
      <c r="M11" s="80"/>
      <c r="N11" s="80"/>
      <c r="O11" s="80"/>
      <c r="P11" s="80"/>
      <c r="Q11" s="80"/>
      <c r="R11" s="80"/>
      <c r="S11" s="80"/>
    </row>
    <row r="12" ht="42.0" customHeight="1">
      <c r="A12" s="90" t="s">
        <v>753</v>
      </c>
      <c r="B12" s="82" t="s">
        <v>762</v>
      </c>
      <c r="C12" s="82" t="s">
        <v>763</v>
      </c>
      <c r="D12" s="82" t="s">
        <v>756</v>
      </c>
      <c r="E12" s="82" t="s">
        <v>26</v>
      </c>
      <c r="F12" s="82">
        <v>2065665.0</v>
      </c>
      <c r="G12" s="82" t="s">
        <v>1193</v>
      </c>
      <c r="H12" s="82" t="s">
        <v>756</v>
      </c>
      <c r="I12" s="90" t="s">
        <v>793</v>
      </c>
      <c r="J12" s="80"/>
      <c r="K12" s="80"/>
      <c r="L12" s="80"/>
      <c r="M12" s="80"/>
      <c r="N12" s="80"/>
      <c r="O12" s="80"/>
      <c r="P12" s="80"/>
      <c r="Q12" s="80"/>
      <c r="R12" s="80"/>
      <c r="S12" s="80"/>
    </row>
    <row r="13" ht="42.0" customHeight="1">
      <c r="A13" s="90" t="s">
        <v>753</v>
      </c>
      <c r="B13" s="82" t="s">
        <v>762</v>
      </c>
      <c r="C13" s="82" t="s">
        <v>763</v>
      </c>
      <c r="D13" s="82" t="s">
        <v>756</v>
      </c>
      <c r="E13" s="82" t="s">
        <v>26</v>
      </c>
      <c r="F13" s="82">
        <v>2751887.0</v>
      </c>
      <c r="G13" s="82" t="s">
        <v>1194</v>
      </c>
      <c r="H13" s="82" t="s">
        <v>756</v>
      </c>
      <c r="I13" s="90" t="s">
        <v>793</v>
      </c>
      <c r="J13" s="80"/>
      <c r="K13" s="80"/>
      <c r="L13" s="80"/>
      <c r="M13" s="80"/>
      <c r="N13" s="80"/>
      <c r="O13" s="80"/>
      <c r="P13" s="80"/>
      <c r="Q13" s="80"/>
      <c r="R13" s="80"/>
      <c r="S13" s="80"/>
    </row>
    <row r="14" ht="42.0" customHeight="1">
      <c r="A14" s="90" t="s">
        <v>753</v>
      </c>
      <c r="B14" s="82" t="s">
        <v>762</v>
      </c>
      <c r="C14" s="82" t="s">
        <v>764</v>
      </c>
      <c r="D14" s="82" t="s">
        <v>756</v>
      </c>
      <c r="E14" s="82" t="s">
        <v>26</v>
      </c>
      <c r="F14" s="82">
        <v>2065665.0</v>
      </c>
      <c r="G14" s="82" t="s">
        <v>1193</v>
      </c>
      <c r="H14" s="82" t="s">
        <v>756</v>
      </c>
      <c r="I14" s="90" t="s">
        <v>793</v>
      </c>
      <c r="J14" s="80"/>
      <c r="K14" s="80"/>
      <c r="L14" s="80"/>
      <c r="M14" s="80"/>
      <c r="N14" s="80"/>
      <c r="O14" s="80"/>
      <c r="P14" s="80"/>
      <c r="Q14" s="80"/>
      <c r="R14" s="80"/>
      <c r="S14" s="80"/>
    </row>
    <row r="15" ht="42.0" customHeight="1">
      <c r="A15" s="90" t="s">
        <v>753</v>
      </c>
      <c r="B15" s="82" t="s">
        <v>762</v>
      </c>
      <c r="C15" s="82" t="s">
        <v>764</v>
      </c>
      <c r="D15" s="82" t="s">
        <v>756</v>
      </c>
      <c r="E15" s="82" t="s">
        <v>26</v>
      </c>
      <c r="F15" s="82">
        <v>2751887.0</v>
      </c>
      <c r="G15" s="82" t="s">
        <v>1194</v>
      </c>
      <c r="H15" s="82" t="s">
        <v>756</v>
      </c>
      <c r="I15" s="90" t="s">
        <v>793</v>
      </c>
      <c r="J15" s="80"/>
      <c r="K15" s="80"/>
      <c r="L15" s="80"/>
      <c r="M15" s="80"/>
      <c r="N15" s="80"/>
      <c r="O15" s="80"/>
      <c r="P15" s="80"/>
      <c r="Q15" s="80"/>
      <c r="R15" s="80"/>
      <c r="S15" s="80"/>
    </row>
    <row r="16" ht="42.0" customHeight="1">
      <c r="A16" s="90" t="s">
        <v>753</v>
      </c>
      <c r="B16" s="82" t="s">
        <v>762</v>
      </c>
      <c r="C16" s="82" t="s">
        <v>765</v>
      </c>
      <c r="D16" s="82" t="s">
        <v>756</v>
      </c>
      <c r="E16" s="82" t="s">
        <v>26</v>
      </c>
      <c r="F16" s="82">
        <v>7534817.0</v>
      </c>
      <c r="G16" s="82" t="s">
        <v>1195</v>
      </c>
      <c r="H16" s="82" t="s">
        <v>756</v>
      </c>
      <c r="I16" s="90" t="s">
        <v>793</v>
      </c>
      <c r="J16" s="80"/>
      <c r="K16" s="80"/>
      <c r="L16" s="80"/>
      <c r="M16" s="80"/>
      <c r="N16" s="80"/>
      <c r="O16" s="80"/>
      <c r="P16" s="80"/>
      <c r="Q16" s="80"/>
      <c r="R16" s="80"/>
      <c r="S16" s="80"/>
    </row>
    <row r="17" ht="42.0" customHeight="1">
      <c r="A17" s="90" t="s">
        <v>753</v>
      </c>
      <c r="B17" s="82" t="s">
        <v>762</v>
      </c>
      <c r="C17" s="82" t="s">
        <v>765</v>
      </c>
      <c r="D17" s="82" t="s">
        <v>756</v>
      </c>
      <c r="E17" s="82" t="s">
        <v>26</v>
      </c>
      <c r="F17" s="82">
        <v>6415415.0</v>
      </c>
      <c r="G17" s="82" t="s">
        <v>1196</v>
      </c>
      <c r="H17" s="82" t="s">
        <v>756</v>
      </c>
      <c r="I17" s="90" t="s">
        <v>793</v>
      </c>
      <c r="J17" s="80"/>
      <c r="K17" s="80"/>
      <c r="L17" s="80"/>
      <c r="M17" s="80"/>
      <c r="N17" s="80"/>
      <c r="O17" s="80"/>
      <c r="P17" s="80"/>
      <c r="Q17" s="80"/>
      <c r="R17" s="80"/>
      <c r="S17" s="80"/>
    </row>
    <row r="18" ht="42.0" customHeight="1">
      <c r="A18" s="90" t="s">
        <v>753</v>
      </c>
      <c r="B18" s="82" t="s">
        <v>762</v>
      </c>
      <c r="C18" s="82" t="s">
        <v>766</v>
      </c>
      <c r="D18" s="82" t="s">
        <v>756</v>
      </c>
      <c r="E18" s="82" t="s">
        <v>26</v>
      </c>
      <c r="F18" s="82">
        <v>2091658.0</v>
      </c>
      <c r="G18" s="82" t="s">
        <v>1197</v>
      </c>
      <c r="H18" s="82" t="s">
        <v>756</v>
      </c>
      <c r="I18" s="90" t="s">
        <v>793</v>
      </c>
      <c r="J18" s="80"/>
      <c r="K18" s="80"/>
      <c r="L18" s="80"/>
      <c r="M18" s="80"/>
      <c r="N18" s="80"/>
      <c r="O18" s="80"/>
      <c r="P18" s="80"/>
      <c r="Q18" s="80"/>
      <c r="R18" s="80"/>
      <c r="S18" s="80"/>
    </row>
    <row r="19" ht="42.0" customHeight="1">
      <c r="A19" s="90" t="s">
        <v>753</v>
      </c>
      <c r="B19" s="82" t="s">
        <v>762</v>
      </c>
      <c r="C19" s="82" t="s">
        <v>766</v>
      </c>
      <c r="D19" s="82" t="s">
        <v>756</v>
      </c>
      <c r="E19" s="82" t="s">
        <v>26</v>
      </c>
      <c r="F19" s="82">
        <v>7378394.0</v>
      </c>
      <c r="G19" s="82" t="s">
        <v>1198</v>
      </c>
      <c r="H19" s="82" t="s">
        <v>756</v>
      </c>
      <c r="I19" s="90" t="s">
        <v>793</v>
      </c>
      <c r="J19" s="80"/>
      <c r="K19" s="80"/>
      <c r="L19" s="80"/>
      <c r="M19" s="80"/>
      <c r="N19" s="80"/>
      <c r="O19" s="80"/>
      <c r="P19" s="80"/>
      <c r="Q19" s="80"/>
      <c r="R19" s="80"/>
      <c r="S19" s="80"/>
    </row>
    <row r="20" ht="42.0" customHeight="1">
      <c r="A20" s="90" t="s">
        <v>753</v>
      </c>
      <c r="B20" s="82" t="s">
        <v>762</v>
      </c>
      <c r="C20" s="82" t="s">
        <v>767</v>
      </c>
      <c r="D20" s="82" t="s">
        <v>756</v>
      </c>
      <c r="E20" s="82" t="s">
        <v>26</v>
      </c>
      <c r="F20" s="82">
        <v>2.786668E7</v>
      </c>
      <c r="G20" s="82" t="s">
        <v>1199</v>
      </c>
      <c r="H20" s="82" t="s">
        <v>756</v>
      </c>
      <c r="I20" s="90" t="s">
        <v>793</v>
      </c>
      <c r="J20" s="80"/>
      <c r="K20" s="80"/>
      <c r="L20" s="80"/>
      <c r="M20" s="80"/>
      <c r="N20" s="80"/>
      <c r="O20" s="80"/>
      <c r="P20" s="80"/>
      <c r="Q20" s="80"/>
      <c r="R20" s="80"/>
      <c r="S20" s="80"/>
    </row>
    <row r="21" ht="42.0" customHeight="1">
      <c r="A21" s="90" t="s">
        <v>753</v>
      </c>
      <c r="B21" s="82" t="s">
        <v>762</v>
      </c>
      <c r="C21" s="82" t="s">
        <v>767</v>
      </c>
      <c r="D21" s="82" t="s">
        <v>756</v>
      </c>
      <c r="E21" s="82" t="s">
        <v>26</v>
      </c>
      <c r="F21" s="82">
        <v>2787571.0</v>
      </c>
      <c r="G21" s="82" t="s">
        <v>1200</v>
      </c>
      <c r="H21" s="82" t="s">
        <v>756</v>
      </c>
      <c r="I21" s="90" t="s">
        <v>793</v>
      </c>
      <c r="J21" s="80"/>
      <c r="K21" s="80"/>
      <c r="L21" s="80"/>
      <c r="M21" s="80"/>
      <c r="N21" s="80"/>
      <c r="O21" s="80"/>
      <c r="P21" s="80"/>
      <c r="Q21" s="80"/>
      <c r="R21" s="80"/>
      <c r="S21" s="80"/>
    </row>
    <row r="22" ht="42.0" customHeight="1">
      <c r="A22" s="90" t="s">
        <v>753</v>
      </c>
      <c r="B22" s="82" t="s">
        <v>762</v>
      </c>
      <c r="C22" s="82" t="s">
        <v>767</v>
      </c>
      <c r="D22" s="82" t="s">
        <v>756</v>
      </c>
      <c r="E22" s="82" t="s">
        <v>26</v>
      </c>
      <c r="F22" s="82">
        <v>6218830.0</v>
      </c>
      <c r="G22" s="82" t="s">
        <v>1201</v>
      </c>
      <c r="H22" s="82" t="s">
        <v>756</v>
      </c>
      <c r="I22" s="90" t="s">
        <v>793</v>
      </c>
      <c r="J22" s="80"/>
      <c r="K22" s="80"/>
      <c r="L22" s="80"/>
      <c r="M22" s="80"/>
      <c r="N22" s="80"/>
      <c r="O22" s="80"/>
      <c r="P22" s="80"/>
      <c r="Q22" s="80"/>
      <c r="R22" s="80"/>
      <c r="S22" s="80"/>
    </row>
    <row r="23" ht="42.0" customHeight="1">
      <c r="A23" s="90" t="s">
        <v>753</v>
      </c>
      <c r="B23" s="82" t="s">
        <v>768</v>
      </c>
      <c r="C23" s="82" t="s">
        <v>769</v>
      </c>
      <c r="D23" s="82" t="s">
        <v>756</v>
      </c>
      <c r="E23" s="82" t="s">
        <v>26</v>
      </c>
      <c r="F23" s="82">
        <v>9618694.0</v>
      </c>
      <c r="G23" s="82" t="s">
        <v>1202</v>
      </c>
      <c r="H23" s="82" t="s">
        <v>756</v>
      </c>
      <c r="I23" s="90" t="s">
        <v>793</v>
      </c>
      <c r="J23" s="80"/>
      <c r="K23" s="80"/>
      <c r="L23" s="80"/>
      <c r="M23" s="80"/>
      <c r="N23" s="80"/>
      <c r="O23" s="80"/>
      <c r="P23" s="80"/>
      <c r="Q23" s="80"/>
      <c r="R23" s="80"/>
      <c r="S23" s="80"/>
    </row>
    <row r="24" ht="42.0" customHeight="1">
      <c r="A24" s="90" t="s">
        <v>753</v>
      </c>
      <c r="B24" s="82" t="s">
        <v>768</v>
      </c>
      <c r="C24" s="82" t="s">
        <v>770</v>
      </c>
      <c r="D24" s="82" t="s">
        <v>756</v>
      </c>
      <c r="E24" s="82" t="s">
        <v>26</v>
      </c>
      <c r="F24" s="82">
        <v>6393608.0</v>
      </c>
      <c r="G24" s="82" t="s">
        <v>1203</v>
      </c>
      <c r="H24" s="82" t="s">
        <v>756</v>
      </c>
      <c r="I24" s="90" t="s">
        <v>793</v>
      </c>
      <c r="J24" s="80"/>
      <c r="K24" s="80"/>
      <c r="L24" s="80"/>
      <c r="M24" s="80"/>
      <c r="N24" s="80"/>
      <c r="O24" s="80"/>
      <c r="P24" s="80"/>
      <c r="Q24" s="80"/>
      <c r="R24" s="80"/>
      <c r="S24" s="80"/>
    </row>
    <row r="25" ht="42.0" customHeight="1">
      <c r="A25" s="90" t="s">
        <v>753</v>
      </c>
      <c r="B25" s="82" t="s">
        <v>768</v>
      </c>
      <c r="C25" s="82" t="s">
        <v>771</v>
      </c>
      <c r="D25" s="82" t="s">
        <v>756</v>
      </c>
      <c r="E25" s="82" t="s">
        <v>26</v>
      </c>
      <c r="F25" s="82">
        <v>4050312.0</v>
      </c>
      <c r="G25" s="82" t="s">
        <v>1204</v>
      </c>
      <c r="H25" s="82" t="s">
        <v>756</v>
      </c>
      <c r="I25" s="90" t="s">
        <v>793</v>
      </c>
      <c r="J25" s="80"/>
      <c r="K25" s="80"/>
      <c r="L25" s="80"/>
      <c r="M25" s="80"/>
      <c r="N25" s="80"/>
      <c r="O25" s="80"/>
      <c r="P25" s="80"/>
      <c r="Q25" s="80"/>
      <c r="R25" s="80"/>
      <c r="S25" s="80"/>
    </row>
    <row r="26" ht="42.0" customHeight="1">
      <c r="A26" s="90" t="s">
        <v>753</v>
      </c>
      <c r="B26" s="82" t="s">
        <v>768</v>
      </c>
      <c r="C26" s="82" t="s">
        <v>772</v>
      </c>
      <c r="D26" s="82" t="s">
        <v>756</v>
      </c>
      <c r="E26" s="82" t="s">
        <v>26</v>
      </c>
      <c r="F26" s="82">
        <v>6136028.0</v>
      </c>
      <c r="G26" s="82" t="s">
        <v>1205</v>
      </c>
      <c r="H26" s="82" t="s">
        <v>756</v>
      </c>
      <c r="I26" s="90" t="s">
        <v>793</v>
      </c>
      <c r="J26" s="80"/>
      <c r="K26" s="80"/>
      <c r="L26" s="80"/>
      <c r="M26" s="80"/>
      <c r="N26" s="80"/>
      <c r="O26" s="80"/>
      <c r="P26" s="80"/>
      <c r="Q26" s="80"/>
      <c r="R26" s="80"/>
      <c r="S26" s="80"/>
    </row>
    <row r="27" ht="42.0" customHeight="1">
      <c r="A27" s="90" t="s">
        <v>753</v>
      </c>
      <c r="B27" s="82" t="s">
        <v>768</v>
      </c>
      <c r="C27" s="82" t="s">
        <v>773</v>
      </c>
      <c r="D27" s="82" t="s">
        <v>756</v>
      </c>
      <c r="E27" s="82" t="s">
        <v>26</v>
      </c>
      <c r="F27" s="82">
        <v>6394558.0</v>
      </c>
      <c r="G27" s="82" t="s">
        <v>1206</v>
      </c>
      <c r="H27" s="82" t="s">
        <v>756</v>
      </c>
      <c r="I27" s="90" t="s">
        <v>793</v>
      </c>
      <c r="J27" s="80"/>
      <c r="K27" s="80"/>
      <c r="L27" s="80"/>
      <c r="M27" s="80"/>
      <c r="N27" s="80"/>
      <c r="O27" s="80"/>
      <c r="P27" s="80"/>
      <c r="Q27" s="80"/>
      <c r="R27" s="80"/>
      <c r="S27" s="80"/>
    </row>
    <row r="28" ht="42.0" customHeight="1">
      <c r="A28" s="90" t="s">
        <v>753</v>
      </c>
      <c r="B28" s="82" t="s">
        <v>768</v>
      </c>
      <c r="C28" s="82" t="s">
        <v>774</v>
      </c>
      <c r="D28" s="82" t="s">
        <v>756</v>
      </c>
      <c r="E28" s="82" t="s">
        <v>26</v>
      </c>
      <c r="F28" s="82">
        <v>6391869.0</v>
      </c>
      <c r="G28" s="82" t="s">
        <v>1207</v>
      </c>
      <c r="H28" s="82" t="s">
        <v>756</v>
      </c>
      <c r="I28" s="90" t="s">
        <v>793</v>
      </c>
      <c r="J28" s="80"/>
      <c r="K28" s="80"/>
      <c r="L28" s="80"/>
      <c r="M28" s="80"/>
      <c r="N28" s="80"/>
      <c r="O28" s="80"/>
      <c r="P28" s="80"/>
      <c r="Q28" s="80"/>
      <c r="R28" s="80"/>
      <c r="S28" s="80"/>
    </row>
    <row r="29" ht="42.0" customHeight="1">
      <c r="A29" s="90" t="s">
        <v>753</v>
      </c>
      <c r="B29" s="82" t="s">
        <v>768</v>
      </c>
      <c r="C29" s="82" t="s">
        <v>775</v>
      </c>
      <c r="D29" s="82" t="s">
        <v>756</v>
      </c>
      <c r="E29" s="82" t="s">
        <v>26</v>
      </c>
      <c r="F29" s="82">
        <v>2751975.0</v>
      </c>
      <c r="G29" s="82" t="s">
        <v>1208</v>
      </c>
      <c r="H29" s="82" t="s">
        <v>756</v>
      </c>
      <c r="I29" s="90" t="s">
        <v>793</v>
      </c>
      <c r="J29" s="80"/>
      <c r="K29" s="80"/>
      <c r="L29" s="80"/>
      <c r="M29" s="80"/>
      <c r="N29" s="80"/>
      <c r="O29" s="80"/>
      <c r="P29" s="80"/>
      <c r="Q29" s="80"/>
      <c r="R29" s="80"/>
      <c r="S29" s="80"/>
    </row>
    <row r="30" ht="42.0" customHeight="1">
      <c r="A30" s="90" t="s">
        <v>753</v>
      </c>
      <c r="B30" s="82" t="s">
        <v>776</v>
      </c>
      <c r="C30" s="82" t="s">
        <v>777</v>
      </c>
      <c r="D30" s="82" t="s">
        <v>756</v>
      </c>
      <c r="E30" s="82" t="s">
        <v>26</v>
      </c>
      <c r="F30" s="82">
        <v>2688689.0</v>
      </c>
      <c r="G30" s="82" t="s">
        <v>1209</v>
      </c>
      <c r="H30" s="82" t="s">
        <v>756</v>
      </c>
      <c r="I30" s="90" t="s">
        <v>793</v>
      </c>
      <c r="J30" s="80"/>
      <c r="K30" s="80"/>
      <c r="L30" s="80"/>
      <c r="M30" s="80"/>
      <c r="N30" s="80"/>
      <c r="O30" s="80"/>
      <c r="P30" s="80"/>
      <c r="Q30" s="80"/>
      <c r="R30" s="80"/>
      <c r="S30" s="80"/>
    </row>
    <row r="31" ht="42.0" customHeight="1">
      <c r="A31" s="90" t="s">
        <v>753</v>
      </c>
      <c r="B31" s="82" t="s">
        <v>776</v>
      </c>
      <c r="C31" s="82" t="s">
        <v>778</v>
      </c>
      <c r="D31" s="82" t="s">
        <v>756</v>
      </c>
      <c r="E31" s="82" t="s">
        <v>26</v>
      </c>
      <c r="F31" s="82">
        <v>2688689.0</v>
      </c>
      <c r="G31" s="82" t="s">
        <v>1209</v>
      </c>
      <c r="H31" s="82" t="s">
        <v>756</v>
      </c>
      <c r="I31" s="90" t="s">
        <v>793</v>
      </c>
      <c r="J31" s="80"/>
      <c r="K31" s="80"/>
      <c r="L31" s="80"/>
      <c r="M31" s="80"/>
      <c r="N31" s="80"/>
      <c r="O31" s="80"/>
      <c r="P31" s="80"/>
      <c r="Q31" s="80"/>
      <c r="R31" s="80"/>
      <c r="S31" s="80"/>
    </row>
    <row r="32" ht="42.0" customHeight="1">
      <c r="A32" s="90" t="s">
        <v>753</v>
      </c>
      <c r="B32" s="82" t="s">
        <v>779</v>
      </c>
      <c r="C32" s="82" t="s">
        <v>780</v>
      </c>
      <c r="D32" s="82" t="s">
        <v>756</v>
      </c>
      <c r="E32" s="82" t="s">
        <v>26</v>
      </c>
      <c r="F32" s="82">
        <v>2078015.0</v>
      </c>
      <c r="G32" s="82" t="s">
        <v>1210</v>
      </c>
      <c r="H32" s="82" t="s">
        <v>756</v>
      </c>
      <c r="I32" s="90" t="s">
        <v>793</v>
      </c>
      <c r="J32" s="80"/>
      <c r="K32" s="80"/>
      <c r="L32" s="80"/>
      <c r="M32" s="80"/>
      <c r="N32" s="80"/>
      <c r="O32" s="80"/>
      <c r="P32" s="80"/>
      <c r="Q32" s="80"/>
      <c r="R32" s="80"/>
      <c r="S32" s="80"/>
    </row>
    <row r="33" ht="42.0" customHeight="1">
      <c r="A33" s="90" t="s">
        <v>753</v>
      </c>
      <c r="B33" s="82" t="s">
        <v>779</v>
      </c>
      <c r="C33" s="82" t="s">
        <v>780</v>
      </c>
      <c r="D33" s="82" t="s">
        <v>756</v>
      </c>
      <c r="E33" s="82" t="s">
        <v>26</v>
      </c>
      <c r="F33" s="82">
        <v>2075717.0</v>
      </c>
      <c r="G33" s="82" t="s">
        <v>1211</v>
      </c>
      <c r="H33" s="82" t="s">
        <v>756</v>
      </c>
      <c r="I33" s="90" t="s">
        <v>793</v>
      </c>
      <c r="J33" s="80"/>
      <c r="K33" s="80"/>
      <c r="L33" s="80"/>
      <c r="M33" s="80"/>
      <c r="N33" s="80"/>
      <c r="O33" s="80"/>
      <c r="P33" s="80"/>
      <c r="Q33" s="80"/>
      <c r="R33" s="80"/>
      <c r="S33" s="80"/>
    </row>
    <row r="34" ht="42.0" customHeight="1">
      <c r="A34" s="90" t="s">
        <v>753</v>
      </c>
      <c r="B34" s="82" t="s">
        <v>779</v>
      </c>
      <c r="C34" s="82" t="s">
        <v>780</v>
      </c>
      <c r="D34" s="82" t="s">
        <v>756</v>
      </c>
      <c r="E34" s="82" t="s">
        <v>26</v>
      </c>
      <c r="F34" s="82">
        <v>2688689.0</v>
      </c>
      <c r="G34" s="82" t="s">
        <v>1209</v>
      </c>
      <c r="H34" s="82" t="s">
        <v>756</v>
      </c>
      <c r="I34" s="90" t="s">
        <v>793</v>
      </c>
      <c r="J34" s="80"/>
      <c r="K34" s="80"/>
      <c r="L34" s="80"/>
      <c r="M34" s="80"/>
      <c r="N34" s="80"/>
      <c r="O34" s="80"/>
      <c r="P34" s="80"/>
      <c r="Q34" s="80"/>
      <c r="R34" s="80"/>
      <c r="S34" s="80"/>
    </row>
    <row r="35" ht="42.0" customHeight="1">
      <c r="A35" s="90" t="s">
        <v>753</v>
      </c>
      <c r="B35" s="82" t="s">
        <v>779</v>
      </c>
      <c r="C35" s="82" t="s">
        <v>781</v>
      </c>
      <c r="D35" s="82" t="s">
        <v>756</v>
      </c>
      <c r="E35" s="82" t="s">
        <v>26</v>
      </c>
      <c r="F35" s="82">
        <v>2078015.0</v>
      </c>
      <c r="G35" s="82" t="s">
        <v>1210</v>
      </c>
      <c r="H35" s="82" t="s">
        <v>756</v>
      </c>
      <c r="I35" s="90" t="s">
        <v>793</v>
      </c>
      <c r="J35" s="80"/>
      <c r="K35" s="80"/>
      <c r="L35" s="80"/>
      <c r="M35" s="80"/>
      <c r="N35" s="80"/>
      <c r="O35" s="80"/>
      <c r="P35" s="80"/>
      <c r="Q35" s="80"/>
      <c r="R35" s="80"/>
      <c r="S35" s="80"/>
    </row>
    <row r="36" ht="42.0" customHeight="1">
      <c r="A36" s="90" t="s">
        <v>753</v>
      </c>
      <c r="B36" s="82" t="s">
        <v>779</v>
      </c>
      <c r="C36" s="82" t="s">
        <v>781</v>
      </c>
      <c r="D36" s="82" t="s">
        <v>756</v>
      </c>
      <c r="E36" s="82" t="s">
        <v>26</v>
      </c>
      <c r="F36" s="82">
        <v>2075717.0</v>
      </c>
      <c r="G36" s="82" t="s">
        <v>1211</v>
      </c>
      <c r="H36" s="82" t="s">
        <v>756</v>
      </c>
      <c r="I36" s="90" t="s">
        <v>793</v>
      </c>
      <c r="J36" s="80"/>
      <c r="K36" s="80"/>
      <c r="L36" s="80"/>
      <c r="M36" s="80"/>
      <c r="N36" s="80"/>
      <c r="O36" s="80"/>
      <c r="P36" s="80"/>
      <c r="Q36" s="80"/>
      <c r="R36" s="80"/>
      <c r="S36" s="80"/>
    </row>
    <row r="37" ht="42.0" customHeight="1">
      <c r="A37" s="90" t="s">
        <v>753</v>
      </c>
      <c r="B37" s="82" t="s">
        <v>782</v>
      </c>
      <c r="C37" s="82" t="s">
        <v>783</v>
      </c>
      <c r="D37" s="82" t="s">
        <v>756</v>
      </c>
      <c r="E37" s="82" t="s">
        <v>26</v>
      </c>
      <c r="F37" s="82">
        <v>2751860.0</v>
      </c>
      <c r="G37" s="82" t="s">
        <v>1212</v>
      </c>
      <c r="H37" s="82" t="s">
        <v>756</v>
      </c>
      <c r="I37" s="90" t="s">
        <v>793</v>
      </c>
      <c r="J37" s="80"/>
      <c r="K37" s="80"/>
      <c r="L37" s="80"/>
      <c r="M37" s="80"/>
      <c r="N37" s="80"/>
      <c r="O37" s="80"/>
      <c r="P37" s="80"/>
      <c r="Q37" s="80"/>
      <c r="R37" s="80"/>
      <c r="S37" s="80"/>
    </row>
    <row r="38" ht="42.0" customHeight="1">
      <c r="A38" s="90" t="s">
        <v>753</v>
      </c>
      <c r="B38" s="82" t="s">
        <v>782</v>
      </c>
      <c r="C38" s="82" t="s">
        <v>783</v>
      </c>
      <c r="D38" s="82" t="s">
        <v>756</v>
      </c>
      <c r="E38" s="82" t="s">
        <v>26</v>
      </c>
      <c r="F38" s="82">
        <v>2077523.0</v>
      </c>
      <c r="G38" s="82" t="s">
        <v>1213</v>
      </c>
      <c r="H38" s="82" t="s">
        <v>756</v>
      </c>
      <c r="I38" s="90" t="s">
        <v>793</v>
      </c>
      <c r="J38" s="80"/>
      <c r="K38" s="80"/>
      <c r="L38" s="80"/>
      <c r="M38" s="80"/>
      <c r="N38" s="80"/>
      <c r="O38" s="80"/>
      <c r="P38" s="80"/>
      <c r="Q38" s="80"/>
      <c r="R38" s="80"/>
      <c r="S38" s="80"/>
    </row>
    <row r="39" ht="42.0" customHeight="1">
      <c r="A39" s="90" t="s">
        <v>753</v>
      </c>
      <c r="B39" s="82" t="s">
        <v>782</v>
      </c>
      <c r="C39" s="82" t="s">
        <v>784</v>
      </c>
      <c r="D39" s="82" t="s">
        <v>756</v>
      </c>
      <c r="E39" s="82" t="s">
        <v>26</v>
      </c>
      <c r="F39" s="82">
        <v>2077426.0</v>
      </c>
      <c r="G39" s="82" t="s">
        <v>1214</v>
      </c>
      <c r="H39" s="82" t="s">
        <v>756</v>
      </c>
      <c r="I39" s="90" t="s">
        <v>793</v>
      </c>
      <c r="J39" s="80"/>
      <c r="K39" s="80"/>
      <c r="L39" s="80"/>
      <c r="M39" s="80"/>
      <c r="N39" s="80"/>
      <c r="O39" s="80"/>
      <c r="P39" s="80"/>
      <c r="Q39" s="80"/>
      <c r="R39" s="80"/>
      <c r="S39" s="80"/>
    </row>
    <row r="40" ht="42.0" customHeight="1">
      <c r="A40" s="90" t="s">
        <v>753</v>
      </c>
      <c r="B40" s="82" t="s">
        <v>782</v>
      </c>
      <c r="C40" s="82" t="s">
        <v>784</v>
      </c>
      <c r="D40" s="82" t="s">
        <v>756</v>
      </c>
      <c r="E40" s="82" t="s">
        <v>26</v>
      </c>
      <c r="F40" s="82">
        <v>6135749.0</v>
      </c>
      <c r="G40" s="82" t="s">
        <v>1215</v>
      </c>
      <c r="H40" s="82" t="s">
        <v>756</v>
      </c>
      <c r="I40" s="90" t="s">
        <v>793</v>
      </c>
      <c r="J40" s="80"/>
      <c r="K40" s="80"/>
      <c r="L40" s="80"/>
      <c r="M40" s="80"/>
      <c r="N40" s="80"/>
      <c r="O40" s="80"/>
      <c r="P40" s="80"/>
      <c r="Q40" s="80"/>
      <c r="R40" s="80"/>
      <c r="S40" s="80"/>
    </row>
    <row r="41" ht="42.0" customHeight="1">
      <c r="A41" s="90" t="s">
        <v>753</v>
      </c>
      <c r="B41" s="82" t="s">
        <v>782</v>
      </c>
      <c r="C41" s="82" t="s">
        <v>784</v>
      </c>
      <c r="D41" s="82" t="s">
        <v>756</v>
      </c>
      <c r="E41" s="82" t="s">
        <v>26</v>
      </c>
      <c r="F41" s="82">
        <v>2077701.0</v>
      </c>
      <c r="G41" s="82" t="s">
        <v>1216</v>
      </c>
      <c r="H41" s="82" t="s">
        <v>756</v>
      </c>
      <c r="I41" s="90" t="s">
        <v>793</v>
      </c>
      <c r="J41" s="80"/>
      <c r="K41" s="80"/>
      <c r="L41" s="80"/>
      <c r="M41" s="80"/>
      <c r="N41" s="80"/>
      <c r="O41" s="80"/>
      <c r="P41" s="80"/>
      <c r="Q41" s="80"/>
      <c r="R41" s="80"/>
      <c r="S41" s="80"/>
    </row>
    <row r="42" ht="42.0" customHeight="1">
      <c r="A42" s="90" t="s">
        <v>753</v>
      </c>
      <c r="B42" s="82" t="s">
        <v>782</v>
      </c>
      <c r="C42" s="82" t="s">
        <v>785</v>
      </c>
      <c r="D42" s="82" t="s">
        <v>756</v>
      </c>
      <c r="E42" s="82" t="s">
        <v>26</v>
      </c>
      <c r="F42" s="82">
        <v>7711980.0</v>
      </c>
      <c r="G42" s="82" t="s">
        <v>1217</v>
      </c>
      <c r="H42" s="82" t="s">
        <v>756</v>
      </c>
      <c r="I42" s="90" t="s">
        <v>793</v>
      </c>
      <c r="J42" s="80"/>
      <c r="K42" s="80"/>
      <c r="L42" s="80"/>
      <c r="M42" s="80"/>
      <c r="N42" s="80"/>
      <c r="O42" s="80"/>
      <c r="P42" s="80"/>
      <c r="Q42" s="80"/>
      <c r="R42" s="80"/>
      <c r="S42" s="80"/>
    </row>
    <row r="43" ht="42.0" customHeight="1">
      <c r="A43" s="90" t="s">
        <v>753</v>
      </c>
      <c r="B43" s="82" t="s">
        <v>782</v>
      </c>
      <c r="C43" s="82" t="s">
        <v>785</v>
      </c>
      <c r="D43" s="82" t="s">
        <v>756</v>
      </c>
      <c r="E43" s="82" t="s">
        <v>26</v>
      </c>
      <c r="F43" s="82">
        <v>2042991.0</v>
      </c>
      <c r="G43" s="82" t="s">
        <v>1218</v>
      </c>
      <c r="H43" s="82" t="s">
        <v>756</v>
      </c>
      <c r="I43" s="90" t="s">
        <v>793</v>
      </c>
      <c r="J43" s="80"/>
      <c r="K43" s="80"/>
      <c r="L43" s="80"/>
      <c r="M43" s="80"/>
      <c r="N43" s="80"/>
      <c r="O43" s="80"/>
      <c r="P43" s="80"/>
      <c r="Q43" s="80"/>
      <c r="R43" s="80"/>
      <c r="S43" s="80"/>
    </row>
    <row r="44" ht="42.0" customHeight="1">
      <c r="A44" s="90" t="s">
        <v>753</v>
      </c>
      <c r="B44" s="82" t="s">
        <v>782</v>
      </c>
      <c r="C44" s="82" t="s">
        <v>786</v>
      </c>
      <c r="D44" s="82" t="s">
        <v>756</v>
      </c>
      <c r="E44" s="82" t="s">
        <v>26</v>
      </c>
      <c r="F44" s="82">
        <v>2751968.0</v>
      </c>
      <c r="G44" s="82" t="s">
        <v>1219</v>
      </c>
      <c r="H44" s="82" t="s">
        <v>756</v>
      </c>
      <c r="I44" s="90" t="s">
        <v>793</v>
      </c>
      <c r="J44" s="80"/>
      <c r="K44" s="80"/>
      <c r="L44" s="80"/>
      <c r="M44" s="80"/>
      <c r="N44" s="80"/>
      <c r="O44" s="80"/>
      <c r="P44" s="80"/>
      <c r="Q44" s="80"/>
      <c r="R44" s="80"/>
      <c r="S44" s="80"/>
    </row>
    <row r="45" ht="42.0" customHeight="1">
      <c r="A45" s="90" t="s">
        <v>753</v>
      </c>
      <c r="B45" s="82" t="s">
        <v>782</v>
      </c>
      <c r="C45" s="82" t="s">
        <v>786</v>
      </c>
      <c r="D45" s="82" t="s">
        <v>756</v>
      </c>
      <c r="E45" s="82" t="s">
        <v>26</v>
      </c>
      <c r="F45" s="82">
        <v>2751852.0</v>
      </c>
      <c r="G45" s="82" t="s">
        <v>1220</v>
      </c>
      <c r="H45" s="82" t="s">
        <v>756</v>
      </c>
      <c r="I45" s="90" t="s">
        <v>793</v>
      </c>
      <c r="J45" s="80"/>
      <c r="K45" s="80"/>
      <c r="L45" s="80"/>
      <c r="M45" s="80"/>
      <c r="N45" s="80"/>
      <c r="O45" s="80"/>
      <c r="P45" s="80"/>
      <c r="Q45" s="80"/>
      <c r="R45" s="80"/>
      <c r="S45" s="80"/>
    </row>
    <row r="46" ht="42.0" customHeight="1">
      <c r="A46" s="90" t="s">
        <v>753</v>
      </c>
      <c r="B46" s="82" t="s">
        <v>782</v>
      </c>
      <c r="C46" s="82" t="s">
        <v>787</v>
      </c>
      <c r="D46" s="82" t="s">
        <v>756</v>
      </c>
      <c r="E46" s="82" t="s">
        <v>26</v>
      </c>
      <c r="F46" s="82">
        <v>2751933.0</v>
      </c>
      <c r="G46" s="82" t="s">
        <v>1221</v>
      </c>
      <c r="H46" s="82" t="s">
        <v>756</v>
      </c>
      <c r="I46" s="90" t="s">
        <v>793</v>
      </c>
      <c r="J46" s="80"/>
      <c r="K46" s="80"/>
      <c r="L46" s="80"/>
      <c r="M46" s="80"/>
      <c r="N46" s="80"/>
      <c r="O46" s="80"/>
      <c r="P46" s="80"/>
      <c r="Q46" s="80"/>
      <c r="R46" s="80"/>
      <c r="S46" s="80"/>
    </row>
    <row r="47" ht="42.0" customHeight="1">
      <c r="A47" s="90" t="s">
        <v>753</v>
      </c>
      <c r="B47" s="82" t="s">
        <v>754</v>
      </c>
      <c r="C47" s="82" t="s">
        <v>755</v>
      </c>
      <c r="D47" s="82" t="s">
        <v>756</v>
      </c>
      <c r="E47" s="82" t="s">
        <v>26</v>
      </c>
      <c r="F47" s="96">
        <v>2077574.0</v>
      </c>
      <c r="G47" s="96" t="s">
        <v>1187</v>
      </c>
      <c r="H47" s="82" t="s">
        <v>756</v>
      </c>
      <c r="I47" s="90" t="s">
        <v>965</v>
      </c>
      <c r="J47" s="80"/>
      <c r="K47" s="80"/>
      <c r="L47" s="80"/>
      <c r="M47" s="80"/>
      <c r="N47" s="80"/>
      <c r="O47" s="80"/>
      <c r="P47" s="80"/>
      <c r="Q47" s="80"/>
      <c r="R47" s="80"/>
      <c r="S47" s="80"/>
    </row>
    <row r="48" ht="42.0" customHeight="1">
      <c r="A48" s="90" t="s">
        <v>753</v>
      </c>
      <c r="B48" s="82" t="s">
        <v>754</v>
      </c>
      <c r="C48" s="82" t="s">
        <v>755</v>
      </c>
      <c r="D48" s="82" t="s">
        <v>756</v>
      </c>
      <c r="E48" s="82" t="s">
        <v>26</v>
      </c>
      <c r="F48" s="96">
        <v>2079186.0</v>
      </c>
      <c r="G48" s="96" t="s">
        <v>1188</v>
      </c>
      <c r="H48" s="82" t="s">
        <v>756</v>
      </c>
      <c r="I48" s="90" t="s">
        <v>965</v>
      </c>
      <c r="J48" s="80"/>
      <c r="K48" s="80"/>
      <c r="L48" s="80"/>
      <c r="M48" s="80"/>
      <c r="N48" s="80"/>
      <c r="O48" s="80"/>
      <c r="P48" s="80"/>
      <c r="Q48" s="80"/>
      <c r="R48" s="80"/>
      <c r="S48" s="80"/>
    </row>
    <row r="49" ht="42.0" customHeight="1">
      <c r="A49" s="90" t="s">
        <v>753</v>
      </c>
      <c r="B49" s="82" t="s">
        <v>754</v>
      </c>
      <c r="C49" s="82" t="s">
        <v>757</v>
      </c>
      <c r="D49" s="82" t="s">
        <v>756</v>
      </c>
      <c r="E49" s="82" t="s">
        <v>26</v>
      </c>
      <c r="F49" s="96">
        <v>2082225.0</v>
      </c>
      <c r="G49" s="96" t="s">
        <v>1189</v>
      </c>
      <c r="H49" s="82" t="s">
        <v>756</v>
      </c>
      <c r="I49" s="90" t="s">
        <v>965</v>
      </c>
      <c r="J49" s="80"/>
      <c r="K49" s="80"/>
      <c r="L49" s="80"/>
      <c r="M49" s="80"/>
      <c r="N49" s="80"/>
      <c r="O49" s="80"/>
      <c r="P49" s="80"/>
      <c r="Q49" s="80"/>
      <c r="R49" s="80"/>
      <c r="S49" s="80"/>
    </row>
    <row r="50" ht="42.0" customHeight="1">
      <c r="A50" s="90" t="s">
        <v>753</v>
      </c>
      <c r="B50" s="82" t="s">
        <v>754</v>
      </c>
      <c r="C50" s="82" t="s">
        <v>757</v>
      </c>
      <c r="D50" s="82" t="s">
        <v>756</v>
      </c>
      <c r="E50" s="82" t="s">
        <v>26</v>
      </c>
      <c r="F50" s="96">
        <v>2079186.0</v>
      </c>
      <c r="G50" s="96" t="s">
        <v>1188</v>
      </c>
      <c r="H50" s="82" t="s">
        <v>756</v>
      </c>
      <c r="I50" s="90" t="s">
        <v>965</v>
      </c>
      <c r="J50" s="80"/>
      <c r="K50" s="80"/>
      <c r="L50" s="80"/>
      <c r="M50" s="80"/>
      <c r="N50" s="80"/>
      <c r="O50" s="80"/>
      <c r="P50" s="80"/>
      <c r="Q50" s="80"/>
      <c r="R50" s="80"/>
      <c r="S50" s="80"/>
    </row>
    <row r="51" ht="42.0" customHeight="1">
      <c r="A51" s="90" t="s">
        <v>753</v>
      </c>
      <c r="B51" s="82" t="s">
        <v>754</v>
      </c>
      <c r="C51" s="82" t="s">
        <v>758</v>
      </c>
      <c r="D51" s="82" t="s">
        <v>756</v>
      </c>
      <c r="E51" s="82" t="s">
        <v>26</v>
      </c>
      <c r="F51" s="96">
        <v>2082225.0</v>
      </c>
      <c r="G51" s="96" t="s">
        <v>1189</v>
      </c>
      <c r="H51" s="82" t="s">
        <v>756</v>
      </c>
      <c r="I51" s="90" t="s">
        <v>965</v>
      </c>
      <c r="J51" s="80"/>
      <c r="K51" s="80"/>
      <c r="L51" s="80"/>
      <c r="M51" s="80"/>
      <c r="N51" s="80"/>
      <c r="O51" s="80"/>
      <c r="P51" s="80"/>
      <c r="Q51" s="80"/>
      <c r="R51" s="80"/>
      <c r="S51" s="80"/>
    </row>
    <row r="52" ht="42.0" customHeight="1">
      <c r="A52" s="90" t="s">
        <v>753</v>
      </c>
      <c r="B52" s="82" t="s">
        <v>754</v>
      </c>
      <c r="C52" s="82" t="s">
        <v>759</v>
      </c>
      <c r="D52" s="82" t="s">
        <v>756</v>
      </c>
      <c r="E52" s="82" t="s">
        <v>26</v>
      </c>
      <c r="F52" s="96">
        <v>2082225.0</v>
      </c>
      <c r="G52" s="96" t="s">
        <v>1189</v>
      </c>
      <c r="H52" s="82" t="s">
        <v>756</v>
      </c>
      <c r="I52" s="90" t="s">
        <v>965</v>
      </c>
      <c r="J52" s="80"/>
      <c r="K52" s="80"/>
      <c r="L52" s="80"/>
      <c r="M52" s="80"/>
      <c r="N52" s="80"/>
      <c r="O52" s="80"/>
      <c r="P52" s="80"/>
      <c r="Q52" s="80"/>
      <c r="R52" s="80"/>
      <c r="S52" s="80"/>
    </row>
    <row r="53" ht="42.0" customHeight="1">
      <c r="A53" s="90" t="s">
        <v>753</v>
      </c>
      <c r="B53" s="82" t="s">
        <v>754</v>
      </c>
      <c r="C53" s="82" t="s">
        <v>759</v>
      </c>
      <c r="D53" s="82" t="s">
        <v>756</v>
      </c>
      <c r="E53" s="82" t="s">
        <v>26</v>
      </c>
      <c r="F53" s="96">
        <v>2079186.0</v>
      </c>
      <c r="G53" s="96" t="s">
        <v>1188</v>
      </c>
      <c r="H53" s="82" t="s">
        <v>756</v>
      </c>
      <c r="I53" s="90" t="s">
        <v>965</v>
      </c>
      <c r="J53" s="80"/>
      <c r="K53" s="80"/>
      <c r="L53" s="80"/>
      <c r="M53" s="80"/>
      <c r="N53" s="80"/>
      <c r="O53" s="80"/>
      <c r="P53" s="80"/>
      <c r="Q53" s="80"/>
      <c r="R53" s="80"/>
      <c r="S53" s="80"/>
    </row>
    <row r="54" ht="42.0" customHeight="1">
      <c r="A54" s="90" t="s">
        <v>753</v>
      </c>
      <c r="B54" s="82" t="s">
        <v>754</v>
      </c>
      <c r="C54" s="82" t="s">
        <v>760</v>
      </c>
      <c r="D54" s="82" t="s">
        <v>756</v>
      </c>
      <c r="E54" s="82" t="s">
        <v>26</v>
      </c>
      <c r="F54" s="96">
        <v>2077574.0</v>
      </c>
      <c r="G54" s="96" t="s">
        <v>1187</v>
      </c>
      <c r="H54" s="82" t="s">
        <v>756</v>
      </c>
      <c r="I54" s="90" t="s">
        <v>965</v>
      </c>
      <c r="J54" s="80"/>
      <c r="K54" s="80"/>
      <c r="L54" s="80"/>
      <c r="M54" s="80"/>
      <c r="N54" s="80"/>
      <c r="O54" s="80"/>
      <c r="P54" s="80"/>
      <c r="Q54" s="80"/>
      <c r="R54" s="80"/>
      <c r="S54" s="80"/>
    </row>
    <row r="55" ht="42.0" customHeight="1">
      <c r="A55" s="90" t="s">
        <v>753</v>
      </c>
      <c r="B55" s="82" t="s">
        <v>754</v>
      </c>
      <c r="C55" s="82" t="s">
        <v>760</v>
      </c>
      <c r="D55" s="82" t="s">
        <v>756</v>
      </c>
      <c r="E55" s="82" t="s">
        <v>26</v>
      </c>
      <c r="F55" s="96">
        <v>2076896.0</v>
      </c>
      <c r="G55" s="96" t="s">
        <v>1191</v>
      </c>
      <c r="H55" s="82" t="s">
        <v>756</v>
      </c>
      <c r="I55" s="90" t="s">
        <v>965</v>
      </c>
      <c r="J55" s="80"/>
      <c r="K55" s="80"/>
      <c r="L55" s="80"/>
      <c r="M55" s="80"/>
      <c r="N55" s="80"/>
      <c r="O55" s="80"/>
      <c r="P55" s="80"/>
      <c r="Q55" s="80"/>
      <c r="R55" s="80"/>
      <c r="S55" s="80"/>
    </row>
    <row r="56" ht="42.0" customHeight="1">
      <c r="A56" s="90" t="s">
        <v>753</v>
      </c>
      <c r="B56" s="82" t="s">
        <v>754</v>
      </c>
      <c r="C56" s="82" t="s">
        <v>761</v>
      </c>
      <c r="D56" s="82" t="s">
        <v>756</v>
      </c>
      <c r="E56" s="82" t="s">
        <v>26</v>
      </c>
      <c r="F56" s="96">
        <v>3212130.0</v>
      </c>
      <c r="G56" s="96" t="s">
        <v>1192</v>
      </c>
      <c r="H56" s="82" t="s">
        <v>756</v>
      </c>
      <c r="I56" s="90" t="s">
        <v>965</v>
      </c>
      <c r="J56" s="80"/>
      <c r="K56" s="80"/>
      <c r="L56" s="80"/>
      <c r="M56" s="80"/>
      <c r="N56" s="80"/>
      <c r="O56" s="80"/>
      <c r="P56" s="80"/>
      <c r="Q56" s="80"/>
      <c r="R56" s="80"/>
      <c r="S56" s="80"/>
    </row>
    <row r="57" ht="42.0" customHeight="1">
      <c r="A57" s="90" t="s">
        <v>753</v>
      </c>
      <c r="B57" s="82" t="s">
        <v>762</v>
      </c>
      <c r="C57" s="82" t="s">
        <v>763</v>
      </c>
      <c r="D57" s="82" t="s">
        <v>756</v>
      </c>
      <c r="E57" s="82" t="s">
        <v>26</v>
      </c>
      <c r="F57" s="82">
        <v>9465464.0</v>
      </c>
      <c r="G57" s="82" t="s">
        <v>1222</v>
      </c>
      <c r="H57" s="82" t="s">
        <v>756</v>
      </c>
      <c r="I57" s="90" t="s">
        <v>965</v>
      </c>
      <c r="J57" s="80"/>
      <c r="K57" s="80"/>
      <c r="L57" s="80"/>
      <c r="M57" s="80"/>
      <c r="N57" s="80"/>
      <c r="O57" s="80"/>
      <c r="P57" s="80"/>
      <c r="Q57" s="80"/>
      <c r="R57" s="80"/>
      <c r="S57" s="80"/>
    </row>
    <row r="58" ht="42.0" customHeight="1">
      <c r="A58" s="90" t="s">
        <v>753</v>
      </c>
      <c r="B58" s="82" t="s">
        <v>762</v>
      </c>
      <c r="C58" s="82" t="s">
        <v>763</v>
      </c>
      <c r="D58" s="82" t="s">
        <v>756</v>
      </c>
      <c r="E58" s="82" t="s">
        <v>26</v>
      </c>
      <c r="F58" s="82">
        <v>2065665.0</v>
      </c>
      <c r="G58" s="82" t="s">
        <v>1193</v>
      </c>
      <c r="H58" s="82" t="s">
        <v>756</v>
      </c>
      <c r="I58" s="90" t="s">
        <v>965</v>
      </c>
      <c r="J58" s="80"/>
      <c r="K58" s="80"/>
      <c r="L58" s="80"/>
      <c r="M58" s="80"/>
      <c r="N58" s="80"/>
      <c r="O58" s="80"/>
      <c r="P58" s="80"/>
      <c r="Q58" s="80"/>
      <c r="R58" s="80"/>
      <c r="S58" s="80"/>
    </row>
    <row r="59" ht="42.0" customHeight="1">
      <c r="A59" s="90" t="s">
        <v>753</v>
      </c>
      <c r="B59" s="82" t="s">
        <v>762</v>
      </c>
      <c r="C59" s="82" t="s">
        <v>763</v>
      </c>
      <c r="D59" s="82" t="s">
        <v>756</v>
      </c>
      <c r="E59" s="82" t="s">
        <v>26</v>
      </c>
      <c r="F59" s="82">
        <v>2077671.0</v>
      </c>
      <c r="G59" s="82" t="s">
        <v>1223</v>
      </c>
      <c r="H59" s="82" t="s">
        <v>756</v>
      </c>
      <c r="I59" s="90" t="s">
        <v>965</v>
      </c>
      <c r="J59" s="80"/>
      <c r="K59" s="80"/>
      <c r="L59" s="80"/>
      <c r="M59" s="80"/>
      <c r="N59" s="80"/>
      <c r="O59" s="80"/>
      <c r="P59" s="80"/>
      <c r="Q59" s="80"/>
      <c r="R59" s="80"/>
      <c r="S59" s="80"/>
    </row>
    <row r="60" ht="42.0" customHeight="1">
      <c r="A60" s="90" t="s">
        <v>753</v>
      </c>
      <c r="B60" s="82" t="s">
        <v>762</v>
      </c>
      <c r="C60" s="82" t="s">
        <v>764</v>
      </c>
      <c r="D60" s="82" t="s">
        <v>756</v>
      </c>
      <c r="E60" s="82" t="s">
        <v>26</v>
      </c>
      <c r="F60" s="82">
        <v>9465464.0</v>
      </c>
      <c r="G60" s="82" t="s">
        <v>1222</v>
      </c>
      <c r="H60" s="82" t="s">
        <v>756</v>
      </c>
      <c r="I60" s="90" t="s">
        <v>965</v>
      </c>
      <c r="J60" s="80"/>
      <c r="K60" s="80"/>
      <c r="L60" s="80"/>
      <c r="M60" s="80"/>
      <c r="N60" s="80"/>
      <c r="O60" s="80"/>
      <c r="P60" s="80"/>
      <c r="Q60" s="80"/>
      <c r="R60" s="80"/>
      <c r="S60" s="80"/>
    </row>
    <row r="61" ht="42.0" customHeight="1">
      <c r="A61" s="90" t="s">
        <v>753</v>
      </c>
      <c r="B61" s="82" t="s">
        <v>762</v>
      </c>
      <c r="C61" s="82" t="s">
        <v>765</v>
      </c>
      <c r="D61" s="82" t="s">
        <v>756</v>
      </c>
      <c r="E61" s="82" t="s">
        <v>26</v>
      </c>
      <c r="F61" s="82">
        <v>2066092.0</v>
      </c>
      <c r="G61" s="82" t="s">
        <v>1224</v>
      </c>
      <c r="H61" s="82" t="s">
        <v>756</v>
      </c>
      <c r="I61" s="90" t="s">
        <v>965</v>
      </c>
      <c r="J61" s="80"/>
      <c r="K61" s="80"/>
      <c r="L61" s="80"/>
      <c r="M61" s="80"/>
      <c r="N61" s="80"/>
      <c r="O61" s="80"/>
      <c r="P61" s="80"/>
      <c r="Q61" s="80"/>
      <c r="R61" s="80"/>
      <c r="S61" s="80"/>
    </row>
    <row r="62" ht="42.0" customHeight="1">
      <c r="A62" s="90" t="s">
        <v>753</v>
      </c>
      <c r="B62" s="82" t="s">
        <v>762</v>
      </c>
      <c r="C62" s="82" t="s">
        <v>765</v>
      </c>
      <c r="D62" s="82" t="s">
        <v>756</v>
      </c>
      <c r="E62" s="82" t="s">
        <v>26</v>
      </c>
      <c r="F62" s="82">
        <v>2065665.0</v>
      </c>
      <c r="G62" s="82" t="s">
        <v>1225</v>
      </c>
      <c r="H62" s="82" t="s">
        <v>756</v>
      </c>
      <c r="I62" s="90" t="s">
        <v>965</v>
      </c>
      <c r="J62" s="80"/>
      <c r="K62" s="80"/>
      <c r="L62" s="80"/>
      <c r="M62" s="80"/>
      <c r="N62" s="80"/>
      <c r="O62" s="80"/>
      <c r="P62" s="80"/>
      <c r="Q62" s="80"/>
      <c r="R62" s="80"/>
      <c r="S62" s="80"/>
    </row>
    <row r="63" ht="42.0" customHeight="1">
      <c r="A63" s="90" t="s">
        <v>753</v>
      </c>
      <c r="B63" s="82" t="s">
        <v>762</v>
      </c>
      <c r="C63" s="82" t="s">
        <v>766</v>
      </c>
      <c r="D63" s="82" t="s">
        <v>756</v>
      </c>
      <c r="E63" s="82" t="s">
        <v>26</v>
      </c>
      <c r="F63" s="82">
        <v>2786680.0</v>
      </c>
      <c r="G63" s="82" t="s">
        <v>1226</v>
      </c>
      <c r="H63" s="82" t="s">
        <v>756</v>
      </c>
      <c r="I63" s="90" t="s">
        <v>965</v>
      </c>
      <c r="J63" s="80"/>
      <c r="K63" s="80"/>
      <c r="L63" s="80"/>
      <c r="M63" s="80"/>
      <c r="N63" s="80"/>
      <c r="O63" s="80"/>
      <c r="P63" s="80"/>
      <c r="Q63" s="80"/>
      <c r="R63" s="80"/>
      <c r="S63" s="80"/>
    </row>
    <row r="64" ht="42.0" customHeight="1">
      <c r="A64" s="90" t="s">
        <v>753</v>
      </c>
      <c r="B64" s="82" t="s">
        <v>762</v>
      </c>
      <c r="C64" s="82" t="s">
        <v>766</v>
      </c>
      <c r="D64" s="82" t="s">
        <v>756</v>
      </c>
      <c r="E64" s="82" t="s">
        <v>26</v>
      </c>
      <c r="F64" s="82">
        <v>2077388.0</v>
      </c>
      <c r="G64" s="82" t="s">
        <v>1227</v>
      </c>
      <c r="H64" s="82" t="s">
        <v>756</v>
      </c>
      <c r="I64" s="90" t="s">
        <v>965</v>
      </c>
      <c r="J64" s="80"/>
      <c r="K64" s="80"/>
      <c r="L64" s="80"/>
      <c r="M64" s="80"/>
      <c r="N64" s="80"/>
      <c r="O64" s="80"/>
      <c r="P64" s="80"/>
      <c r="Q64" s="80"/>
      <c r="R64" s="80"/>
      <c r="S64" s="80"/>
    </row>
    <row r="65" ht="42.0" customHeight="1">
      <c r="A65" s="90" t="s">
        <v>753</v>
      </c>
      <c r="B65" s="82" t="s">
        <v>762</v>
      </c>
      <c r="C65" s="82" t="s">
        <v>766</v>
      </c>
      <c r="D65" s="82" t="s">
        <v>756</v>
      </c>
      <c r="E65" s="82" t="s">
        <v>26</v>
      </c>
      <c r="F65" s="82">
        <v>5718368.0</v>
      </c>
      <c r="G65" s="82" t="s">
        <v>1228</v>
      </c>
      <c r="H65" s="82" t="s">
        <v>756</v>
      </c>
      <c r="I65" s="90" t="s">
        <v>965</v>
      </c>
      <c r="J65" s="80"/>
      <c r="K65" s="80"/>
      <c r="L65" s="80"/>
      <c r="M65" s="80"/>
      <c r="N65" s="80"/>
      <c r="O65" s="80"/>
      <c r="P65" s="80"/>
      <c r="Q65" s="80"/>
      <c r="R65" s="80"/>
      <c r="S65" s="80"/>
    </row>
    <row r="66" ht="42.0" customHeight="1">
      <c r="A66" s="90" t="s">
        <v>753</v>
      </c>
      <c r="B66" s="82" t="s">
        <v>762</v>
      </c>
      <c r="C66" s="82" t="s">
        <v>767</v>
      </c>
      <c r="D66" s="82" t="s">
        <v>756</v>
      </c>
      <c r="E66" s="82" t="s">
        <v>26</v>
      </c>
      <c r="F66" s="82">
        <v>2786680.0</v>
      </c>
      <c r="G66" s="82" t="s">
        <v>1226</v>
      </c>
      <c r="H66" s="82" t="s">
        <v>756</v>
      </c>
      <c r="I66" s="90" t="s">
        <v>965</v>
      </c>
      <c r="J66" s="80"/>
      <c r="K66" s="80"/>
      <c r="L66" s="80"/>
      <c r="M66" s="80"/>
      <c r="N66" s="80"/>
      <c r="O66" s="80"/>
      <c r="P66" s="80"/>
      <c r="Q66" s="80"/>
      <c r="R66" s="80"/>
      <c r="S66" s="80"/>
    </row>
    <row r="67" ht="42.0" customHeight="1">
      <c r="A67" s="90" t="s">
        <v>753</v>
      </c>
      <c r="B67" s="82" t="s">
        <v>762</v>
      </c>
      <c r="C67" s="82" t="s">
        <v>767</v>
      </c>
      <c r="D67" s="82" t="s">
        <v>756</v>
      </c>
      <c r="E67" s="82" t="s">
        <v>26</v>
      </c>
      <c r="F67" s="82">
        <v>2077388.0</v>
      </c>
      <c r="G67" s="82" t="s">
        <v>1227</v>
      </c>
      <c r="H67" s="82" t="s">
        <v>756</v>
      </c>
      <c r="I67" s="90" t="s">
        <v>965</v>
      </c>
      <c r="J67" s="80"/>
      <c r="K67" s="80"/>
      <c r="L67" s="80"/>
      <c r="M67" s="80"/>
      <c r="N67" s="80"/>
      <c r="O67" s="80"/>
      <c r="P67" s="80"/>
      <c r="Q67" s="80"/>
      <c r="R67" s="80"/>
      <c r="S67" s="80"/>
    </row>
    <row r="68" ht="42.0" customHeight="1">
      <c r="A68" s="90" t="s">
        <v>753</v>
      </c>
      <c r="B68" s="82" t="s">
        <v>762</v>
      </c>
      <c r="C68" s="82" t="s">
        <v>767</v>
      </c>
      <c r="D68" s="82" t="s">
        <v>756</v>
      </c>
      <c r="E68" s="82" t="s">
        <v>26</v>
      </c>
      <c r="F68" s="82">
        <v>5718368.0</v>
      </c>
      <c r="G68" s="82" t="s">
        <v>1228</v>
      </c>
      <c r="H68" s="82" t="s">
        <v>756</v>
      </c>
      <c r="I68" s="90" t="s">
        <v>965</v>
      </c>
      <c r="J68" s="80"/>
      <c r="K68" s="80"/>
      <c r="L68" s="80"/>
      <c r="M68" s="80"/>
      <c r="N68" s="80"/>
      <c r="O68" s="80"/>
      <c r="P68" s="80"/>
      <c r="Q68" s="80"/>
      <c r="R68" s="80"/>
      <c r="S68" s="80"/>
    </row>
    <row r="69" ht="42.0" customHeight="1">
      <c r="A69" s="90" t="s">
        <v>753</v>
      </c>
      <c r="B69" s="82" t="s">
        <v>762</v>
      </c>
      <c r="C69" s="82" t="s">
        <v>767</v>
      </c>
      <c r="D69" s="82" t="s">
        <v>756</v>
      </c>
      <c r="E69" s="82" t="s">
        <v>26</v>
      </c>
      <c r="F69" s="82">
        <v>2065665.0</v>
      </c>
      <c r="G69" s="82" t="s">
        <v>1225</v>
      </c>
      <c r="H69" s="82" t="s">
        <v>756</v>
      </c>
      <c r="I69" s="90" t="s">
        <v>965</v>
      </c>
      <c r="J69" s="80"/>
      <c r="K69" s="80"/>
      <c r="L69" s="80"/>
      <c r="M69" s="80"/>
      <c r="N69" s="80"/>
      <c r="O69" s="80"/>
      <c r="P69" s="80"/>
      <c r="Q69" s="80"/>
      <c r="R69" s="80"/>
      <c r="S69" s="80"/>
    </row>
    <row r="70" ht="42.0" customHeight="1">
      <c r="A70" s="90" t="s">
        <v>753</v>
      </c>
      <c r="B70" s="82" t="s">
        <v>768</v>
      </c>
      <c r="C70" s="82" t="s">
        <v>769</v>
      </c>
      <c r="D70" s="82" t="s">
        <v>756</v>
      </c>
      <c r="E70" s="82" t="s">
        <v>26</v>
      </c>
      <c r="F70" s="82">
        <v>5420938.0</v>
      </c>
      <c r="G70" s="82" t="s">
        <v>1229</v>
      </c>
      <c r="H70" s="82" t="s">
        <v>756</v>
      </c>
      <c r="I70" s="90" t="s">
        <v>965</v>
      </c>
      <c r="J70" s="80"/>
      <c r="K70" s="80"/>
      <c r="L70" s="80"/>
      <c r="M70" s="80"/>
      <c r="N70" s="80"/>
      <c r="O70" s="80"/>
      <c r="P70" s="80"/>
      <c r="Q70" s="80"/>
      <c r="R70" s="80"/>
      <c r="S70" s="80"/>
    </row>
    <row r="71" ht="42.0" customHeight="1">
      <c r="A71" s="90" t="s">
        <v>753</v>
      </c>
      <c r="B71" s="82" t="s">
        <v>768</v>
      </c>
      <c r="C71" s="82" t="s">
        <v>770</v>
      </c>
      <c r="D71" s="82" t="s">
        <v>756</v>
      </c>
      <c r="E71" s="82" t="s">
        <v>26</v>
      </c>
      <c r="F71" s="82">
        <v>2082829.0</v>
      </c>
      <c r="G71" s="82" t="s">
        <v>1230</v>
      </c>
      <c r="H71" s="82" t="s">
        <v>756</v>
      </c>
      <c r="I71" s="90" t="s">
        <v>965</v>
      </c>
      <c r="J71" s="80"/>
      <c r="K71" s="80"/>
      <c r="L71" s="80"/>
      <c r="M71" s="80"/>
      <c r="N71" s="80"/>
      <c r="O71" s="80"/>
      <c r="P71" s="80"/>
      <c r="Q71" s="80"/>
      <c r="R71" s="80"/>
      <c r="S71" s="80"/>
    </row>
    <row r="72" ht="42.0" customHeight="1">
      <c r="A72" s="90" t="s">
        <v>753</v>
      </c>
      <c r="B72" s="82" t="s">
        <v>768</v>
      </c>
      <c r="C72" s="82" t="s">
        <v>771</v>
      </c>
      <c r="D72" s="82" t="s">
        <v>756</v>
      </c>
      <c r="E72" s="82" t="s">
        <v>26</v>
      </c>
      <c r="F72" s="82">
        <v>2079240.0</v>
      </c>
      <c r="G72" s="82" t="s">
        <v>1231</v>
      </c>
      <c r="H72" s="82" t="s">
        <v>756</v>
      </c>
      <c r="I72" s="90" t="s">
        <v>965</v>
      </c>
      <c r="J72" s="80"/>
      <c r="K72" s="80"/>
      <c r="L72" s="80"/>
      <c r="M72" s="80"/>
      <c r="N72" s="80"/>
      <c r="O72" s="80"/>
      <c r="P72" s="80"/>
      <c r="Q72" s="80"/>
      <c r="R72" s="80"/>
      <c r="S72" s="80"/>
    </row>
    <row r="73" ht="42.0" customHeight="1">
      <c r="A73" s="90" t="s">
        <v>753</v>
      </c>
      <c r="B73" s="82" t="s">
        <v>768</v>
      </c>
      <c r="C73" s="82" t="s">
        <v>772</v>
      </c>
      <c r="D73" s="82" t="s">
        <v>756</v>
      </c>
      <c r="E73" s="82" t="s">
        <v>26</v>
      </c>
      <c r="F73" s="82">
        <v>2077620.0</v>
      </c>
      <c r="G73" s="82" t="s">
        <v>1232</v>
      </c>
      <c r="H73" s="82" t="s">
        <v>756</v>
      </c>
      <c r="I73" s="90" t="s">
        <v>965</v>
      </c>
      <c r="J73" s="80"/>
      <c r="K73" s="80"/>
      <c r="L73" s="80"/>
      <c r="M73" s="80"/>
      <c r="N73" s="80"/>
      <c r="O73" s="80"/>
      <c r="P73" s="80"/>
      <c r="Q73" s="80"/>
      <c r="R73" s="80"/>
      <c r="S73" s="80"/>
    </row>
    <row r="74" ht="42.0" customHeight="1">
      <c r="A74" s="90" t="s">
        <v>753</v>
      </c>
      <c r="B74" s="82" t="s">
        <v>768</v>
      </c>
      <c r="C74" s="82" t="s">
        <v>772</v>
      </c>
      <c r="D74" s="82" t="s">
        <v>756</v>
      </c>
      <c r="E74" s="82" t="s">
        <v>26</v>
      </c>
      <c r="F74" s="82">
        <v>2080583.0</v>
      </c>
      <c r="G74" s="82" t="s">
        <v>1233</v>
      </c>
      <c r="H74" s="82" t="s">
        <v>756</v>
      </c>
      <c r="I74" s="90" t="s">
        <v>965</v>
      </c>
      <c r="J74" s="80"/>
      <c r="K74" s="80"/>
      <c r="L74" s="80"/>
      <c r="M74" s="80"/>
      <c r="N74" s="80"/>
      <c r="O74" s="80"/>
      <c r="P74" s="80"/>
      <c r="Q74" s="80"/>
      <c r="R74" s="80"/>
      <c r="S74" s="80"/>
    </row>
    <row r="75" ht="42.0" customHeight="1">
      <c r="A75" s="90" t="s">
        <v>753</v>
      </c>
      <c r="B75" s="82" t="s">
        <v>768</v>
      </c>
      <c r="C75" s="82" t="s">
        <v>773</v>
      </c>
      <c r="D75" s="82" t="s">
        <v>756</v>
      </c>
      <c r="E75" s="82" t="s">
        <v>26</v>
      </c>
      <c r="F75" s="82">
        <v>2077639.0</v>
      </c>
      <c r="G75" s="82" t="s">
        <v>1234</v>
      </c>
      <c r="H75" s="82" t="s">
        <v>756</v>
      </c>
      <c r="I75" s="90" t="s">
        <v>965</v>
      </c>
      <c r="J75" s="80"/>
      <c r="K75" s="80"/>
      <c r="L75" s="80"/>
      <c r="M75" s="80"/>
      <c r="N75" s="80"/>
      <c r="O75" s="80"/>
      <c r="P75" s="80"/>
      <c r="Q75" s="80"/>
      <c r="R75" s="80"/>
      <c r="S75" s="80"/>
    </row>
    <row r="76" ht="42.0" customHeight="1">
      <c r="A76" s="90" t="s">
        <v>753</v>
      </c>
      <c r="B76" s="82" t="s">
        <v>768</v>
      </c>
      <c r="C76" s="82" t="s">
        <v>774</v>
      </c>
      <c r="D76" s="82" t="s">
        <v>756</v>
      </c>
      <c r="E76" s="82" t="s">
        <v>26</v>
      </c>
      <c r="F76" s="82">
        <v>2077493.0</v>
      </c>
      <c r="G76" s="82" t="s">
        <v>1235</v>
      </c>
      <c r="H76" s="82" t="s">
        <v>756</v>
      </c>
      <c r="I76" s="90" t="s">
        <v>965</v>
      </c>
      <c r="J76" s="80"/>
      <c r="K76" s="80"/>
      <c r="L76" s="80"/>
      <c r="M76" s="80"/>
      <c r="N76" s="80"/>
      <c r="O76" s="80"/>
      <c r="P76" s="80"/>
      <c r="Q76" s="80"/>
      <c r="R76" s="80"/>
      <c r="S76" s="80"/>
    </row>
    <row r="77" ht="42.0" customHeight="1">
      <c r="A77" s="90" t="s">
        <v>753</v>
      </c>
      <c r="B77" s="82" t="s">
        <v>768</v>
      </c>
      <c r="C77" s="82" t="s">
        <v>774</v>
      </c>
      <c r="D77" s="82" t="s">
        <v>756</v>
      </c>
      <c r="E77" s="82" t="s">
        <v>26</v>
      </c>
      <c r="F77" s="82">
        <v>2077426.0</v>
      </c>
      <c r="G77" s="82" t="s">
        <v>1214</v>
      </c>
      <c r="H77" s="82" t="s">
        <v>756</v>
      </c>
      <c r="I77" s="90" t="s">
        <v>965</v>
      </c>
      <c r="J77" s="80"/>
      <c r="K77" s="80"/>
      <c r="L77" s="80"/>
      <c r="M77" s="80"/>
      <c r="N77" s="80"/>
      <c r="O77" s="80"/>
      <c r="P77" s="80"/>
      <c r="Q77" s="80"/>
      <c r="R77" s="80"/>
      <c r="S77" s="80"/>
    </row>
    <row r="78" ht="42.0" customHeight="1">
      <c r="A78" s="90" t="s">
        <v>753</v>
      </c>
      <c r="B78" s="82" t="s">
        <v>768</v>
      </c>
      <c r="C78" s="82" t="s">
        <v>774</v>
      </c>
      <c r="D78" s="82" t="s">
        <v>756</v>
      </c>
      <c r="E78" s="82" t="s">
        <v>26</v>
      </c>
      <c r="F78" s="82">
        <v>5420938.0</v>
      </c>
      <c r="G78" s="82" t="s">
        <v>1229</v>
      </c>
      <c r="H78" s="82" t="s">
        <v>756</v>
      </c>
      <c r="I78" s="90" t="s">
        <v>965</v>
      </c>
      <c r="J78" s="80"/>
      <c r="K78" s="80"/>
      <c r="L78" s="80"/>
      <c r="M78" s="80"/>
      <c r="N78" s="80"/>
      <c r="O78" s="80"/>
      <c r="P78" s="80"/>
      <c r="Q78" s="80"/>
      <c r="R78" s="80"/>
      <c r="S78" s="80"/>
    </row>
    <row r="79" ht="42.0" customHeight="1">
      <c r="A79" s="90" t="s">
        <v>753</v>
      </c>
      <c r="B79" s="82" t="s">
        <v>768</v>
      </c>
      <c r="C79" s="82" t="s">
        <v>775</v>
      </c>
      <c r="D79" s="82" t="s">
        <v>756</v>
      </c>
      <c r="E79" s="82" t="s">
        <v>26</v>
      </c>
      <c r="F79" s="82">
        <v>2077620.0</v>
      </c>
      <c r="G79" s="82" t="s">
        <v>1232</v>
      </c>
      <c r="H79" s="82" t="s">
        <v>756</v>
      </c>
      <c r="I79" s="90" t="s">
        <v>965</v>
      </c>
      <c r="J79" s="80"/>
      <c r="K79" s="80"/>
      <c r="L79" s="80"/>
      <c r="M79" s="80"/>
      <c r="N79" s="80"/>
      <c r="O79" s="80"/>
      <c r="P79" s="80"/>
      <c r="Q79" s="80"/>
      <c r="R79" s="80"/>
      <c r="S79" s="80"/>
    </row>
    <row r="80" ht="42.0" customHeight="1">
      <c r="A80" s="90" t="s">
        <v>753</v>
      </c>
      <c r="B80" s="82" t="s">
        <v>768</v>
      </c>
      <c r="C80" s="82" t="s">
        <v>775</v>
      </c>
      <c r="D80" s="82" t="s">
        <v>756</v>
      </c>
      <c r="E80" s="82" t="s">
        <v>26</v>
      </c>
      <c r="F80" s="82">
        <v>2080583.0</v>
      </c>
      <c r="G80" s="82" t="s">
        <v>1233</v>
      </c>
      <c r="H80" s="82" t="s">
        <v>756</v>
      </c>
      <c r="I80" s="90" t="s">
        <v>965</v>
      </c>
      <c r="J80" s="80"/>
      <c r="K80" s="80"/>
      <c r="L80" s="80"/>
      <c r="M80" s="80"/>
      <c r="N80" s="80"/>
      <c r="O80" s="80"/>
      <c r="P80" s="80"/>
      <c r="Q80" s="80"/>
      <c r="R80" s="80"/>
      <c r="S80" s="80"/>
    </row>
    <row r="81" ht="42.0" customHeight="1">
      <c r="A81" s="90" t="s">
        <v>753</v>
      </c>
      <c r="B81" s="82" t="s">
        <v>768</v>
      </c>
      <c r="C81" s="82" t="s">
        <v>775</v>
      </c>
      <c r="D81" s="82" t="s">
        <v>756</v>
      </c>
      <c r="E81" s="82" t="s">
        <v>26</v>
      </c>
      <c r="F81" s="82">
        <v>2082829.0</v>
      </c>
      <c r="G81" s="82" t="s">
        <v>1230</v>
      </c>
      <c r="H81" s="82" t="s">
        <v>756</v>
      </c>
      <c r="I81" s="90" t="s">
        <v>965</v>
      </c>
      <c r="J81" s="80"/>
      <c r="K81" s="80"/>
      <c r="L81" s="80"/>
      <c r="M81" s="80"/>
      <c r="N81" s="80"/>
      <c r="O81" s="80"/>
      <c r="P81" s="80"/>
      <c r="Q81" s="80"/>
      <c r="R81" s="80"/>
      <c r="S81" s="80"/>
    </row>
    <row r="82" ht="42.0" customHeight="1">
      <c r="A82" s="90" t="s">
        <v>753</v>
      </c>
      <c r="B82" s="82" t="s">
        <v>776</v>
      </c>
      <c r="C82" s="82" t="s">
        <v>777</v>
      </c>
      <c r="D82" s="82" t="s">
        <v>756</v>
      </c>
      <c r="E82" s="82" t="s">
        <v>26</v>
      </c>
      <c r="F82" s="82">
        <v>2688689.0</v>
      </c>
      <c r="G82" s="82" t="s">
        <v>1209</v>
      </c>
      <c r="H82" s="82" t="s">
        <v>756</v>
      </c>
      <c r="I82" s="90" t="s">
        <v>965</v>
      </c>
      <c r="J82" s="80"/>
      <c r="K82" s="80"/>
      <c r="L82" s="80"/>
      <c r="M82" s="80"/>
      <c r="N82" s="80"/>
      <c r="O82" s="80"/>
      <c r="P82" s="80"/>
      <c r="Q82" s="80"/>
      <c r="R82" s="80"/>
      <c r="S82" s="80"/>
    </row>
    <row r="83" ht="42.0" customHeight="1">
      <c r="A83" s="90" t="s">
        <v>753</v>
      </c>
      <c r="B83" s="82" t="s">
        <v>776</v>
      </c>
      <c r="C83" s="82" t="s">
        <v>778</v>
      </c>
      <c r="D83" s="82" t="s">
        <v>756</v>
      </c>
      <c r="E83" s="82" t="s">
        <v>26</v>
      </c>
      <c r="F83" s="82">
        <v>2688689.0</v>
      </c>
      <c r="G83" s="82" t="s">
        <v>1209</v>
      </c>
      <c r="H83" s="82" t="s">
        <v>756</v>
      </c>
      <c r="I83" s="90" t="s">
        <v>965</v>
      </c>
      <c r="J83" s="80"/>
      <c r="K83" s="80"/>
      <c r="L83" s="80"/>
      <c r="M83" s="80"/>
      <c r="N83" s="80"/>
      <c r="O83" s="80"/>
      <c r="P83" s="80"/>
      <c r="Q83" s="80"/>
      <c r="R83" s="80"/>
      <c r="S83" s="80"/>
    </row>
    <row r="84" ht="42.0" customHeight="1">
      <c r="A84" s="90" t="s">
        <v>753</v>
      </c>
      <c r="B84" s="82" t="s">
        <v>779</v>
      </c>
      <c r="C84" s="82" t="s">
        <v>780</v>
      </c>
      <c r="D84" s="82" t="s">
        <v>756</v>
      </c>
      <c r="E84" s="82" t="s">
        <v>26</v>
      </c>
      <c r="F84" s="82">
        <v>2075717.0</v>
      </c>
      <c r="G84" s="82" t="s">
        <v>1211</v>
      </c>
      <c r="H84" s="82" t="s">
        <v>756</v>
      </c>
      <c r="I84" s="90" t="s">
        <v>965</v>
      </c>
      <c r="J84" s="80"/>
      <c r="K84" s="80"/>
      <c r="L84" s="80"/>
      <c r="M84" s="80"/>
      <c r="N84" s="80"/>
      <c r="O84" s="80"/>
      <c r="P84" s="80"/>
      <c r="Q84" s="80"/>
      <c r="R84" s="80"/>
      <c r="S84" s="80"/>
    </row>
    <row r="85" ht="42.0" customHeight="1">
      <c r="A85" s="90" t="s">
        <v>753</v>
      </c>
      <c r="B85" s="82" t="s">
        <v>779</v>
      </c>
      <c r="C85" s="82" t="s">
        <v>780</v>
      </c>
      <c r="D85" s="82" t="s">
        <v>756</v>
      </c>
      <c r="E85" s="82" t="s">
        <v>26</v>
      </c>
      <c r="F85" s="82">
        <v>2076926.0</v>
      </c>
      <c r="G85" s="82" t="s">
        <v>1236</v>
      </c>
      <c r="H85" s="82" t="s">
        <v>756</v>
      </c>
      <c r="I85" s="90" t="s">
        <v>965</v>
      </c>
      <c r="J85" s="80"/>
      <c r="K85" s="80"/>
      <c r="L85" s="80"/>
      <c r="M85" s="80"/>
      <c r="N85" s="80"/>
      <c r="O85" s="80"/>
      <c r="P85" s="80"/>
      <c r="Q85" s="80"/>
      <c r="R85" s="80"/>
      <c r="S85" s="80"/>
    </row>
    <row r="86" ht="42.0" customHeight="1">
      <c r="A86" s="90" t="s">
        <v>753</v>
      </c>
      <c r="B86" s="82" t="s">
        <v>779</v>
      </c>
      <c r="C86" s="82" t="s">
        <v>780</v>
      </c>
      <c r="D86" s="82" t="s">
        <v>756</v>
      </c>
      <c r="E86" s="82" t="s">
        <v>26</v>
      </c>
      <c r="F86" s="82">
        <v>2688689.0</v>
      </c>
      <c r="G86" s="82" t="s">
        <v>1209</v>
      </c>
      <c r="H86" s="82" t="s">
        <v>756</v>
      </c>
      <c r="I86" s="90" t="s">
        <v>965</v>
      </c>
      <c r="J86" s="80"/>
      <c r="K86" s="80"/>
      <c r="L86" s="80"/>
      <c r="M86" s="80"/>
      <c r="N86" s="80"/>
      <c r="O86" s="80"/>
      <c r="P86" s="80"/>
      <c r="Q86" s="80"/>
      <c r="R86" s="80"/>
      <c r="S86" s="80"/>
    </row>
    <row r="87" ht="42.0" customHeight="1">
      <c r="A87" s="90" t="s">
        <v>753</v>
      </c>
      <c r="B87" s="82" t="s">
        <v>779</v>
      </c>
      <c r="C87" s="82" t="s">
        <v>780</v>
      </c>
      <c r="D87" s="82" t="s">
        <v>756</v>
      </c>
      <c r="E87" s="82" t="s">
        <v>26</v>
      </c>
      <c r="F87" s="82">
        <v>2077388.0</v>
      </c>
      <c r="G87" s="82" t="s">
        <v>1227</v>
      </c>
      <c r="H87" s="82" t="s">
        <v>756</v>
      </c>
      <c r="I87" s="90" t="s">
        <v>965</v>
      </c>
      <c r="J87" s="80"/>
      <c r="K87" s="80"/>
      <c r="L87" s="80"/>
      <c r="M87" s="80"/>
      <c r="N87" s="80"/>
      <c r="O87" s="80"/>
      <c r="P87" s="80"/>
      <c r="Q87" s="80"/>
      <c r="R87" s="80"/>
      <c r="S87" s="80"/>
    </row>
    <row r="88" ht="42.0" customHeight="1">
      <c r="A88" s="90" t="s">
        <v>753</v>
      </c>
      <c r="B88" s="82" t="s">
        <v>779</v>
      </c>
      <c r="C88" s="82" t="s">
        <v>781</v>
      </c>
      <c r="D88" s="82" t="s">
        <v>756</v>
      </c>
      <c r="E88" s="82" t="s">
        <v>26</v>
      </c>
      <c r="F88" s="82">
        <v>2075717.0</v>
      </c>
      <c r="G88" s="82" t="s">
        <v>1211</v>
      </c>
      <c r="H88" s="82" t="s">
        <v>756</v>
      </c>
      <c r="I88" s="90" t="s">
        <v>965</v>
      </c>
      <c r="J88" s="80"/>
      <c r="K88" s="80"/>
      <c r="L88" s="80"/>
      <c r="M88" s="80"/>
      <c r="N88" s="80"/>
      <c r="O88" s="80"/>
      <c r="P88" s="80"/>
      <c r="Q88" s="80"/>
      <c r="R88" s="80"/>
      <c r="S88" s="80"/>
    </row>
    <row r="89" ht="42.0" customHeight="1">
      <c r="A89" s="90" t="s">
        <v>753</v>
      </c>
      <c r="B89" s="82" t="s">
        <v>779</v>
      </c>
      <c r="C89" s="82" t="s">
        <v>781</v>
      </c>
      <c r="D89" s="82" t="s">
        <v>756</v>
      </c>
      <c r="E89" s="82" t="s">
        <v>26</v>
      </c>
      <c r="F89" s="82">
        <v>2076926.0</v>
      </c>
      <c r="G89" s="82" t="s">
        <v>1236</v>
      </c>
      <c r="H89" s="82" t="s">
        <v>756</v>
      </c>
      <c r="I89" s="90" t="s">
        <v>965</v>
      </c>
      <c r="J89" s="80"/>
      <c r="K89" s="80"/>
      <c r="L89" s="80"/>
      <c r="M89" s="80"/>
      <c r="N89" s="80"/>
      <c r="O89" s="80"/>
      <c r="P89" s="80"/>
      <c r="Q89" s="80"/>
      <c r="R89" s="80"/>
      <c r="S89" s="80"/>
    </row>
    <row r="90" ht="42.0" customHeight="1">
      <c r="A90" s="90" t="s">
        <v>753</v>
      </c>
      <c r="B90" s="82" t="s">
        <v>782</v>
      </c>
      <c r="C90" s="82" t="s">
        <v>783</v>
      </c>
      <c r="D90" s="82" t="s">
        <v>756</v>
      </c>
      <c r="E90" s="82" t="s">
        <v>26</v>
      </c>
      <c r="F90" s="82">
        <v>2077523.0</v>
      </c>
      <c r="G90" s="82" t="s">
        <v>1237</v>
      </c>
      <c r="H90" s="82" t="s">
        <v>756</v>
      </c>
      <c r="I90" s="90" t="s">
        <v>965</v>
      </c>
      <c r="J90" s="80"/>
      <c r="K90" s="80"/>
      <c r="L90" s="80"/>
      <c r="M90" s="80"/>
      <c r="N90" s="80"/>
      <c r="O90" s="80"/>
      <c r="P90" s="80"/>
      <c r="Q90" s="80"/>
      <c r="R90" s="80"/>
      <c r="S90" s="80"/>
    </row>
    <row r="91" ht="42.0" customHeight="1">
      <c r="A91" s="90" t="s">
        <v>753</v>
      </c>
      <c r="B91" s="82" t="s">
        <v>782</v>
      </c>
      <c r="C91" s="82" t="s">
        <v>784</v>
      </c>
      <c r="D91" s="82" t="s">
        <v>756</v>
      </c>
      <c r="E91" s="82" t="s">
        <v>26</v>
      </c>
      <c r="F91" s="82">
        <v>2077426.0</v>
      </c>
      <c r="G91" s="82" t="s">
        <v>1214</v>
      </c>
      <c r="H91" s="82" t="s">
        <v>756</v>
      </c>
      <c r="I91" s="90" t="s">
        <v>965</v>
      </c>
      <c r="J91" s="80"/>
      <c r="K91" s="80"/>
      <c r="L91" s="80"/>
      <c r="M91" s="80"/>
      <c r="N91" s="80"/>
      <c r="O91" s="80"/>
      <c r="P91" s="80"/>
      <c r="Q91" s="80"/>
      <c r="R91" s="80"/>
      <c r="S91" s="80"/>
    </row>
    <row r="92" ht="42.0" customHeight="1">
      <c r="A92" s="90" t="s">
        <v>753</v>
      </c>
      <c r="B92" s="82" t="s">
        <v>782</v>
      </c>
      <c r="C92" s="82" t="s">
        <v>784</v>
      </c>
      <c r="D92" s="82" t="s">
        <v>756</v>
      </c>
      <c r="E92" s="82" t="s">
        <v>26</v>
      </c>
      <c r="F92" s="82">
        <v>2084473.0</v>
      </c>
      <c r="G92" s="82" t="s">
        <v>1238</v>
      </c>
      <c r="H92" s="82" t="s">
        <v>756</v>
      </c>
      <c r="I92" s="90" t="s">
        <v>965</v>
      </c>
      <c r="J92" s="80"/>
      <c r="K92" s="80"/>
      <c r="L92" s="80"/>
      <c r="M92" s="80"/>
      <c r="N92" s="80"/>
      <c r="O92" s="80"/>
      <c r="P92" s="80"/>
      <c r="Q92" s="80"/>
      <c r="R92" s="80"/>
      <c r="S92" s="80"/>
    </row>
    <row r="93" ht="42.0" customHeight="1">
      <c r="A93" s="90" t="s">
        <v>753</v>
      </c>
      <c r="B93" s="82" t="s">
        <v>782</v>
      </c>
      <c r="C93" s="82" t="s">
        <v>784</v>
      </c>
      <c r="D93" s="82" t="s">
        <v>756</v>
      </c>
      <c r="E93" s="82" t="s">
        <v>26</v>
      </c>
      <c r="F93" s="82">
        <v>2091585.0</v>
      </c>
      <c r="G93" s="82" t="s">
        <v>1239</v>
      </c>
      <c r="H93" s="82" t="s">
        <v>756</v>
      </c>
      <c r="I93" s="90" t="s">
        <v>965</v>
      </c>
      <c r="J93" s="80"/>
      <c r="K93" s="80"/>
      <c r="L93" s="80"/>
      <c r="M93" s="80"/>
      <c r="N93" s="80"/>
      <c r="O93" s="80"/>
      <c r="P93" s="80"/>
      <c r="Q93" s="80"/>
      <c r="R93" s="80"/>
      <c r="S93" s="80"/>
    </row>
    <row r="94" ht="42.0" customHeight="1">
      <c r="A94" s="90" t="s">
        <v>753</v>
      </c>
      <c r="B94" s="82" t="s">
        <v>782</v>
      </c>
      <c r="C94" s="82" t="s">
        <v>784</v>
      </c>
      <c r="D94" s="82" t="s">
        <v>756</v>
      </c>
      <c r="E94" s="82" t="s">
        <v>26</v>
      </c>
      <c r="F94" s="82">
        <v>2077701.0</v>
      </c>
      <c r="G94" s="82" t="s">
        <v>1216</v>
      </c>
      <c r="H94" s="82" t="s">
        <v>756</v>
      </c>
      <c r="I94" s="90" t="s">
        <v>965</v>
      </c>
      <c r="J94" s="80"/>
      <c r="K94" s="80"/>
      <c r="L94" s="80"/>
      <c r="M94" s="80"/>
      <c r="N94" s="80"/>
      <c r="O94" s="80"/>
      <c r="P94" s="80"/>
      <c r="Q94" s="80"/>
      <c r="R94" s="80"/>
      <c r="S94" s="80"/>
    </row>
    <row r="95" ht="42.0" customHeight="1">
      <c r="A95" s="90" t="s">
        <v>753</v>
      </c>
      <c r="B95" s="82" t="s">
        <v>782</v>
      </c>
      <c r="C95" s="82" t="s">
        <v>785</v>
      </c>
      <c r="D95" s="82" t="s">
        <v>756</v>
      </c>
      <c r="E95" s="82" t="s">
        <v>26</v>
      </c>
      <c r="F95" s="82">
        <v>7711980.0</v>
      </c>
      <c r="G95" s="82" t="s">
        <v>1217</v>
      </c>
      <c r="H95" s="82" t="s">
        <v>756</v>
      </c>
      <c r="I95" s="90" t="s">
        <v>965</v>
      </c>
      <c r="J95" s="80"/>
      <c r="K95" s="80"/>
      <c r="L95" s="80"/>
      <c r="M95" s="80"/>
      <c r="N95" s="80"/>
      <c r="O95" s="80"/>
      <c r="P95" s="80"/>
      <c r="Q95" s="80"/>
      <c r="R95" s="80"/>
      <c r="S95" s="80"/>
    </row>
    <row r="96" ht="42.0" customHeight="1">
      <c r="A96" s="90" t="s">
        <v>753</v>
      </c>
      <c r="B96" s="82" t="s">
        <v>782</v>
      </c>
      <c r="C96" s="82" t="s">
        <v>785</v>
      </c>
      <c r="D96" s="82" t="s">
        <v>756</v>
      </c>
      <c r="E96" s="82" t="s">
        <v>26</v>
      </c>
      <c r="F96" s="82">
        <v>2077388.0</v>
      </c>
      <c r="G96" s="82" t="s">
        <v>1227</v>
      </c>
      <c r="H96" s="82" t="s">
        <v>756</v>
      </c>
      <c r="I96" s="90" t="s">
        <v>965</v>
      </c>
      <c r="J96" s="80"/>
      <c r="K96" s="80"/>
      <c r="L96" s="80"/>
      <c r="M96" s="80"/>
      <c r="N96" s="80"/>
      <c r="O96" s="80"/>
      <c r="P96" s="80"/>
      <c r="Q96" s="80"/>
      <c r="R96" s="80"/>
      <c r="S96" s="80"/>
    </row>
    <row r="97" ht="42.0" customHeight="1">
      <c r="A97" s="90" t="s">
        <v>753</v>
      </c>
      <c r="B97" s="82" t="s">
        <v>782</v>
      </c>
      <c r="C97" s="82" t="s">
        <v>786</v>
      </c>
      <c r="D97" s="82" t="s">
        <v>756</v>
      </c>
      <c r="E97" s="82" t="s">
        <v>26</v>
      </c>
      <c r="F97" s="82">
        <v>2091585.0</v>
      </c>
      <c r="G97" s="82" t="s">
        <v>1239</v>
      </c>
      <c r="H97" s="82" t="s">
        <v>756</v>
      </c>
      <c r="I97" s="90" t="s">
        <v>965</v>
      </c>
      <c r="J97" s="80"/>
      <c r="K97" s="80"/>
      <c r="L97" s="80"/>
      <c r="M97" s="80"/>
      <c r="N97" s="80"/>
      <c r="O97" s="80"/>
      <c r="P97" s="80"/>
      <c r="Q97" s="80"/>
      <c r="R97" s="80"/>
      <c r="S97" s="80"/>
    </row>
    <row r="98" ht="42.0" customHeight="1">
      <c r="A98" s="90" t="s">
        <v>753</v>
      </c>
      <c r="B98" s="82" t="s">
        <v>782</v>
      </c>
      <c r="C98" s="82" t="s">
        <v>786</v>
      </c>
      <c r="D98" s="82" t="s">
        <v>756</v>
      </c>
      <c r="E98" s="82" t="s">
        <v>26</v>
      </c>
      <c r="F98" s="82">
        <v>2077426.0</v>
      </c>
      <c r="G98" s="82" t="s">
        <v>1214</v>
      </c>
      <c r="H98" s="82" t="s">
        <v>756</v>
      </c>
      <c r="I98" s="90" t="s">
        <v>965</v>
      </c>
      <c r="J98" s="80"/>
      <c r="K98" s="80"/>
      <c r="L98" s="80"/>
      <c r="M98" s="80"/>
      <c r="N98" s="80"/>
      <c r="O98" s="80"/>
      <c r="P98" s="80"/>
      <c r="Q98" s="80"/>
      <c r="R98" s="80"/>
      <c r="S98" s="80"/>
    </row>
    <row r="99" ht="42.0" customHeight="1">
      <c r="A99" s="90" t="s">
        <v>753</v>
      </c>
      <c r="B99" s="82" t="s">
        <v>782</v>
      </c>
      <c r="C99" s="82" t="s">
        <v>787</v>
      </c>
      <c r="D99" s="82" t="s">
        <v>756</v>
      </c>
      <c r="E99" s="82" t="s">
        <v>26</v>
      </c>
      <c r="F99" s="82">
        <v>2084473.0</v>
      </c>
      <c r="G99" s="82" t="s">
        <v>1238</v>
      </c>
      <c r="H99" s="82" t="s">
        <v>756</v>
      </c>
      <c r="I99" s="90" t="s">
        <v>965</v>
      </c>
      <c r="J99" s="80"/>
      <c r="K99" s="80"/>
      <c r="L99" s="80"/>
      <c r="M99" s="80"/>
      <c r="N99" s="80"/>
      <c r="O99" s="80"/>
      <c r="P99" s="80"/>
      <c r="Q99" s="80"/>
      <c r="R99" s="80"/>
      <c r="S99" s="80"/>
    </row>
    <row r="100" ht="42.0" customHeight="1">
      <c r="A100" s="90" t="s">
        <v>753</v>
      </c>
      <c r="B100" s="82" t="s">
        <v>782</v>
      </c>
      <c r="C100" s="82" t="s">
        <v>787</v>
      </c>
      <c r="D100" s="82" t="s">
        <v>756</v>
      </c>
      <c r="E100" s="82" t="s">
        <v>26</v>
      </c>
      <c r="F100" s="82">
        <v>2077701.0</v>
      </c>
      <c r="G100" s="82" t="s">
        <v>1216</v>
      </c>
      <c r="H100" s="82" t="s">
        <v>756</v>
      </c>
      <c r="I100" s="90" t="s">
        <v>965</v>
      </c>
      <c r="J100" s="80"/>
      <c r="K100" s="80"/>
      <c r="L100" s="80"/>
      <c r="M100" s="80"/>
      <c r="N100" s="80"/>
      <c r="O100" s="80"/>
      <c r="P100" s="80"/>
      <c r="Q100" s="80"/>
      <c r="R100" s="80"/>
      <c r="S100" s="80"/>
    </row>
    <row r="101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</row>
    <row r="102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</row>
    <row r="103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</row>
    <row r="104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</row>
    <row r="105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</row>
    <row r="106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</row>
    <row r="107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</row>
    <row r="108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</row>
    <row r="109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</row>
    <row r="110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</row>
    <row r="111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</row>
    <row r="112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</row>
    <row r="113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</row>
    <row r="114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</row>
    <row r="115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</row>
    <row r="116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</row>
    <row r="117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</row>
    <row r="118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</row>
    <row r="119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</row>
    <row r="120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</row>
    <row r="121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</row>
    <row r="122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</row>
    <row r="123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</row>
    <row r="124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</row>
    <row r="125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</row>
    <row r="126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</row>
    <row r="127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</row>
    <row r="128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</row>
    <row r="129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</row>
    <row r="130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</row>
    <row r="131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</row>
    <row r="132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</row>
    <row r="133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</row>
    <row r="134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</row>
    <row r="135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</row>
    <row r="136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</row>
    <row r="137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</row>
    <row r="138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</row>
    <row r="139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</row>
    <row r="140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</row>
    <row r="141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</row>
    <row r="142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</row>
    <row r="143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</row>
    <row r="144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</row>
    <row r="145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</row>
    <row r="146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</row>
    <row r="147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</row>
    <row r="148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</row>
    <row r="149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</row>
    <row r="150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</row>
    <row r="151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</row>
    <row r="152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</row>
    <row r="153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</row>
    <row r="154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</row>
    <row r="155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</row>
    <row r="156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</row>
    <row r="157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</row>
    <row r="158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</row>
    <row r="159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</row>
    <row r="160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</row>
    <row r="161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</row>
    <row r="162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</row>
    <row r="163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</row>
    <row r="164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</row>
    <row r="165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</row>
    <row r="166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</row>
    <row r="167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</row>
    <row r="168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</row>
    <row r="169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</row>
    <row r="170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</row>
    <row r="171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</row>
    <row r="172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</row>
    <row r="173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</row>
    <row r="174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</row>
    <row r="175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</row>
    <row r="176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</row>
    <row r="177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</row>
    <row r="178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</row>
    <row r="179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</row>
    <row r="180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</row>
    <row r="181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</row>
    <row r="182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</row>
    <row r="183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</row>
    <row r="184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</row>
    <row r="185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</row>
    <row r="186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</row>
    <row r="187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</row>
    <row r="188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</row>
    <row r="189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</row>
    <row r="190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</row>
    <row r="191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</row>
    <row r="192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</row>
    <row r="193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</row>
    <row r="194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</row>
    <row r="195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</row>
    <row r="196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</row>
    <row r="197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</row>
    <row r="198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</row>
    <row r="199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</row>
    <row r="200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</row>
    <row r="201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</row>
    <row r="202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</row>
    <row r="203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</row>
    <row r="204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</row>
    <row r="205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</row>
    <row r="206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</row>
    <row r="207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</row>
    <row r="208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</row>
    <row r="209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</row>
    <row r="210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</row>
    <row r="211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</row>
    <row r="212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</row>
    <row r="213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</row>
    <row r="214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</row>
    <row r="215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</row>
    <row r="216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</row>
    <row r="217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</row>
    <row r="218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</row>
    <row r="219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</row>
    <row r="220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</row>
    <row r="221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</row>
    <row r="222">
      <c r="A222" s="80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</row>
    <row r="223">
      <c r="A223" s="80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</row>
    <row r="224">
      <c r="A224" s="80"/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</row>
    <row r="225">
      <c r="A225" s="80"/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</row>
    <row r="226">
      <c r="A226" s="80"/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</row>
    <row r="227">
      <c r="A227" s="80"/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</row>
    <row r="228">
      <c r="A228" s="80"/>
      <c r="B228" s="80"/>
      <c r="C228" s="80"/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</row>
    <row r="229">
      <c r="A229" s="80"/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</row>
    <row r="230">
      <c r="A230" s="80"/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</row>
    <row r="231">
      <c r="A231" s="80"/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</row>
    <row r="232">
      <c r="A232" s="80"/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</row>
    <row r="233">
      <c r="A233" s="80"/>
      <c r="B233" s="80"/>
      <c r="C233" s="80"/>
      <c r="D233" s="80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</row>
    <row r="234">
      <c r="A234" s="80"/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</row>
    <row r="235">
      <c r="A235" s="80"/>
      <c r="B235" s="80"/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</row>
    <row r="236">
      <c r="A236" s="80"/>
      <c r="B236" s="80"/>
      <c r="C236" s="80"/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</row>
    <row r="237">
      <c r="A237" s="80"/>
      <c r="B237" s="80"/>
      <c r="C237" s="80"/>
      <c r="D237" s="80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</row>
    <row r="238">
      <c r="A238" s="80"/>
      <c r="B238" s="80"/>
      <c r="C238" s="80"/>
      <c r="D238" s="80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</row>
    <row r="239">
      <c r="A239" s="80"/>
      <c r="B239" s="80"/>
      <c r="C239" s="80"/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</row>
    <row r="240">
      <c r="A240" s="80"/>
      <c r="B240" s="80"/>
      <c r="C240" s="80"/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</row>
    <row r="241">
      <c r="A241" s="80"/>
      <c r="B241" s="80"/>
      <c r="C241" s="80"/>
      <c r="D241" s="80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</row>
    <row r="242">
      <c r="A242" s="80"/>
      <c r="B242" s="80"/>
      <c r="C242" s="80"/>
      <c r="D242" s="80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</row>
    <row r="243">
      <c r="A243" s="80"/>
      <c r="B243" s="80"/>
      <c r="C243" s="80"/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</row>
    <row r="244">
      <c r="A244" s="80"/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</row>
    <row r="245">
      <c r="A245" s="80"/>
      <c r="B245" s="80"/>
      <c r="C245" s="80"/>
      <c r="D245" s="80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</row>
    <row r="246">
      <c r="A246" s="80"/>
      <c r="B246" s="80"/>
      <c r="C246" s="80"/>
      <c r="D246" s="80"/>
      <c r="E246" s="80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</row>
    <row r="247">
      <c r="A247" s="80"/>
      <c r="B247" s="80"/>
      <c r="C247" s="80"/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</row>
    <row r="248">
      <c r="A248" s="80"/>
      <c r="B248" s="80"/>
      <c r="C248" s="80"/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</row>
    <row r="249">
      <c r="A249" s="80"/>
      <c r="B249" s="80"/>
      <c r="C249" s="80"/>
      <c r="D249" s="80"/>
      <c r="E249" s="80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</row>
    <row r="250">
      <c r="A250" s="80"/>
      <c r="B250" s="80"/>
      <c r="C250" s="80"/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</row>
    <row r="251">
      <c r="A251" s="80"/>
      <c r="B251" s="80"/>
      <c r="C251" s="80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</row>
    <row r="252">
      <c r="A252" s="80"/>
      <c r="B252" s="80"/>
      <c r="C252" s="80"/>
      <c r="D252" s="80"/>
      <c r="E252" s="80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</row>
    <row r="253">
      <c r="A253" s="80"/>
      <c r="B253" s="80"/>
      <c r="C253" s="80"/>
      <c r="D253" s="80"/>
      <c r="E253" s="80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</row>
    <row r="254">
      <c r="A254" s="80"/>
      <c r="B254" s="80"/>
      <c r="C254" s="80"/>
      <c r="D254" s="80"/>
      <c r="E254" s="80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</row>
    <row r="255">
      <c r="A255" s="80"/>
      <c r="B255" s="80"/>
      <c r="C255" s="80"/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</row>
    <row r="256">
      <c r="A256" s="80"/>
      <c r="B256" s="80"/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</row>
    <row r="257">
      <c r="A257" s="80"/>
      <c r="B257" s="80"/>
      <c r="C257" s="80"/>
      <c r="D257" s="80"/>
      <c r="E257" s="80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</row>
    <row r="258">
      <c r="A258" s="80"/>
      <c r="B258" s="80"/>
      <c r="C258" s="80"/>
      <c r="D258" s="80"/>
      <c r="E258" s="80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</row>
    <row r="259">
      <c r="A259" s="80"/>
      <c r="B259" s="80"/>
      <c r="C259" s="80"/>
      <c r="D259" s="80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</row>
    <row r="260">
      <c r="A260" s="80"/>
      <c r="B260" s="80"/>
      <c r="C260" s="80"/>
      <c r="D260" s="80"/>
      <c r="E260" s="80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</row>
    <row r="261">
      <c r="A261" s="80"/>
      <c r="B261" s="80"/>
      <c r="C261" s="80"/>
      <c r="D261" s="80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</row>
    <row r="262">
      <c r="A262" s="80"/>
      <c r="B262" s="80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</row>
    <row r="263">
      <c r="A263" s="80"/>
      <c r="B263" s="80"/>
      <c r="C263" s="80"/>
      <c r="D263" s="80"/>
      <c r="E263" s="80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</row>
    <row r="264">
      <c r="A264" s="80"/>
      <c r="B264" s="80"/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</row>
    <row r="265">
      <c r="A265" s="80"/>
      <c r="B265" s="80"/>
      <c r="C265" s="80"/>
      <c r="D265" s="80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</row>
    <row r="266">
      <c r="A266" s="80"/>
      <c r="B266" s="80"/>
      <c r="C266" s="80"/>
      <c r="D266" s="80"/>
      <c r="E266" s="80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</row>
    <row r="267">
      <c r="A267" s="80"/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</row>
    <row r="268">
      <c r="A268" s="80"/>
      <c r="B268" s="80"/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</row>
    <row r="269">
      <c r="A269" s="80"/>
      <c r="B269" s="80"/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</row>
    <row r="270">
      <c r="A270" s="80"/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</row>
    <row r="271">
      <c r="A271" s="80"/>
      <c r="B271" s="80"/>
      <c r="C271" s="80"/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</row>
    <row r="272">
      <c r="A272" s="80"/>
      <c r="B272" s="80"/>
      <c r="C272" s="80"/>
      <c r="D272" s="80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</row>
    <row r="273">
      <c r="A273" s="80"/>
      <c r="B273" s="80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</row>
    <row r="274">
      <c r="A274" s="80"/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</row>
    <row r="275">
      <c r="A275" s="80"/>
      <c r="B275" s="80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</row>
    <row r="276">
      <c r="A276" s="80"/>
      <c r="B276" s="80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</row>
    <row r="277">
      <c r="A277" s="80"/>
      <c r="B277" s="80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</row>
    <row r="278">
      <c r="A278" s="80"/>
      <c r="B278" s="80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</row>
    <row r="279">
      <c r="A279" s="80"/>
      <c r="B279" s="80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</row>
    <row r="280">
      <c r="A280" s="80"/>
      <c r="B280" s="80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</row>
    <row r="281">
      <c r="A281" s="80"/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</row>
    <row r="282">
      <c r="A282" s="80"/>
      <c r="B282" s="80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</row>
    <row r="283">
      <c r="A283" s="80"/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</row>
    <row r="284">
      <c r="A284" s="80"/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</row>
    <row r="285">
      <c r="A285" s="80"/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</row>
    <row r="286">
      <c r="A286" s="80"/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</row>
    <row r="287">
      <c r="A287" s="80"/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</row>
    <row r="288">
      <c r="A288" s="80"/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</row>
    <row r="289">
      <c r="A289" s="80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</row>
    <row r="290">
      <c r="A290" s="80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</row>
    <row r="291">
      <c r="A291" s="80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</row>
    <row r="292">
      <c r="A292" s="80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</row>
    <row r="293">
      <c r="A293" s="80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</row>
    <row r="294">
      <c r="A294" s="80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</row>
    <row r="295">
      <c r="A295" s="80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</row>
    <row r="296">
      <c r="A296" s="80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</row>
    <row r="297">
      <c r="A297" s="80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</row>
    <row r="298">
      <c r="A298" s="80"/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</row>
    <row r="299">
      <c r="A299" s="80"/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</row>
    <row r="300">
      <c r="A300" s="80"/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</row>
    <row r="301">
      <c r="A301" s="80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</row>
    <row r="302">
      <c r="A302" s="80"/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</row>
    <row r="303">
      <c r="A303" s="80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</row>
    <row r="304">
      <c r="A304" s="80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</row>
    <row r="305">
      <c r="A305" s="80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</row>
    <row r="306">
      <c r="A306" s="80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</row>
    <row r="307">
      <c r="A307" s="80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</row>
    <row r="308">
      <c r="A308" s="80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</row>
    <row r="309">
      <c r="A309" s="80"/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</row>
    <row r="310">
      <c r="A310" s="80"/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</row>
    <row r="311">
      <c r="A311" s="80"/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</row>
    <row r="312">
      <c r="A312" s="80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</row>
    <row r="313">
      <c r="A313" s="80"/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</row>
    <row r="314">
      <c r="A314" s="80"/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</row>
    <row r="315">
      <c r="A315" s="80"/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</row>
    <row r="316">
      <c r="A316" s="80"/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</row>
    <row r="317">
      <c r="A317" s="80"/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</row>
    <row r="318">
      <c r="A318" s="80"/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</row>
    <row r="319">
      <c r="A319" s="80"/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</row>
    <row r="320">
      <c r="A320" s="80"/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</row>
    <row r="321">
      <c r="A321" s="80"/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</row>
    <row r="322">
      <c r="A322" s="80"/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</row>
    <row r="323">
      <c r="A323" s="80"/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</row>
    <row r="324">
      <c r="A324" s="80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</row>
    <row r="325">
      <c r="A325" s="80"/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</row>
    <row r="326">
      <c r="A326" s="80"/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</row>
    <row r="327">
      <c r="A327" s="80"/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</row>
    <row r="328">
      <c r="A328" s="80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</row>
    <row r="329">
      <c r="A329" s="80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</row>
    <row r="330">
      <c r="A330" s="80"/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</row>
    <row r="331">
      <c r="A331" s="80"/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</row>
    <row r="332">
      <c r="A332" s="80"/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</row>
    <row r="333">
      <c r="A333" s="80"/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</row>
    <row r="334">
      <c r="A334" s="80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</row>
    <row r="335">
      <c r="A335" s="80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</row>
    <row r="336">
      <c r="A336" s="80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</row>
    <row r="337">
      <c r="A337" s="80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</row>
    <row r="338">
      <c r="A338" s="80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</row>
    <row r="339">
      <c r="A339" s="80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</row>
    <row r="340">
      <c r="A340" s="80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</row>
    <row r="341">
      <c r="A341" s="80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</row>
    <row r="342">
      <c r="A342" s="80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</row>
    <row r="343">
      <c r="A343" s="80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</row>
    <row r="344">
      <c r="A344" s="80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</row>
    <row r="345">
      <c r="A345" s="80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</row>
    <row r="346">
      <c r="A346" s="80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</row>
    <row r="347">
      <c r="A347" s="80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</row>
    <row r="348">
      <c r="A348" s="80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</row>
    <row r="349">
      <c r="A349" s="80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</row>
    <row r="350">
      <c r="A350" s="80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</row>
    <row r="351">
      <c r="A351" s="80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</row>
    <row r="352">
      <c r="A352" s="80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</row>
    <row r="353">
      <c r="A353" s="80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</row>
    <row r="354">
      <c r="A354" s="80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</row>
    <row r="355">
      <c r="A355" s="80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</row>
    <row r="356">
      <c r="A356" s="80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</row>
    <row r="357">
      <c r="A357" s="80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</row>
    <row r="358">
      <c r="A358" s="80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</row>
    <row r="359">
      <c r="A359" s="80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</row>
    <row r="360">
      <c r="A360" s="80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</row>
    <row r="361">
      <c r="A361" s="80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</row>
    <row r="362">
      <c r="A362" s="80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</row>
    <row r="363">
      <c r="A363" s="80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</row>
    <row r="364">
      <c r="A364" s="80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</row>
    <row r="365">
      <c r="A365" s="80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</row>
    <row r="366">
      <c r="A366" s="80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</row>
    <row r="367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</row>
    <row r="368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</row>
    <row r="369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</row>
    <row r="370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</row>
    <row r="371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</row>
    <row r="372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</row>
    <row r="373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</row>
    <row r="374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</row>
    <row r="375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</row>
    <row r="376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</row>
    <row r="377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</row>
    <row r="378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</row>
    <row r="379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</row>
    <row r="380">
      <c r="A380" s="80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</row>
    <row r="381">
      <c r="A381" s="80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</row>
    <row r="382">
      <c r="A382" s="80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</row>
    <row r="383">
      <c r="A383" s="80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</row>
    <row r="384">
      <c r="A384" s="80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</row>
    <row r="385">
      <c r="A385" s="80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</row>
    <row r="386">
      <c r="A386" s="80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</row>
    <row r="387">
      <c r="A387" s="80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</row>
    <row r="388">
      <c r="A388" s="80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</row>
    <row r="389">
      <c r="A389" s="80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</row>
    <row r="390">
      <c r="A390" s="80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</row>
    <row r="391">
      <c r="A391" s="80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</row>
    <row r="392">
      <c r="A392" s="80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</row>
    <row r="393">
      <c r="A393" s="80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</row>
    <row r="394">
      <c r="A394" s="80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</row>
    <row r="395">
      <c r="A395" s="80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</row>
    <row r="396">
      <c r="A396" s="80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</row>
    <row r="397">
      <c r="A397" s="80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</row>
    <row r="398">
      <c r="A398" s="80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</row>
    <row r="399">
      <c r="A399" s="80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</row>
    <row r="400">
      <c r="A400" s="80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</row>
    <row r="401">
      <c r="A401" s="80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</row>
    <row r="402">
      <c r="A402" s="80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</row>
    <row r="403">
      <c r="A403" s="80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</row>
    <row r="404">
      <c r="A404" s="80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</row>
    <row r="405">
      <c r="A405" s="80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</row>
    <row r="406">
      <c r="A406" s="80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</row>
    <row r="407">
      <c r="A407" s="80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</row>
    <row r="408">
      <c r="A408" s="80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</row>
    <row r="409">
      <c r="A409" s="80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</row>
    <row r="410">
      <c r="A410" s="80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</row>
    <row r="411">
      <c r="A411" s="80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</row>
    <row r="412">
      <c r="A412" s="80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</row>
    <row r="413">
      <c r="A413" s="80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</row>
    <row r="414">
      <c r="A414" s="80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</row>
    <row r="415">
      <c r="A415" s="80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</row>
    <row r="416">
      <c r="A416" s="80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</row>
    <row r="417">
      <c r="A417" s="80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</row>
    <row r="418">
      <c r="A418" s="80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</row>
    <row r="419">
      <c r="A419" s="80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</row>
    <row r="420">
      <c r="A420" s="80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</row>
    <row r="421">
      <c r="A421" s="80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</row>
    <row r="422">
      <c r="A422" s="80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</row>
    <row r="423">
      <c r="A423" s="80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</row>
    <row r="424">
      <c r="A424" s="80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</row>
    <row r="425">
      <c r="A425" s="80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</row>
    <row r="426">
      <c r="A426" s="80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</row>
    <row r="427">
      <c r="A427" s="80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</row>
    <row r="428">
      <c r="A428" s="80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</row>
    <row r="429">
      <c r="A429" s="80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</row>
    <row r="430">
      <c r="A430" s="80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</row>
    <row r="431">
      <c r="A431" s="80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</row>
    <row r="432">
      <c r="A432" s="80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</row>
    <row r="433">
      <c r="A433" s="80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</row>
    <row r="434">
      <c r="A434" s="80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</row>
    <row r="435">
      <c r="A435" s="80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</row>
    <row r="436">
      <c r="A436" s="80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</row>
    <row r="437">
      <c r="A437" s="80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</row>
    <row r="438">
      <c r="A438" s="80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</row>
    <row r="439">
      <c r="A439" s="80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</row>
    <row r="440">
      <c r="A440" s="80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</row>
    <row r="441">
      <c r="A441" s="80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</row>
    <row r="442">
      <c r="A442" s="80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</row>
    <row r="443">
      <c r="A443" s="80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</row>
    <row r="444">
      <c r="A444" s="80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</row>
    <row r="445">
      <c r="A445" s="80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</row>
    <row r="446">
      <c r="A446" s="80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</row>
    <row r="447">
      <c r="A447" s="80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</row>
    <row r="448">
      <c r="A448" s="80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</row>
    <row r="449">
      <c r="A449" s="80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</row>
    <row r="450">
      <c r="A450" s="80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</row>
    <row r="451">
      <c r="A451" s="80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</row>
    <row r="452">
      <c r="A452" s="80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</row>
    <row r="453">
      <c r="A453" s="80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</row>
    <row r="454">
      <c r="A454" s="80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</row>
    <row r="455">
      <c r="A455" s="80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</row>
    <row r="456">
      <c r="A456" s="80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</row>
    <row r="457">
      <c r="A457" s="80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</row>
    <row r="458">
      <c r="A458" s="80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</row>
    <row r="459">
      <c r="A459" s="80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</row>
    <row r="460">
      <c r="A460" s="80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</row>
    <row r="461">
      <c r="A461" s="80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</row>
    <row r="462">
      <c r="A462" s="80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</row>
    <row r="463">
      <c r="A463" s="80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</row>
    <row r="464">
      <c r="A464" s="80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</row>
    <row r="465">
      <c r="A465" s="80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</row>
    <row r="466">
      <c r="A466" s="80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</row>
    <row r="467">
      <c r="A467" s="80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</row>
    <row r="468">
      <c r="A468" s="80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</row>
    <row r="469">
      <c r="A469" s="80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</row>
    <row r="470">
      <c r="A470" s="80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</row>
    <row r="471">
      <c r="A471" s="80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</row>
    <row r="472">
      <c r="A472" s="80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</row>
    <row r="473">
      <c r="A473" s="80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</row>
    <row r="474">
      <c r="A474" s="80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</row>
    <row r="475">
      <c r="A475" s="80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</row>
    <row r="476">
      <c r="A476" s="80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</row>
    <row r="477">
      <c r="A477" s="80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</row>
    <row r="478">
      <c r="A478" s="80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</row>
    <row r="479">
      <c r="A479" s="80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</row>
    <row r="480">
      <c r="A480" s="80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</row>
    <row r="481">
      <c r="A481" s="80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</row>
    <row r="482">
      <c r="A482" s="80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</row>
    <row r="483">
      <c r="A483" s="80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</row>
    <row r="484">
      <c r="A484" s="80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</row>
    <row r="485">
      <c r="A485" s="80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</row>
    <row r="486">
      <c r="A486" s="80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</row>
    <row r="487">
      <c r="A487" s="80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</row>
    <row r="488">
      <c r="A488" s="80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</row>
    <row r="489">
      <c r="A489" s="80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</row>
    <row r="490">
      <c r="A490" s="80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</row>
    <row r="491">
      <c r="A491" s="80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</row>
    <row r="492">
      <c r="A492" s="80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</row>
    <row r="493">
      <c r="A493" s="80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</row>
    <row r="494">
      <c r="A494" s="80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</row>
    <row r="495">
      <c r="A495" s="80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</row>
    <row r="496">
      <c r="A496" s="80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</row>
    <row r="497">
      <c r="A497" s="80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</row>
    <row r="498">
      <c r="A498" s="80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</row>
    <row r="499">
      <c r="A499" s="80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</row>
    <row r="500">
      <c r="A500" s="80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</row>
    <row r="501">
      <c r="A501" s="80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</row>
    <row r="502">
      <c r="A502" s="80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</row>
    <row r="503">
      <c r="A503" s="80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</row>
    <row r="504">
      <c r="A504" s="80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</row>
    <row r="505">
      <c r="A505" s="80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</row>
    <row r="506">
      <c r="A506" s="80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</row>
    <row r="507">
      <c r="A507" s="80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</row>
    <row r="508">
      <c r="A508" s="80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</row>
    <row r="509">
      <c r="A509" s="80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</row>
    <row r="510">
      <c r="A510" s="80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</row>
    <row r="511">
      <c r="A511" s="80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</row>
    <row r="512">
      <c r="A512" s="80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</row>
    <row r="513">
      <c r="A513" s="80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</row>
    <row r="514">
      <c r="A514" s="80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</row>
    <row r="515">
      <c r="A515" s="80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</row>
    <row r="516">
      <c r="A516" s="80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</row>
    <row r="517">
      <c r="A517" s="80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</row>
    <row r="518">
      <c r="A518" s="80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</row>
    <row r="519">
      <c r="A519" s="80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</row>
    <row r="520">
      <c r="A520" s="80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</row>
    <row r="521">
      <c r="A521" s="80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</row>
    <row r="522">
      <c r="A522" s="80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</row>
    <row r="523">
      <c r="A523" s="80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</row>
    <row r="524">
      <c r="A524" s="80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</row>
    <row r="525">
      <c r="A525" s="80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</row>
    <row r="526">
      <c r="A526" s="80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</row>
    <row r="527">
      <c r="A527" s="80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</row>
    <row r="528">
      <c r="A528" s="80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</row>
    <row r="529">
      <c r="A529" s="80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</row>
    <row r="530">
      <c r="A530" s="80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</row>
    <row r="531">
      <c r="A531" s="80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</row>
    <row r="532">
      <c r="A532" s="80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</row>
    <row r="533">
      <c r="A533" s="80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</row>
    <row r="534">
      <c r="A534" s="80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</row>
    <row r="535">
      <c r="A535" s="80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</row>
    <row r="536">
      <c r="A536" s="80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</row>
    <row r="537">
      <c r="A537" s="80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</row>
    <row r="538">
      <c r="A538" s="80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</row>
    <row r="539">
      <c r="A539" s="80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</row>
    <row r="540">
      <c r="A540" s="80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</row>
    <row r="541">
      <c r="A541" s="80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</row>
    <row r="542">
      <c r="A542" s="80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</row>
    <row r="543">
      <c r="A543" s="80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</row>
    <row r="544">
      <c r="A544" s="80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</row>
    <row r="545">
      <c r="A545" s="80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</row>
    <row r="546">
      <c r="A546" s="80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</row>
    <row r="547">
      <c r="A547" s="80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</row>
    <row r="548">
      <c r="A548" s="80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</row>
    <row r="549">
      <c r="A549" s="80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</row>
    <row r="550">
      <c r="A550" s="80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</row>
    <row r="551">
      <c r="A551" s="80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</row>
    <row r="552">
      <c r="A552" s="80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</row>
    <row r="553">
      <c r="A553" s="80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</row>
    <row r="554">
      <c r="A554" s="80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</row>
    <row r="555">
      <c r="A555" s="80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</row>
    <row r="556">
      <c r="A556" s="80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</row>
    <row r="557">
      <c r="A557" s="80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</row>
    <row r="558">
      <c r="A558" s="80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</row>
    <row r="559">
      <c r="A559" s="80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</row>
    <row r="560">
      <c r="A560" s="80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</row>
    <row r="561">
      <c r="A561" s="80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</row>
    <row r="562">
      <c r="A562" s="80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</row>
    <row r="563">
      <c r="A563" s="80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</row>
    <row r="564">
      <c r="A564" s="80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</row>
    <row r="565">
      <c r="A565" s="80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</row>
    <row r="566">
      <c r="A566" s="80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</row>
    <row r="567">
      <c r="A567" s="80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</row>
    <row r="568">
      <c r="A568" s="80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</row>
    <row r="569">
      <c r="A569" s="80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</row>
    <row r="570">
      <c r="A570" s="80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</row>
    <row r="571">
      <c r="A571" s="80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</row>
    <row r="572">
      <c r="A572" s="80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</row>
    <row r="573">
      <c r="A573" s="80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</row>
    <row r="574">
      <c r="A574" s="80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</row>
    <row r="575">
      <c r="A575" s="80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</row>
    <row r="576">
      <c r="A576" s="80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</row>
    <row r="577">
      <c r="A577" s="80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</row>
    <row r="578">
      <c r="A578" s="80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</row>
    <row r="579">
      <c r="A579" s="80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</row>
    <row r="580">
      <c r="A580" s="80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</row>
    <row r="581">
      <c r="A581" s="80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</row>
    <row r="582">
      <c r="A582" s="80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</row>
    <row r="583">
      <c r="A583" s="80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</row>
    <row r="584">
      <c r="A584" s="80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</row>
    <row r="585">
      <c r="A585" s="80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</row>
    <row r="586">
      <c r="A586" s="80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</row>
    <row r="587">
      <c r="A587" s="80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</row>
    <row r="588">
      <c r="A588" s="80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</row>
    <row r="589">
      <c r="A589" s="80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</row>
    <row r="590">
      <c r="A590" s="80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</row>
    <row r="591">
      <c r="A591" s="80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</row>
    <row r="592">
      <c r="A592" s="80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</row>
    <row r="593">
      <c r="A593" s="80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</row>
    <row r="594">
      <c r="A594" s="80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</row>
    <row r="595">
      <c r="A595" s="80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</row>
    <row r="596">
      <c r="A596" s="80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</row>
    <row r="597">
      <c r="A597" s="80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</row>
    <row r="598">
      <c r="A598" s="80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</row>
    <row r="599">
      <c r="A599" s="80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</row>
    <row r="600">
      <c r="A600" s="80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</row>
    <row r="601">
      <c r="A601" s="80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</row>
    <row r="602">
      <c r="A602" s="80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</row>
    <row r="603">
      <c r="A603" s="80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</row>
    <row r="604">
      <c r="A604" s="80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</row>
    <row r="605">
      <c r="A605" s="80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</row>
    <row r="606">
      <c r="A606" s="80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</row>
    <row r="607">
      <c r="A607" s="80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</row>
    <row r="608">
      <c r="A608" s="80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</row>
    <row r="609">
      <c r="A609" s="80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</row>
    <row r="610">
      <c r="A610" s="80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</row>
    <row r="611">
      <c r="A611" s="80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</row>
    <row r="612">
      <c r="A612" s="80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</row>
    <row r="613">
      <c r="A613" s="80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</row>
    <row r="614">
      <c r="A614" s="80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</row>
    <row r="615">
      <c r="A615" s="80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</row>
    <row r="616">
      <c r="A616" s="80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</row>
    <row r="617">
      <c r="A617" s="80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</row>
    <row r="618">
      <c r="A618" s="80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</row>
    <row r="619">
      <c r="A619" s="80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</row>
    <row r="620">
      <c r="A620" s="80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</row>
    <row r="621">
      <c r="A621" s="80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</row>
    <row r="622">
      <c r="A622" s="80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</row>
    <row r="623">
      <c r="A623" s="80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</row>
    <row r="624">
      <c r="A624" s="80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</row>
    <row r="625">
      <c r="A625" s="80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</row>
    <row r="626">
      <c r="A626" s="80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</row>
    <row r="627">
      <c r="A627" s="80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</row>
    <row r="628">
      <c r="A628" s="80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</row>
    <row r="629">
      <c r="A629" s="80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</row>
    <row r="630">
      <c r="A630" s="80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</row>
    <row r="631">
      <c r="A631" s="80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</row>
    <row r="632">
      <c r="A632" s="80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</row>
    <row r="633">
      <c r="A633" s="80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</row>
    <row r="634">
      <c r="A634" s="80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</row>
    <row r="635">
      <c r="A635" s="80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</row>
    <row r="636">
      <c r="A636" s="80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</row>
    <row r="637">
      <c r="A637" s="80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</row>
    <row r="638">
      <c r="A638" s="80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</row>
    <row r="639">
      <c r="A639" s="80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</row>
    <row r="640">
      <c r="A640" s="80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</row>
    <row r="641">
      <c r="A641" s="80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</row>
    <row r="642">
      <c r="A642" s="80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</row>
    <row r="643">
      <c r="A643" s="80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</row>
    <row r="644">
      <c r="A644" s="80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</row>
    <row r="645">
      <c r="A645" s="80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</row>
    <row r="646">
      <c r="A646" s="80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</row>
    <row r="647">
      <c r="A647" s="80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</row>
    <row r="648">
      <c r="A648" s="80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</row>
    <row r="649">
      <c r="A649" s="80"/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</row>
    <row r="650">
      <c r="A650" s="80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</row>
    <row r="651">
      <c r="A651" s="80"/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</row>
    <row r="652">
      <c r="A652" s="80"/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</row>
    <row r="653">
      <c r="A653" s="80"/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</row>
    <row r="654">
      <c r="A654" s="80"/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</row>
    <row r="655">
      <c r="A655" s="80"/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</row>
    <row r="656">
      <c r="A656" s="80"/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</row>
    <row r="657">
      <c r="A657" s="80"/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</row>
    <row r="658">
      <c r="A658" s="80"/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</row>
    <row r="659">
      <c r="A659" s="80"/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</row>
    <row r="660">
      <c r="A660" s="80"/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</row>
    <row r="661">
      <c r="A661" s="80"/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</row>
    <row r="662">
      <c r="A662" s="80"/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</row>
    <row r="663">
      <c r="A663" s="80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</row>
    <row r="664">
      <c r="A664" s="80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</row>
    <row r="665">
      <c r="A665" s="80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</row>
    <row r="666">
      <c r="A666" s="80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</row>
    <row r="667">
      <c r="A667" s="80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</row>
    <row r="668">
      <c r="A668" s="80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</row>
    <row r="669">
      <c r="A669" s="80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</row>
    <row r="670">
      <c r="A670" s="80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</row>
    <row r="671">
      <c r="A671" s="80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</row>
    <row r="672">
      <c r="A672" s="80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</row>
    <row r="673">
      <c r="A673" s="80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</row>
    <row r="674">
      <c r="A674" s="80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</row>
    <row r="675">
      <c r="A675" s="80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</row>
    <row r="676">
      <c r="A676" s="80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</row>
    <row r="677">
      <c r="A677" s="80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</row>
    <row r="678">
      <c r="A678" s="80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</row>
    <row r="679">
      <c r="A679" s="80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</row>
    <row r="680">
      <c r="A680" s="80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</row>
    <row r="681">
      <c r="A681" s="80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</row>
    <row r="682">
      <c r="A682" s="80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</row>
    <row r="683">
      <c r="A683" s="80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</row>
    <row r="684">
      <c r="A684" s="80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</row>
    <row r="685">
      <c r="A685" s="80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</row>
    <row r="686">
      <c r="A686" s="80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</row>
    <row r="687">
      <c r="A687" s="80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</row>
    <row r="688">
      <c r="A688" s="80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</row>
    <row r="689">
      <c r="A689" s="80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</row>
    <row r="690">
      <c r="A690" s="80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</row>
    <row r="691">
      <c r="A691" s="80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</row>
    <row r="692">
      <c r="A692" s="80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</row>
    <row r="693">
      <c r="A693" s="80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</row>
    <row r="694">
      <c r="A694" s="80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</row>
    <row r="695">
      <c r="A695" s="80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</row>
    <row r="696">
      <c r="A696" s="80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</row>
    <row r="697">
      <c r="A697" s="80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</row>
    <row r="698">
      <c r="A698" s="80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</row>
    <row r="699">
      <c r="A699" s="80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</row>
    <row r="700">
      <c r="A700" s="80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</row>
    <row r="701">
      <c r="A701" s="80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</row>
    <row r="702">
      <c r="A702" s="80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</row>
    <row r="703">
      <c r="A703" s="80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</row>
    <row r="704">
      <c r="A704" s="80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</row>
    <row r="705">
      <c r="A705" s="80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</row>
    <row r="706">
      <c r="A706" s="80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</row>
    <row r="707">
      <c r="A707" s="80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</row>
    <row r="708">
      <c r="A708" s="80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</row>
    <row r="709">
      <c r="A709" s="80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</row>
    <row r="710">
      <c r="A710" s="80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</row>
    <row r="711">
      <c r="A711" s="80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</row>
    <row r="712">
      <c r="A712" s="80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</row>
    <row r="713">
      <c r="A713" s="80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</row>
    <row r="714">
      <c r="A714" s="80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</row>
    <row r="715">
      <c r="A715" s="80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</row>
    <row r="716">
      <c r="A716" s="80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</row>
    <row r="717">
      <c r="A717" s="80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</row>
    <row r="718">
      <c r="A718" s="80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</row>
    <row r="719">
      <c r="A719" s="80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</row>
    <row r="720">
      <c r="A720" s="80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</row>
    <row r="721">
      <c r="A721" s="80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</row>
    <row r="722">
      <c r="A722" s="80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</row>
    <row r="723">
      <c r="A723" s="80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</row>
    <row r="724">
      <c r="A724" s="80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</row>
    <row r="725">
      <c r="A725" s="80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</row>
    <row r="726">
      <c r="A726" s="80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</row>
    <row r="727">
      <c r="A727" s="80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</row>
    <row r="728">
      <c r="A728" s="80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</row>
    <row r="729">
      <c r="A729" s="80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</row>
    <row r="730">
      <c r="A730" s="80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</row>
    <row r="731">
      <c r="A731" s="80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</row>
    <row r="732">
      <c r="A732" s="80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</row>
    <row r="733">
      <c r="A733" s="80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</row>
    <row r="734">
      <c r="A734" s="80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</row>
    <row r="735">
      <c r="A735" s="80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</row>
    <row r="736">
      <c r="A736" s="80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</row>
    <row r="737">
      <c r="A737" s="80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</row>
    <row r="738">
      <c r="A738" s="80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</row>
    <row r="739">
      <c r="A739" s="80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</row>
    <row r="740">
      <c r="A740" s="80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</row>
    <row r="741">
      <c r="A741" s="80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</row>
    <row r="742">
      <c r="A742" s="80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</row>
    <row r="743">
      <c r="A743" s="80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</row>
    <row r="744">
      <c r="A744" s="80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</row>
    <row r="745">
      <c r="A745" s="80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</row>
    <row r="746">
      <c r="A746" s="80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</row>
    <row r="747">
      <c r="A747" s="80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</row>
    <row r="748">
      <c r="A748" s="80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</row>
    <row r="749">
      <c r="A749" s="80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</row>
    <row r="750">
      <c r="A750" s="80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</row>
    <row r="751">
      <c r="A751" s="80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</row>
    <row r="752">
      <c r="A752" s="80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</row>
    <row r="753">
      <c r="A753" s="80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</row>
    <row r="754">
      <c r="A754" s="80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</row>
    <row r="755">
      <c r="A755" s="80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</row>
    <row r="756">
      <c r="A756" s="80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</row>
    <row r="757">
      <c r="A757" s="80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</row>
    <row r="758">
      <c r="A758" s="80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</row>
    <row r="759">
      <c r="A759" s="80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</row>
    <row r="760">
      <c r="A760" s="80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</row>
    <row r="761">
      <c r="A761" s="80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</row>
    <row r="762">
      <c r="A762" s="80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</row>
    <row r="763">
      <c r="A763" s="80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</row>
    <row r="764">
      <c r="A764" s="80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</row>
    <row r="765">
      <c r="A765" s="80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</row>
    <row r="766">
      <c r="A766" s="80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</row>
    <row r="767">
      <c r="A767" s="80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</row>
    <row r="768">
      <c r="A768" s="80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</row>
    <row r="769">
      <c r="A769" s="80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</row>
    <row r="770">
      <c r="A770" s="80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</row>
    <row r="771">
      <c r="A771" s="80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</row>
    <row r="772">
      <c r="A772" s="80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</row>
    <row r="773">
      <c r="A773" s="80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</row>
    <row r="774">
      <c r="A774" s="80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</row>
    <row r="775">
      <c r="A775" s="80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</row>
    <row r="776">
      <c r="A776" s="80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</row>
    <row r="777">
      <c r="A777" s="80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</row>
    <row r="778">
      <c r="A778" s="80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</row>
    <row r="779">
      <c r="A779" s="80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</row>
    <row r="780">
      <c r="A780" s="80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</row>
    <row r="781">
      <c r="A781" s="80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</row>
    <row r="782">
      <c r="A782" s="80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</row>
    <row r="783">
      <c r="A783" s="80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</row>
    <row r="784">
      <c r="A784" s="80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</row>
    <row r="785">
      <c r="A785" s="80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</row>
    <row r="786">
      <c r="A786" s="80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</row>
    <row r="787">
      <c r="A787" s="80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</row>
    <row r="788">
      <c r="A788" s="80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</row>
    <row r="789">
      <c r="A789" s="80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</row>
    <row r="790">
      <c r="A790" s="80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</row>
    <row r="791">
      <c r="A791" s="80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</row>
    <row r="792">
      <c r="A792" s="80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</row>
    <row r="793">
      <c r="A793" s="80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</row>
    <row r="794">
      <c r="A794" s="80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</row>
    <row r="795">
      <c r="A795" s="80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</row>
    <row r="796">
      <c r="A796" s="80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</row>
    <row r="797">
      <c r="A797" s="80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</row>
    <row r="798">
      <c r="A798" s="80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</row>
    <row r="799">
      <c r="A799" s="80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</row>
    <row r="800">
      <c r="A800" s="80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</row>
    <row r="801">
      <c r="A801" s="80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</row>
    <row r="802">
      <c r="A802" s="80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</row>
    <row r="803">
      <c r="A803" s="80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</row>
    <row r="804">
      <c r="A804" s="80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</row>
    <row r="805">
      <c r="A805" s="80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</row>
    <row r="806">
      <c r="A806" s="80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</row>
    <row r="807">
      <c r="A807" s="80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</row>
    <row r="808">
      <c r="A808" s="80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</row>
    <row r="809">
      <c r="A809" s="80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</row>
    <row r="810">
      <c r="A810" s="80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</row>
    <row r="811">
      <c r="A811" s="80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</row>
    <row r="812">
      <c r="A812" s="80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</row>
    <row r="813">
      <c r="A813" s="80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</row>
    <row r="814">
      <c r="A814" s="80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</row>
    <row r="815">
      <c r="A815" s="80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</row>
    <row r="816">
      <c r="A816" s="80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</row>
    <row r="817">
      <c r="A817" s="80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</row>
    <row r="818">
      <c r="A818" s="80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</row>
    <row r="819">
      <c r="A819" s="80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</row>
    <row r="820">
      <c r="A820" s="80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</row>
    <row r="821">
      <c r="A821" s="80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</row>
    <row r="822">
      <c r="A822" s="80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</row>
    <row r="823">
      <c r="A823" s="80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</row>
    <row r="824">
      <c r="A824" s="80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</row>
    <row r="825">
      <c r="A825" s="80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</row>
    <row r="826">
      <c r="A826" s="80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</row>
    <row r="827">
      <c r="A827" s="80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</row>
    <row r="828">
      <c r="A828" s="80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</row>
    <row r="829">
      <c r="A829" s="80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</row>
    <row r="830">
      <c r="A830" s="80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</row>
    <row r="831">
      <c r="A831" s="80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</row>
    <row r="832">
      <c r="A832" s="80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</row>
    <row r="833">
      <c r="A833" s="80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</row>
    <row r="834">
      <c r="A834" s="80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</row>
    <row r="835">
      <c r="A835" s="80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</row>
    <row r="836">
      <c r="A836" s="80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</row>
    <row r="837">
      <c r="A837" s="80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</row>
    <row r="838">
      <c r="A838" s="80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</row>
    <row r="839">
      <c r="A839" s="80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</row>
    <row r="840">
      <c r="A840" s="80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</row>
    <row r="841">
      <c r="A841" s="80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</row>
    <row r="842">
      <c r="A842" s="80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</row>
    <row r="843">
      <c r="A843" s="80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</row>
    <row r="844">
      <c r="A844" s="80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</row>
    <row r="845">
      <c r="A845" s="80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</row>
    <row r="846">
      <c r="A846" s="80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</row>
    <row r="847">
      <c r="A847" s="80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</row>
    <row r="848">
      <c r="A848" s="80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</row>
    <row r="849">
      <c r="A849" s="80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</row>
    <row r="850">
      <c r="A850" s="80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</row>
    <row r="851">
      <c r="A851" s="80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</row>
    <row r="852">
      <c r="A852" s="80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</row>
    <row r="853">
      <c r="A853" s="80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</row>
    <row r="854">
      <c r="A854" s="80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</row>
    <row r="855">
      <c r="A855" s="80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</row>
    <row r="856">
      <c r="A856" s="80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</row>
    <row r="857">
      <c r="A857" s="80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</row>
    <row r="858">
      <c r="A858" s="80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</row>
    <row r="859">
      <c r="A859" s="80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</row>
    <row r="860">
      <c r="A860" s="80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</row>
    <row r="861">
      <c r="A861" s="80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</row>
    <row r="862">
      <c r="A862" s="80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</row>
    <row r="863">
      <c r="A863" s="80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</row>
    <row r="864">
      <c r="A864" s="80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</row>
    <row r="865">
      <c r="A865" s="80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</row>
    <row r="866">
      <c r="A866" s="80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</row>
    <row r="867">
      <c r="A867" s="80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</row>
    <row r="868">
      <c r="A868" s="80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</row>
    <row r="869">
      <c r="A869" s="80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</row>
    <row r="870">
      <c r="A870" s="80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</row>
    <row r="871">
      <c r="A871" s="80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</row>
    <row r="872">
      <c r="A872" s="80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</row>
    <row r="873">
      <c r="A873" s="80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</row>
    <row r="874">
      <c r="A874" s="80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</row>
    <row r="875">
      <c r="A875" s="80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</row>
    <row r="876">
      <c r="A876" s="80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</row>
    <row r="877">
      <c r="A877" s="80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</row>
    <row r="878">
      <c r="A878" s="80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</row>
    <row r="879">
      <c r="A879" s="80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</row>
    <row r="880">
      <c r="A880" s="80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</row>
    <row r="881">
      <c r="A881" s="80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</row>
    <row r="882">
      <c r="A882" s="80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</row>
    <row r="883">
      <c r="A883" s="80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</row>
    <row r="884">
      <c r="A884" s="80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</row>
    <row r="885">
      <c r="A885" s="80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</row>
    <row r="886">
      <c r="A886" s="80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</row>
    <row r="887">
      <c r="A887" s="80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</row>
    <row r="888">
      <c r="A888" s="80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</row>
    <row r="889">
      <c r="A889" s="80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</row>
    <row r="890">
      <c r="A890" s="80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</row>
    <row r="891">
      <c r="A891" s="80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</row>
    <row r="892">
      <c r="A892" s="80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</row>
    <row r="893">
      <c r="A893" s="80"/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</row>
    <row r="894">
      <c r="A894" s="80"/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</row>
    <row r="895">
      <c r="A895" s="80"/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</row>
    <row r="896">
      <c r="A896" s="80"/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</row>
    <row r="897">
      <c r="A897" s="80"/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</row>
    <row r="898">
      <c r="A898" s="80"/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</row>
    <row r="899">
      <c r="A899" s="80"/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</row>
    <row r="900">
      <c r="A900" s="80"/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</row>
    <row r="901">
      <c r="A901" s="80"/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</row>
    <row r="902">
      <c r="A902" s="80"/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</row>
    <row r="903">
      <c r="A903" s="80"/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</row>
    <row r="904">
      <c r="A904" s="80"/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</row>
    <row r="905">
      <c r="A905" s="80"/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</row>
    <row r="906">
      <c r="A906" s="80"/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</row>
    <row r="907">
      <c r="A907" s="80"/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</row>
    <row r="908">
      <c r="A908" s="80"/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</row>
    <row r="909">
      <c r="A909" s="80"/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</row>
    <row r="910">
      <c r="A910" s="80"/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</row>
    <row r="911">
      <c r="A911" s="80"/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</row>
    <row r="912">
      <c r="A912" s="80"/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</row>
    <row r="913">
      <c r="A913" s="80"/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</row>
    <row r="914">
      <c r="A914" s="80"/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</row>
    <row r="915">
      <c r="A915" s="80"/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</row>
    <row r="916">
      <c r="A916" s="80"/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</row>
    <row r="917">
      <c r="A917" s="80"/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</row>
    <row r="918">
      <c r="A918" s="80"/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</row>
    <row r="919">
      <c r="A919" s="80"/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</row>
    <row r="920">
      <c r="A920" s="80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</row>
    <row r="921">
      <c r="A921" s="80"/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</row>
    <row r="922">
      <c r="A922" s="80"/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</row>
    <row r="923">
      <c r="A923" s="80"/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</row>
    <row r="924">
      <c r="A924" s="80"/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</row>
    <row r="925">
      <c r="A925" s="80"/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</row>
    <row r="926">
      <c r="A926" s="80"/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</row>
    <row r="927">
      <c r="A927" s="80"/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</row>
    <row r="928">
      <c r="A928" s="80"/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</row>
    <row r="929">
      <c r="A929" s="80"/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</row>
    <row r="930">
      <c r="A930" s="80"/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</row>
    <row r="931">
      <c r="A931" s="80"/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</row>
    <row r="932">
      <c r="A932" s="80"/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</row>
    <row r="933">
      <c r="A933" s="80"/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</row>
    <row r="934">
      <c r="A934" s="80"/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</row>
    <row r="935">
      <c r="A935" s="80"/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</row>
    <row r="936">
      <c r="A936" s="80"/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</row>
    <row r="937">
      <c r="A937" s="80"/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</row>
    <row r="938">
      <c r="A938" s="80"/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</row>
    <row r="939">
      <c r="A939" s="80"/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</row>
    <row r="940">
      <c r="A940" s="80"/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</row>
    <row r="941">
      <c r="A941" s="80"/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</row>
    <row r="942">
      <c r="A942" s="80"/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</row>
    <row r="943">
      <c r="A943" s="80"/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</row>
    <row r="944">
      <c r="A944" s="80"/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</row>
    <row r="945">
      <c r="A945" s="80"/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</row>
    <row r="946">
      <c r="A946" s="80"/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</row>
    <row r="947">
      <c r="A947" s="80"/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</row>
    <row r="948">
      <c r="A948" s="80"/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</row>
    <row r="949">
      <c r="A949" s="80"/>
      <c r="B949" s="80"/>
      <c r="C949" s="80"/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</row>
    <row r="950">
      <c r="A950" s="80"/>
      <c r="B950" s="80"/>
      <c r="C950" s="80"/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</row>
    <row r="951">
      <c r="A951" s="80"/>
      <c r="B951" s="80"/>
      <c r="C951" s="80"/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</row>
    <row r="952">
      <c r="A952" s="80"/>
      <c r="B952" s="80"/>
      <c r="C952" s="80"/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</row>
    <row r="953">
      <c r="A953" s="80"/>
      <c r="B953" s="80"/>
      <c r="C953" s="80"/>
      <c r="D953" s="80"/>
      <c r="E953" s="80"/>
      <c r="F953" s="80"/>
      <c r="G953" s="80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</row>
    <row r="954">
      <c r="A954" s="80"/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</row>
    <row r="955">
      <c r="A955" s="80"/>
      <c r="B955" s="80"/>
      <c r="C955" s="80"/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</row>
    <row r="956">
      <c r="A956" s="80"/>
      <c r="B956" s="80"/>
      <c r="C956" s="80"/>
      <c r="D956" s="80"/>
      <c r="E956" s="80"/>
      <c r="F956" s="80"/>
      <c r="G956" s="80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</row>
    <row r="957">
      <c r="A957" s="80"/>
      <c r="B957" s="80"/>
      <c r="C957" s="80"/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</row>
    <row r="958">
      <c r="A958" s="80"/>
      <c r="B958" s="80"/>
      <c r="C958" s="80"/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</row>
    <row r="959">
      <c r="A959" s="80"/>
      <c r="B959" s="80"/>
      <c r="C959" s="80"/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</row>
    <row r="960">
      <c r="A960" s="80"/>
      <c r="B960" s="80"/>
      <c r="C960" s="80"/>
      <c r="D960" s="80"/>
      <c r="E960" s="80"/>
      <c r="F960" s="80"/>
      <c r="G960" s="80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</row>
    <row r="961">
      <c r="A961" s="80"/>
      <c r="B961" s="80"/>
      <c r="C961" s="80"/>
      <c r="D961" s="80"/>
      <c r="E961" s="80"/>
      <c r="F961" s="80"/>
      <c r="G961" s="80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</row>
    <row r="962">
      <c r="A962" s="80"/>
      <c r="B962" s="80"/>
      <c r="C962" s="80"/>
      <c r="D962" s="80"/>
      <c r="E962" s="80"/>
      <c r="F962" s="80"/>
      <c r="G962" s="80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</row>
    <row r="963">
      <c r="A963" s="80"/>
      <c r="B963" s="80"/>
      <c r="C963" s="80"/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</row>
    <row r="964">
      <c r="A964" s="80"/>
      <c r="B964" s="80"/>
      <c r="C964" s="80"/>
      <c r="D964" s="80"/>
      <c r="E964" s="80"/>
      <c r="F964" s="80"/>
      <c r="G964" s="80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</row>
    <row r="965">
      <c r="A965" s="80"/>
      <c r="B965" s="80"/>
      <c r="C965" s="80"/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</row>
    <row r="966">
      <c r="A966" s="80"/>
      <c r="B966" s="80"/>
      <c r="C966" s="80"/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</row>
    <row r="967">
      <c r="A967" s="80"/>
      <c r="B967" s="80"/>
      <c r="C967" s="80"/>
      <c r="D967" s="80"/>
      <c r="E967" s="80"/>
      <c r="F967" s="80"/>
      <c r="G967" s="80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</row>
    <row r="968">
      <c r="A968" s="80"/>
      <c r="B968" s="80"/>
      <c r="C968" s="80"/>
      <c r="D968" s="80"/>
      <c r="E968" s="80"/>
      <c r="F968" s="80"/>
      <c r="G968" s="80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</row>
    <row r="969">
      <c r="A969" s="80"/>
      <c r="B969" s="80"/>
      <c r="C969" s="80"/>
      <c r="D969" s="80"/>
      <c r="E969" s="80"/>
      <c r="F969" s="80"/>
      <c r="G969" s="80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</row>
    <row r="970">
      <c r="A970" s="80"/>
      <c r="B970" s="80"/>
      <c r="C970" s="80"/>
      <c r="D970" s="80"/>
      <c r="E970" s="80"/>
      <c r="F970" s="80"/>
      <c r="G970" s="80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</row>
    <row r="971">
      <c r="A971" s="80"/>
      <c r="B971" s="80"/>
      <c r="C971" s="80"/>
      <c r="D971" s="80"/>
      <c r="E971" s="80"/>
      <c r="F971" s="80"/>
      <c r="G971" s="80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</row>
    <row r="972">
      <c r="A972" s="80"/>
      <c r="B972" s="80"/>
      <c r="C972" s="80"/>
      <c r="D972" s="80"/>
      <c r="E972" s="80"/>
      <c r="F972" s="80"/>
      <c r="G972" s="80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</row>
    <row r="973">
      <c r="A973" s="80"/>
      <c r="B973" s="80"/>
      <c r="C973" s="80"/>
      <c r="D973" s="80"/>
      <c r="E973" s="80"/>
      <c r="F973" s="80"/>
      <c r="G973" s="80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</row>
    <row r="974">
      <c r="A974" s="80"/>
      <c r="B974" s="80"/>
      <c r="C974" s="80"/>
      <c r="D974" s="80"/>
      <c r="E974" s="80"/>
      <c r="F974" s="80"/>
      <c r="G974" s="80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</row>
    <row r="975">
      <c r="A975" s="80"/>
      <c r="B975" s="80"/>
      <c r="C975" s="80"/>
      <c r="D975" s="80"/>
      <c r="E975" s="80"/>
      <c r="F975" s="80"/>
      <c r="G975" s="80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</row>
    <row r="976">
      <c r="A976" s="80"/>
      <c r="B976" s="80"/>
      <c r="C976" s="80"/>
      <c r="D976" s="80"/>
      <c r="E976" s="80"/>
      <c r="F976" s="80"/>
      <c r="G976" s="80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</row>
    <row r="977">
      <c r="A977" s="80"/>
      <c r="B977" s="80"/>
      <c r="C977" s="80"/>
      <c r="D977" s="80"/>
      <c r="E977" s="80"/>
      <c r="F977" s="80"/>
      <c r="G977" s="80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</row>
    <row r="978">
      <c r="A978" s="80"/>
      <c r="B978" s="80"/>
      <c r="C978" s="80"/>
      <c r="D978" s="80"/>
      <c r="E978" s="80"/>
      <c r="F978" s="80"/>
      <c r="G978" s="80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</row>
    <row r="979">
      <c r="A979" s="80"/>
      <c r="B979" s="80"/>
      <c r="C979" s="80"/>
      <c r="D979" s="80"/>
      <c r="E979" s="80"/>
      <c r="F979" s="80"/>
      <c r="G979" s="80"/>
      <c r="H979" s="80"/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</row>
    <row r="980">
      <c r="A980" s="80"/>
      <c r="B980" s="80"/>
      <c r="C980" s="80"/>
      <c r="D980" s="80"/>
      <c r="E980" s="80"/>
      <c r="F980" s="80"/>
      <c r="G980" s="80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</row>
    <row r="981">
      <c r="A981" s="80"/>
      <c r="B981" s="80"/>
      <c r="C981" s="80"/>
      <c r="D981" s="80"/>
      <c r="E981" s="80"/>
      <c r="F981" s="80"/>
      <c r="G981" s="80"/>
      <c r="H981" s="80"/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</row>
    <row r="982">
      <c r="A982" s="80"/>
      <c r="B982" s="80"/>
      <c r="C982" s="80"/>
      <c r="D982" s="80"/>
      <c r="E982" s="80"/>
      <c r="F982" s="80"/>
      <c r="G982" s="80"/>
      <c r="H982" s="80"/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0"/>
    </row>
    <row r="983">
      <c r="A983" s="80"/>
      <c r="B983" s="80"/>
      <c r="C983" s="80"/>
      <c r="D983" s="80"/>
      <c r="E983" s="80"/>
      <c r="F983" s="80"/>
      <c r="G983" s="80"/>
      <c r="H983" s="80"/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0"/>
    </row>
    <row r="984">
      <c r="A984" s="80"/>
      <c r="B984" s="80"/>
      <c r="C984" s="80"/>
      <c r="D984" s="80"/>
      <c r="E984" s="80"/>
      <c r="F984" s="80"/>
      <c r="G984" s="80"/>
      <c r="H984" s="80"/>
      <c r="I984" s="80"/>
      <c r="J984" s="80"/>
      <c r="K984" s="80"/>
      <c r="L984" s="80"/>
      <c r="M984" s="80"/>
      <c r="N984" s="80"/>
      <c r="O984" s="80"/>
      <c r="P984" s="80"/>
      <c r="Q984" s="80"/>
      <c r="R984" s="80"/>
      <c r="S984" s="80"/>
    </row>
    <row r="985">
      <c r="A985" s="80"/>
      <c r="B985" s="80"/>
      <c r="C985" s="80"/>
      <c r="D985" s="80"/>
      <c r="E985" s="80"/>
      <c r="F985" s="80"/>
      <c r="G985" s="80"/>
      <c r="H985" s="80"/>
      <c r="I985" s="80"/>
      <c r="J985" s="80"/>
      <c r="K985" s="80"/>
      <c r="L985" s="80"/>
      <c r="M985" s="80"/>
      <c r="N985" s="80"/>
      <c r="O985" s="80"/>
      <c r="P985" s="80"/>
      <c r="Q985" s="80"/>
      <c r="R985" s="80"/>
      <c r="S985" s="80"/>
    </row>
    <row r="986">
      <c r="A986" s="80"/>
      <c r="B986" s="80"/>
      <c r="C986" s="80"/>
      <c r="D986" s="80"/>
      <c r="E986" s="80"/>
      <c r="F986" s="80"/>
      <c r="G986" s="80"/>
      <c r="H986" s="80"/>
      <c r="I986" s="80"/>
      <c r="J986" s="80"/>
      <c r="K986" s="80"/>
      <c r="L986" s="80"/>
      <c r="M986" s="80"/>
      <c r="N986" s="80"/>
      <c r="O986" s="80"/>
      <c r="P986" s="80"/>
      <c r="Q986" s="80"/>
      <c r="R986" s="80"/>
      <c r="S986" s="80"/>
    </row>
    <row r="987">
      <c r="A987" s="80"/>
      <c r="B987" s="80"/>
      <c r="C987" s="80"/>
      <c r="D987" s="80"/>
      <c r="E987" s="80"/>
      <c r="F987" s="80"/>
      <c r="G987" s="80"/>
      <c r="H987" s="80"/>
      <c r="I987" s="80"/>
      <c r="J987" s="80"/>
      <c r="K987" s="80"/>
      <c r="L987" s="80"/>
      <c r="M987" s="80"/>
      <c r="N987" s="80"/>
      <c r="O987" s="80"/>
      <c r="P987" s="80"/>
      <c r="Q987" s="80"/>
      <c r="R987" s="80"/>
      <c r="S987" s="80"/>
    </row>
    <row r="988">
      <c r="A988" s="80"/>
      <c r="B988" s="80"/>
      <c r="C988" s="80"/>
      <c r="D988" s="80"/>
      <c r="E988" s="80"/>
      <c r="F988" s="80"/>
      <c r="G988" s="80"/>
      <c r="H988" s="80"/>
      <c r="I988" s="80"/>
      <c r="J988" s="80"/>
      <c r="K988" s="80"/>
      <c r="L988" s="80"/>
      <c r="M988" s="80"/>
      <c r="N988" s="80"/>
      <c r="O988" s="80"/>
      <c r="P988" s="80"/>
      <c r="Q988" s="80"/>
      <c r="R988" s="80"/>
      <c r="S988" s="80"/>
    </row>
    <row r="989">
      <c r="A989" s="80"/>
      <c r="B989" s="80"/>
      <c r="C989" s="80"/>
      <c r="D989" s="80"/>
      <c r="E989" s="80"/>
      <c r="F989" s="80"/>
      <c r="G989" s="80"/>
      <c r="H989" s="80"/>
      <c r="I989" s="80"/>
      <c r="J989" s="80"/>
      <c r="K989" s="80"/>
      <c r="L989" s="80"/>
      <c r="M989" s="80"/>
      <c r="N989" s="80"/>
      <c r="O989" s="80"/>
      <c r="P989" s="80"/>
      <c r="Q989" s="80"/>
      <c r="R989" s="80"/>
      <c r="S989" s="80"/>
    </row>
    <row r="990">
      <c r="A990" s="80"/>
      <c r="B990" s="80"/>
      <c r="C990" s="80"/>
      <c r="D990" s="80"/>
      <c r="E990" s="80"/>
      <c r="F990" s="80"/>
      <c r="G990" s="80"/>
      <c r="H990" s="80"/>
      <c r="I990" s="80"/>
      <c r="J990" s="80"/>
      <c r="K990" s="80"/>
      <c r="L990" s="80"/>
      <c r="M990" s="80"/>
      <c r="N990" s="80"/>
      <c r="O990" s="80"/>
      <c r="P990" s="80"/>
      <c r="Q990" s="80"/>
      <c r="R990" s="80"/>
      <c r="S990" s="80"/>
    </row>
    <row r="991">
      <c r="A991" s="80"/>
      <c r="B991" s="80"/>
      <c r="C991" s="80"/>
      <c r="D991" s="80"/>
      <c r="E991" s="80"/>
      <c r="F991" s="80"/>
      <c r="G991" s="80"/>
      <c r="H991" s="80"/>
      <c r="I991" s="80"/>
      <c r="J991" s="80"/>
      <c r="K991" s="80"/>
      <c r="L991" s="80"/>
      <c r="M991" s="80"/>
      <c r="N991" s="80"/>
      <c r="O991" s="80"/>
      <c r="P991" s="80"/>
      <c r="Q991" s="80"/>
      <c r="R991" s="80"/>
      <c r="S991" s="80"/>
    </row>
    <row r="992">
      <c r="A992" s="80"/>
      <c r="B992" s="80"/>
      <c r="C992" s="80"/>
      <c r="D992" s="80"/>
      <c r="E992" s="80"/>
      <c r="F992" s="80"/>
      <c r="G992" s="80"/>
      <c r="H992" s="80"/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0"/>
    </row>
    <row r="993">
      <c r="A993" s="80"/>
      <c r="B993" s="80"/>
      <c r="C993" s="80"/>
      <c r="D993" s="80"/>
      <c r="E993" s="80"/>
      <c r="F993" s="80"/>
      <c r="G993" s="80"/>
      <c r="H993" s="80"/>
      <c r="I993" s="80"/>
      <c r="J993" s="80"/>
      <c r="K993" s="80"/>
      <c r="L993" s="80"/>
      <c r="M993" s="80"/>
      <c r="N993" s="80"/>
      <c r="O993" s="80"/>
      <c r="P993" s="80"/>
      <c r="Q993" s="80"/>
      <c r="R993" s="80"/>
      <c r="S993" s="80"/>
    </row>
    <row r="994">
      <c r="A994" s="80"/>
      <c r="B994" s="80"/>
      <c r="C994" s="80"/>
      <c r="D994" s="80"/>
      <c r="E994" s="80"/>
      <c r="F994" s="80"/>
      <c r="G994" s="80"/>
      <c r="H994" s="80"/>
      <c r="I994" s="80"/>
      <c r="J994" s="80"/>
      <c r="K994" s="80"/>
      <c r="L994" s="80"/>
      <c r="M994" s="80"/>
      <c r="N994" s="80"/>
      <c r="O994" s="80"/>
      <c r="P994" s="80"/>
      <c r="Q994" s="80"/>
      <c r="R994" s="80"/>
      <c r="S994" s="80"/>
    </row>
    <row r="995">
      <c r="A995" s="80"/>
      <c r="B995" s="80"/>
      <c r="C995" s="80"/>
      <c r="D995" s="80"/>
      <c r="E995" s="80"/>
      <c r="F995" s="80"/>
      <c r="G995" s="80"/>
      <c r="H995" s="80"/>
      <c r="I995" s="80"/>
      <c r="J995" s="80"/>
      <c r="K995" s="80"/>
      <c r="L995" s="80"/>
      <c r="M995" s="80"/>
      <c r="N995" s="80"/>
      <c r="O995" s="80"/>
      <c r="P995" s="80"/>
      <c r="Q995" s="80"/>
      <c r="R995" s="80"/>
      <c r="S995" s="80"/>
    </row>
    <row r="996">
      <c r="A996" s="80"/>
      <c r="B996" s="80"/>
      <c r="C996" s="80"/>
      <c r="D996" s="80"/>
      <c r="E996" s="80"/>
      <c r="F996" s="80"/>
      <c r="G996" s="80"/>
      <c r="H996" s="80"/>
      <c r="I996" s="80"/>
      <c r="J996" s="80"/>
      <c r="K996" s="80"/>
      <c r="L996" s="80"/>
      <c r="M996" s="80"/>
      <c r="N996" s="80"/>
      <c r="O996" s="80"/>
      <c r="P996" s="80"/>
      <c r="Q996" s="80"/>
      <c r="R996" s="80"/>
      <c r="S996" s="80"/>
    </row>
    <row r="997">
      <c r="A997" s="80"/>
      <c r="B997" s="80"/>
      <c r="C997" s="80"/>
      <c r="D997" s="80"/>
      <c r="E997" s="80"/>
      <c r="F997" s="80"/>
      <c r="G997" s="80"/>
      <c r="H997" s="80"/>
      <c r="I997" s="80"/>
      <c r="J997" s="80"/>
      <c r="K997" s="80"/>
      <c r="L997" s="80"/>
      <c r="M997" s="80"/>
      <c r="N997" s="80"/>
      <c r="O997" s="80"/>
      <c r="P997" s="80"/>
      <c r="Q997" s="80"/>
      <c r="R997" s="80"/>
      <c r="S997" s="80"/>
    </row>
    <row r="998">
      <c r="A998" s="80"/>
      <c r="B998" s="80"/>
      <c r="C998" s="80"/>
      <c r="D998" s="80"/>
      <c r="E998" s="80"/>
      <c r="F998" s="80"/>
      <c r="G998" s="80"/>
      <c r="H998" s="80"/>
      <c r="I998" s="80"/>
      <c r="J998" s="80"/>
      <c r="K998" s="80"/>
      <c r="L998" s="80"/>
      <c r="M998" s="80"/>
      <c r="N998" s="80"/>
      <c r="O998" s="80"/>
      <c r="P998" s="80"/>
      <c r="Q998" s="80"/>
      <c r="R998" s="80"/>
      <c r="S998" s="80"/>
    </row>
    <row r="999">
      <c r="A999" s="80"/>
      <c r="B999" s="80"/>
      <c r="C999" s="80"/>
      <c r="D999" s="80"/>
      <c r="E999" s="80"/>
      <c r="F999" s="80"/>
      <c r="G999" s="80"/>
      <c r="H999" s="80"/>
      <c r="I999" s="80"/>
      <c r="J999" s="80"/>
      <c r="K999" s="80"/>
      <c r="L999" s="80"/>
      <c r="M999" s="80"/>
      <c r="N999" s="80"/>
      <c r="O999" s="80"/>
      <c r="P999" s="80"/>
      <c r="Q999" s="80"/>
      <c r="R999" s="80"/>
      <c r="S999" s="80"/>
    </row>
  </sheetData>
  <dataValidations>
    <dataValidation type="list" allowBlank="1" showErrorMessage="1" sqref="E2:E100">
      <formula1>#REF!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43"/>
    <col customWidth="1" min="2" max="2" width="19.29"/>
    <col customWidth="1" min="3" max="3" width="15.71"/>
    <col customWidth="1" min="4" max="4" width="12.71"/>
    <col customWidth="1" min="5" max="6" width="17.29"/>
    <col customWidth="1" min="7" max="7" width="23.86"/>
    <col customWidth="1" min="8" max="8" width="24.0"/>
    <col customWidth="1" min="9" max="9" width="20.14"/>
    <col customWidth="1" min="10" max="10" width="30.57"/>
    <col customWidth="1" min="11" max="11" width="17.14"/>
    <col customWidth="1" min="12" max="12" width="13.86"/>
    <col customWidth="1" min="13" max="14" width="17.14"/>
    <col customWidth="1" min="15" max="15" width="19.29"/>
    <col customWidth="1" min="16" max="16" width="20.43"/>
    <col customWidth="1" min="17" max="17" width="19.71"/>
    <col customWidth="1" min="18" max="18" width="22.29"/>
    <col customWidth="1" min="19" max="19" width="21.0"/>
    <col customWidth="1" min="20" max="20" width="24.0"/>
    <col customWidth="1" min="21" max="21" width="22.43"/>
  </cols>
  <sheetData>
    <row r="1" ht="61.5" customHeight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2" t="s">
        <v>10</v>
      </c>
      <c r="I1" s="78" t="s">
        <v>11</v>
      </c>
      <c r="J1" s="3" t="s">
        <v>12</v>
      </c>
      <c r="K1" s="78" t="s">
        <v>13</v>
      </c>
      <c r="L1" s="78" t="s">
        <v>14</v>
      </c>
      <c r="M1" s="78" t="s">
        <v>15</v>
      </c>
      <c r="N1" s="78" t="s">
        <v>16</v>
      </c>
      <c r="O1" s="4" t="s">
        <v>17</v>
      </c>
      <c r="P1" s="4" t="s">
        <v>18</v>
      </c>
      <c r="Q1" s="4" t="s">
        <v>19</v>
      </c>
      <c r="R1" s="4" t="s">
        <v>20</v>
      </c>
      <c r="S1" s="4" t="s">
        <v>21</v>
      </c>
      <c r="T1" s="4" t="s">
        <v>22</v>
      </c>
      <c r="U1" s="4" t="s">
        <v>23</v>
      </c>
      <c r="V1" s="79" t="s">
        <v>24</v>
      </c>
    </row>
    <row r="2" ht="34.5" customHeight="1">
      <c r="A2" s="106" t="s">
        <v>1240</v>
      </c>
      <c r="B2" s="5">
        <f>SUM('Tabela 1 APS + Leitos Nec.'!E2:E8)</f>
        <v>26678</v>
      </c>
      <c r="C2" s="6">
        <v>52.99</v>
      </c>
      <c r="D2" s="5">
        <f>SUM('Tabela 1 APS + Leitos Nec.'!G2:G8)</f>
        <v>142</v>
      </c>
      <c r="E2" s="6">
        <v>47.73</v>
      </c>
      <c r="F2" s="6">
        <v>62.48</v>
      </c>
      <c r="G2" s="7">
        <f t="shared" ref="G2:G24" si="1">(B2*(1-C2/100)*1.1)</f>
        <v>13795.46058</v>
      </c>
      <c r="H2" s="7">
        <f t="shared" ref="H2:H24" si="2">B2*(1-C2/100)</f>
        <v>12541.3278</v>
      </c>
      <c r="I2" s="8">
        <f t="shared" ref="I2:I24" si="3">((G2*2.5)/(365*0.9))*1.21</f>
        <v>127.0358242</v>
      </c>
      <c r="J2" s="9">
        <f t="shared" ref="J2:J24" si="4">I2*30/100</f>
        <v>38.11074726</v>
      </c>
      <c r="K2" s="9">
        <f t="shared" ref="K2:K24" si="5">(I2*6/100)</f>
        <v>7.622149453</v>
      </c>
      <c r="L2" s="8">
        <f t="shared" ref="L2:L24" si="6">H2*2/1000</f>
        <v>25.0826556</v>
      </c>
      <c r="M2" s="8">
        <f t="shared" ref="M2:M24" si="7">H2*3/1000</f>
        <v>37.6239834</v>
      </c>
      <c r="N2" s="8">
        <f t="shared" ref="N2:N24" si="8">H2*1/1000</f>
        <v>12.5413278</v>
      </c>
      <c r="O2" s="10">
        <f>SUM('Tabela 1 APS + Leitos Nec.'!R2:R8)</f>
        <v>2</v>
      </c>
      <c r="P2" s="10">
        <f>SUM('Tabela 1 APS + Leitos Nec.'!S2:S8)</f>
        <v>0</v>
      </c>
      <c r="Q2" s="10">
        <f>SUM('Tabela 1 APS + Leitos Nec.'!T2:T8)</f>
        <v>0</v>
      </c>
      <c r="R2" s="10">
        <f>SUM('Tabela 1 APS + Leitos Nec.'!U2:U8)</f>
        <v>2</v>
      </c>
      <c r="S2" s="10">
        <f>SUM('Tabela 1 APS + Leitos Nec.'!V2:V8)</f>
        <v>1</v>
      </c>
      <c r="T2" s="10">
        <f>SUM('Tabela 1 APS + Leitos Nec.'!W2:W8)</f>
        <v>0</v>
      </c>
      <c r="U2" s="10">
        <f>SUM('Tabela 1 APS + Leitos Nec.'!X2:X8)</f>
        <v>1</v>
      </c>
      <c r="V2" s="10">
        <f>SUM('Tabela 1 APS + Leitos Nec.'!Y2:Y8)</f>
        <v>0</v>
      </c>
    </row>
    <row r="3" ht="34.5" customHeight="1">
      <c r="A3" s="4" t="s">
        <v>1241</v>
      </c>
      <c r="B3" s="5">
        <f>SUM('Tabela 1 APS + Leitos Nec.'!E9:E19)</f>
        <v>37990</v>
      </c>
      <c r="C3" s="58">
        <v>32.75</v>
      </c>
      <c r="D3" s="24">
        <f>SUM('Tabela 1 APS + Leitos Nec.'!G9:G19)</f>
        <v>200</v>
      </c>
      <c r="E3" s="58">
        <v>25.83</v>
      </c>
      <c r="F3" s="58">
        <v>44.02</v>
      </c>
      <c r="G3" s="7">
        <f t="shared" si="1"/>
        <v>28103.1025</v>
      </c>
      <c r="H3" s="7">
        <f t="shared" si="2"/>
        <v>25548.275</v>
      </c>
      <c r="I3" s="8">
        <f t="shared" si="3"/>
        <v>258.7880824</v>
      </c>
      <c r="J3" s="8">
        <f t="shared" si="4"/>
        <v>77.63642471</v>
      </c>
      <c r="K3" s="8">
        <f t="shared" si="5"/>
        <v>15.52728494</v>
      </c>
      <c r="L3" s="8">
        <f t="shared" si="6"/>
        <v>51.09655</v>
      </c>
      <c r="M3" s="8">
        <f t="shared" si="7"/>
        <v>76.644825</v>
      </c>
      <c r="N3" s="8">
        <f t="shared" si="8"/>
        <v>25.548275</v>
      </c>
      <c r="O3" s="10">
        <f>SUM('Tabela 1 APS + Leitos Nec.'!R9:R19)</f>
        <v>0</v>
      </c>
      <c r="P3" s="10">
        <f>SUM('Tabela 1 APS + Leitos Nec.'!S9:S19)</f>
        <v>0</v>
      </c>
      <c r="Q3" s="10">
        <f>SUM('Tabela 1 APS + Leitos Nec.'!T9:T19)</f>
        <v>0</v>
      </c>
      <c r="R3" s="10">
        <f>SUM('Tabela 1 APS + Leitos Nec.'!U9:U19)</f>
        <v>0</v>
      </c>
      <c r="S3" s="10">
        <f>SUM('Tabela 1 APS + Leitos Nec.'!V9:V19)</f>
        <v>0</v>
      </c>
      <c r="T3" s="10">
        <f>SUM('Tabela 1 APS + Leitos Nec.'!W9:W19)</f>
        <v>0</v>
      </c>
      <c r="U3" s="10">
        <f>SUM('Tabela 1 APS + Leitos Nec.'!X9:X19)</f>
        <v>0</v>
      </c>
      <c r="V3" s="10">
        <f>SUM('Tabela 1 APS + Leitos Nec.'!Y9:Y19)</f>
        <v>2</v>
      </c>
      <c r="W3" s="17"/>
    </row>
    <row r="4" ht="34.5" customHeight="1">
      <c r="A4" s="107" t="s">
        <v>1242</v>
      </c>
      <c r="B4" s="108">
        <f>SUM('Tabela 1 APS + Leitos Nec.'!E20:E24)</f>
        <v>7682</v>
      </c>
      <c r="C4" s="27">
        <v>29.92</v>
      </c>
      <c r="D4" s="26">
        <f>SUM('Tabela 1 APS + Leitos Nec.'!G20:G24)</f>
        <v>69</v>
      </c>
      <c r="E4" s="27">
        <v>41.94</v>
      </c>
      <c r="F4" s="27">
        <v>63.74</v>
      </c>
      <c r="G4" s="28">
        <f t="shared" si="1"/>
        <v>5921.90016</v>
      </c>
      <c r="H4" s="28">
        <f t="shared" si="2"/>
        <v>5383.5456</v>
      </c>
      <c r="I4" s="8">
        <f t="shared" si="3"/>
        <v>54.53195733</v>
      </c>
      <c r="J4" s="8">
        <f t="shared" si="4"/>
        <v>16.3595872</v>
      </c>
      <c r="K4" s="8">
        <f t="shared" si="5"/>
        <v>3.27191744</v>
      </c>
      <c r="L4" s="8">
        <f t="shared" si="6"/>
        <v>10.7670912</v>
      </c>
      <c r="M4" s="8">
        <f t="shared" si="7"/>
        <v>16.1506368</v>
      </c>
      <c r="N4" s="8">
        <f t="shared" si="8"/>
        <v>5.3835456</v>
      </c>
      <c r="O4" s="109">
        <f>SUM('Tabela 1 APS + Leitos Nec.'!R20:R24)</f>
        <v>0</v>
      </c>
      <c r="P4" s="109">
        <f>SUM('Tabela 1 APS + Leitos Nec.'!S20:S24)</f>
        <v>0</v>
      </c>
      <c r="Q4" s="109">
        <f>SUM('Tabela 1 APS + Leitos Nec.'!T20:T24)</f>
        <v>0</v>
      </c>
      <c r="R4" s="109">
        <f>SUM('Tabela 1 APS + Leitos Nec.'!U20:U24)</f>
        <v>0</v>
      </c>
      <c r="S4" s="109">
        <f>SUM('Tabela 1 APS + Leitos Nec.'!V20:V24)</f>
        <v>0</v>
      </c>
      <c r="T4" s="109">
        <f>SUM('Tabela 1 APS + Leitos Nec.'!W20:W24)</f>
        <v>0</v>
      </c>
      <c r="U4" s="109">
        <f>SUM('Tabela 1 APS + Leitos Nec.'!X20:X24)</f>
        <v>0</v>
      </c>
      <c r="V4" s="109">
        <f>SUM('Tabela 1 APS + Leitos Nec.'!Y20:Y24)</f>
        <v>0</v>
      </c>
    </row>
    <row r="5" ht="34.5" customHeight="1">
      <c r="A5" s="106" t="s">
        <v>1243</v>
      </c>
      <c r="B5" s="110">
        <f>SUM('Tabela 1 APS + Leitos Nec.'!E25:E32)</f>
        <v>14182</v>
      </c>
      <c r="C5" s="6">
        <v>29.3</v>
      </c>
      <c r="D5" s="5">
        <f>SUM('Tabela 1 APS + Leitos Nec.'!G25:G32)</f>
        <v>99</v>
      </c>
      <c r="E5" s="6">
        <v>23.84</v>
      </c>
      <c r="F5" s="6">
        <v>52.04</v>
      </c>
      <c r="G5" s="36">
        <f t="shared" si="1"/>
        <v>11029.3414</v>
      </c>
      <c r="H5" s="111">
        <f t="shared" si="2"/>
        <v>10026.674</v>
      </c>
      <c r="I5" s="8">
        <f t="shared" si="3"/>
        <v>101.5639505</v>
      </c>
      <c r="J5" s="8">
        <f t="shared" si="4"/>
        <v>30.46918515</v>
      </c>
      <c r="K5" s="8">
        <f t="shared" si="5"/>
        <v>6.093837029</v>
      </c>
      <c r="L5" s="8">
        <f t="shared" si="6"/>
        <v>20.053348</v>
      </c>
      <c r="M5" s="8">
        <f t="shared" si="7"/>
        <v>30.080022</v>
      </c>
      <c r="N5" s="8">
        <f t="shared" si="8"/>
        <v>10.026674</v>
      </c>
      <c r="O5" s="40">
        <f>SUM('Tabela 1 APS + Leitos Nec.'!R25:R32)</f>
        <v>0</v>
      </c>
      <c r="P5" s="40">
        <f>SUM('Tabela 1 APS + Leitos Nec.'!S25:S32)</f>
        <v>0</v>
      </c>
      <c r="Q5" s="40">
        <f>SUM('Tabela 1 APS + Leitos Nec.'!T25:T32)</f>
        <v>0</v>
      </c>
      <c r="R5" s="40">
        <f>SUM('Tabela 1 APS + Leitos Nec.'!U25:U32)</f>
        <v>0</v>
      </c>
      <c r="S5" s="40">
        <f>SUM('Tabela 1 APS + Leitos Nec.'!V25:V32)</f>
        <v>0</v>
      </c>
      <c r="T5" s="40">
        <f>SUM('Tabela 1 APS + Leitos Nec.'!W25:W32)</f>
        <v>0</v>
      </c>
      <c r="U5" s="40">
        <f>SUM('Tabela 1 APS + Leitos Nec.'!X25:X32)</f>
        <v>0</v>
      </c>
      <c r="V5" s="40">
        <f>SUM('Tabela 1 APS + Leitos Nec.'!Y25:Y32)</f>
        <v>0</v>
      </c>
      <c r="W5" s="17"/>
    </row>
    <row r="6" ht="34.5" customHeight="1">
      <c r="A6" s="77" t="s">
        <v>1244</v>
      </c>
      <c r="B6" s="42">
        <f>SUM('Tabela 1 APS + Leitos Nec.'!E33:E39)</f>
        <v>25483</v>
      </c>
      <c r="C6" s="43">
        <v>40.78</v>
      </c>
      <c r="D6" s="42">
        <f>SUM('Tabela 1 APS + Leitos Nec.'!G33:G39)</f>
        <v>112</v>
      </c>
      <c r="E6" s="43">
        <v>14.2</v>
      </c>
      <c r="F6" s="43">
        <v>48.46</v>
      </c>
      <c r="G6" s="44">
        <f t="shared" si="1"/>
        <v>16600.13586</v>
      </c>
      <c r="H6" s="44">
        <f t="shared" si="2"/>
        <v>15091.0326</v>
      </c>
      <c r="I6" s="8">
        <f t="shared" si="3"/>
        <v>152.8627427</v>
      </c>
      <c r="J6" s="8">
        <f t="shared" si="4"/>
        <v>45.85882281</v>
      </c>
      <c r="K6" s="8">
        <f t="shared" si="5"/>
        <v>9.171764562</v>
      </c>
      <c r="L6" s="8">
        <f t="shared" si="6"/>
        <v>30.1820652</v>
      </c>
      <c r="M6" s="8">
        <f t="shared" si="7"/>
        <v>45.2730978</v>
      </c>
      <c r="N6" s="8">
        <f t="shared" si="8"/>
        <v>15.0910326</v>
      </c>
      <c r="O6" s="57">
        <f>SUM('Tabela 1 APS + Leitos Nec.'!R33:R39)</f>
        <v>0</v>
      </c>
      <c r="P6" s="57">
        <f>SUM('Tabela 1 APS + Leitos Nec.'!S33:S39)</f>
        <v>0</v>
      </c>
      <c r="Q6" s="57">
        <f>SUM('Tabela 1 APS + Leitos Nec.'!T33:T39)</f>
        <v>0</v>
      </c>
      <c r="R6" s="57">
        <f>SUM('Tabela 1 APS + Leitos Nec.'!U33:U39)</f>
        <v>0</v>
      </c>
      <c r="S6" s="57">
        <f>SUM('Tabela 1 APS + Leitos Nec.'!V33:V39)</f>
        <v>0</v>
      </c>
      <c r="T6" s="57">
        <f>SUM('Tabela 1 APS + Leitos Nec.'!W33:W39)</f>
        <v>0</v>
      </c>
      <c r="U6" s="57">
        <f>SUM('Tabela 1 APS + Leitos Nec.'!X33:X39)</f>
        <v>0</v>
      </c>
      <c r="V6" s="57">
        <f>SUM('Tabela 1 APS + Leitos Nec.'!Y33:Y39)</f>
        <v>0</v>
      </c>
    </row>
    <row r="7" ht="34.5" customHeight="1">
      <c r="A7" s="77" t="s">
        <v>753</v>
      </c>
      <c r="B7" s="112">
        <f>SUM('RRAS 6 - Tabela 1 APS + Leitos '!F2:F28)</f>
        <v>128654</v>
      </c>
      <c r="C7" s="113">
        <v>51.0</v>
      </c>
      <c r="D7" s="44">
        <f>SUM('RRAS 6 - Tabela 1 APS + Leitos '!H2:H28)</f>
        <v>475</v>
      </c>
      <c r="E7" s="43"/>
      <c r="F7" s="113">
        <v>70.6</v>
      </c>
      <c r="G7" s="44">
        <f t="shared" si="1"/>
        <v>69344.506</v>
      </c>
      <c r="H7" s="44">
        <f t="shared" si="2"/>
        <v>63040.46</v>
      </c>
      <c r="I7" s="8">
        <f t="shared" si="3"/>
        <v>638.5605195</v>
      </c>
      <c r="J7" s="8">
        <f t="shared" si="4"/>
        <v>191.5681558</v>
      </c>
      <c r="K7" s="8">
        <f t="shared" si="5"/>
        <v>38.31363117</v>
      </c>
      <c r="L7" s="8">
        <f t="shared" si="6"/>
        <v>126.08092</v>
      </c>
      <c r="M7" s="8">
        <f t="shared" si="7"/>
        <v>189.12138</v>
      </c>
      <c r="N7" s="8">
        <f t="shared" si="8"/>
        <v>63.04046</v>
      </c>
      <c r="O7" s="57">
        <f>SUM('Tabela 1 APS + Leitos Nec.'!R34:R40)</f>
        <v>0</v>
      </c>
      <c r="P7" s="57">
        <f>SUM('Tabela 1 APS + Leitos Nec.'!S34:S40)</f>
        <v>0</v>
      </c>
      <c r="Q7" s="57">
        <f>SUM('Tabela 1 APS + Leitos Nec.'!T34:T40)</f>
        <v>0</v>
      </c>
      <c r="R7" s="57">
        <f>SUM('Tabela 1 APS + Leitos Nec.'!U34:U40)</f>
        <v>0</v>
      </c>
      <c r="S7" s="57">
        <f>SUM('Tabela 1 APS + Leitos Nec.'!V34:V40)</f>
        <v>0</v>
      </c>
      <c r="T7" s="57">
        <f>SUM('Tabela 1 APS + Leitos Nec.'!W34:W40)</f>
        <v>0</v>
      </c>
      <c r="U7" s="57">
        <f>SUM('Tabela 1 APS + Leitos Nec.'!X34:X40)</f>
        <v>0</v>
      </c>
      <c r="V7" s="57">
        <f>SUM('Tabela 1 APS + Leitos Nec.'!Y34:Y40)</f>
        <v>0</v>
      </c>
    </row>
    <row r="8" ht="34.5" customHeight="1">
      <c r="A8" s="77" t="s">
        <v>1245</v>
      </c>
      <c r="B8" s="112">
        <f>SUM('Tabela 1 APS + Leitos Nec.'!E40:E48)</f>
        <v>20163</v>
      </c>
      <c r="C8" s="43">
        <v>40.11</v>
      </c>
      <c r="D8" s="44">
        <f>SUM('Tabela 1 APS + Leitos Nec.'!G40:G48)</f>
        <v>181</v>
      </c>
      <c r="E8" s="43">
        <v>44.76</v>
      </c>
      <c r="F8" s="43">
        <v>60.87</v>
      </c>
      <c r="G8" s="44">
        <f t="shared" si="1"/>
        <v>13283.18277</v>
      </c>
      <c r="H8" s="114">
        <f t="shared" si="2"/>
        <v>12075.6207</v>
      </c>
      <c r="I8" s="8">
        <f t="shared" si="3"/>
        <v>122.3185019</v>
      </c>
      <c r="J8" s="8">
        <f t="shared" si="4"/>
        <v>36.69555057</v>
      </c>
      <c r="K8" s="8">
        <f t="shared" si="5"/>
        <v>7.339110115</v>
      </c>
      <c r="L8" s="8">
        <f t="shared" si="6"/>
        <v>24.1512414</v>
      </c>
      <c r="M8" s="8">
        <f t="shared" si="7"/>
        <v>36.2268621</v>
      </c>
      <c r="N8" s="8">
        <f t="shared" si="8"/>
        <v>12.0756207</v>
      </c>
      <c r="O8" s="10">
        <f>SUM('Tabela 1 APS + Leitos Nec.'!R40:R48)</f>
        <v>2</v>
      </c>
      <c r="P8" s="10">
        <f>SUM('Tabela 1 APS + Leitos Nec.'!S40:S48)</f>
        <v>3</v>
      </c>
      <c r="Q8" s="10">
        <f>SUM('Tabela 1 APS + Leitos Nec.'!T40:T48)</f>
        <v>1</v>
      </c>
      <c r="R8" s="10">
        <f>SUM('Tabela 1 APS + Leitos Nec.'!U40:U48)</f>
        <v>1</v>
      </c>
      <c r="S8" s="10">
        <f>SUM('Tabela 1 APS + Leitos Nec.'!V40:V48)</f>
        <v>0</v>
      </c>
      <c r="T8" s="10">
        <f>SUM('Tabela 1 APS + Leitos Nec.'!W40:W48)</f>
        <v>0</v>
      </c>
      <c r="U8" s="10">
        <f>SUM('Tabela 1 APS + Leitos Nec.'!X40:X48)</f>
        <v>0</v>
      </c>
      <c r="V8" s="10">
        <f>SUM('Tabela 1 APS + Leitos Nec.'!Y40:Y48)</f>
        <v>3</v>
      </c>
    </row>
    <row r="9" ht="34.5" customHeight="1">
      <c r="A9" s="106" t="s">
        <v>1246</v>
      </c>
      <c r="B9" s="110">
        <f>SUM('Tabela 1 APS + Leitos Nec.'!E49:E63)</f>
        <v>3340</v>
      </c>
      <c r="C9" s="6">
        <v>9.19</v>
      </c>
      <c r="D9" s="7">
        <f>SUM('Tabela 1 APS + Leitos Nec.'!G49:G63)</f>
        <v>107</v>
      </c>
      <c r="E9" s="6">
        <v>93.16</v>
      </c>
      <c r="F9" s="6">
        <v>96.89</v>
      </c>
      <c r="G9" s="7">
        <f t="shared" si="1"/>
        <v>3336.3594</v>
      </c>
      <c r="H9" s="7">
        <f t="shared" si="2"/>
        <v>3033.054</v>
      </c>
      <c r="I9" s="8">
        <f t="shared" si="3"/>
        <v>30.72294425</v>
      </c>
      <c r="J9" s="8">
        <f t="shared" si="4"/>
        <v>9.216883274</v>
      </c>
      <c r="K9" s="8">
        <f t="shared" si="5"/>
        <v>1.843376655</v>
      </c>
      <c r="L9" s="8">
        <f t="shared" si="6"/>
        <v>6.066108</v>
      </c>
      <c r="M9" s="8">
        <f t="shared" si="7"/>
        <v>9.099162</v>
      </c>
      <c r="N9" s="115">
        <f t="shared" si="8"/>
        <v>3.033054</v>
      </c>
      <c r="O9" s="57">
        <f>SUM('Tabela 1 APS + Leitos Nec.'!R49:R63)</f>
        <v>0</v>
      </c>
      <c r="P9" s="57">
        <f>SUM('Tabela 1 APS + Leitos Nec.'!S49:S63)</f>
        <v>0</v>
      </c>
      <c r="Q9" s="57">
        <f>SUM('Tabela 1 APS + Leitos Nec.'!T49:T63)</f>
        <v>0</v>
      </c>
      <c r="R9" s="57">
        <f>SUM('Tabela 1 APS + Leitos Nec.'!U49:U63)</f>
        <v>0</v>
      </c>
      <c r="S9" s="57">
        <f>SUM('Tabela 1 APS + Leitos Nec.'!V49:V63)</f>
        <v>10</v>
      </c>
      <c r="T9" s="57">
        <f>SUM('Tabela 1 APS + Leitos Nec.'!W49:W63)</f>
        <v>0</v>
      </c>
      <c r="U9" s="57">
        <f>SUM('Tabela 1 APS + Leitos Nec.'!X49:X63)</f>
        <v>0</v>
      </c>
      <c r="V9" s="57">
        <f>SUM('Tabela 1 APS + Leitos Nec.'!Y49:Y63)</f>
        <v>0</v>
      </c>
      <c r="W9" s="61"/>
    </row>
    <row r="10" ht="34.5" customHeight="1">
      <c r="A10" s="106" t="s">
        <v>1247</v>
      </c>
      <c r="B10" s="7">
        <f>SUM('Tabela 1 APS + Leitos Nec.'!E64:E111)</f>
        <v>30995</v>
      </c>
      <c r="C10" s="6">
        <v>31.2</v>
      </c>
      <c r="D10" s="7">
        <f>SUM('Tabela 1 APS + Leitos Nec.'!G64:G111)</f>
        <v>333</v>
      </c>
      <c r="E10" s="6">
        <v>28.47</v>
      </c>
      <c r="F10" s="6">
        <v>53.5</v>
      </c>
      <c r="G10" s="7">
        <f t="shared" si="1"/>
        <v>23457.016</v>
      </c>
      <c r="H10" s="7">
        <f t="shared" si="2"/>
        <v>21324.56</v>
      </c>
      <c r="I10" s="8">
        <f t="shared" si="3"/>
        <v>216.0044852</v>
      </c>
      <c r="J10" s="8">
        <f t="shared" si="4"/>
        <v>64.80134557</v>
      </c>
      <c r="K10" s="8">
        <f t="shared" si="5"/>
        <v>12.96026911</v>
      </c>
      <c r="L10" s="8">
        <f t="shared" si="6"/>
        <v>42.64912</v>
      </c>
      <c r="M10" s="8">
        <f t="shared" si="7"/>
        <v>63.97368</v>
      </c>
      <c r="N10" s="8">
        <f t="shared" si="8"/>
        <v>21.32456</v>
      </c>
      <c r="O10" s="57">
        <f>SUM('Tabela 1 APS + Leitos Nec.'!R64:R111)</f>
        <v>0</v>
      </c>
      <c r="P10" s="57">
        <f>SUM('Tabela 1 APS + Leitos Nec.'!S64:S111)</f>
        <v>0</v>
      </c>
      <c r="Q10" s="57">
        <f>SUM('Tabela 1 APS + Leitos Nec.'!T64:T111)</f>
        <v>0</v>
      </c>
      <c r="R10" s="57">
        <f>SUM('Tabela 1 APS + Leitos Nec.'!U64:U111)</f>
        <v>0</v>
      </c>
      <c r="S10" s="57">
        <f>SUM('Tabela 1 APS + Leitos Nec.'!V64:V111)</f>
        <v>0</v>
      </c>
      <c r="T10" s="57">
        <f>SUM('Tabela 1 APS + Leitos Nec.'!W64:W111)</f>
        <v>0</v>
      </c>
      <c r="U10" s="57">
        <f>SUM('Tabela 1 APS + Leitos Nec.'!X64:X111)</f>
        <v>0</v>
      </c>
      <c r="V10" s="57">
        <f>SUM('Tabela 1 APS + Leitos Nec.'!Y64:Y111)</f>
        <v>0</v>
      </c>
      <c r="W10" s="61"/>
    </row>
    <row r="11" ht="34.5" customHeight="1">
      <c r="A11" s="106" t="s">
        <v>1248</v>
      </c>
      <c r="B11" s="116">
        <f>SUM('Tabela 1 APS + Leitos Nec.'!E112:E179)</f>
        <v>19277</v>
      </c>
      <c r="C11" s="6">
        <v>25.29</v>
      </c>
      <c r="D11" s="7">
        <f>SUM('Tabela 1 APS + Leitos Nec.'!G112:G179)</f>
        <v>333</v>
      </c>
      <c r="E11" s="6">
        <v>39.23</v>
      </c>
      <c r="F11" s="6">
        <v>64.13</v>
      </c>
      <c r="G11" s="7">
        <f t="shared" si="1"/>
        <v>15842.03137</v>
      </c>
      <c r="H11" s="7">
        <f t="shared" si="2"/>
        <v>14401.8467</v>
      </c>
      <c r="I11" s="8">
        <f t="shared" si="3"/>
        <v>145.8817196</v>
      </c>
      <c r="J11" s="8">
        <f t="shared" si="4"/>
        <v>43.76451589</v>
      </c>
      <c r="K11" s="8">
        <f t="shared" si="5"/>
        <v>8.752903177</v>
      </c>
      <c r="L11" s="8">
        <f t="shared" si="6"/>
        <v>28.8036934</v>
      </c>
      <c r="M11" s="8">
        <f t="shared" si="7"/>
        <v>43.2055401</v>
      </c>
      <c r="N11" s="8">
        <f t="shared" si="8"/>
        <v>14.4018467</v>
      </c>
      <c r="O11" s="57">
        <f>SUM('Tabela 1 APS + Leitos Nec.'!R112:R179)</f>
        <v>0</v>
      </c>
      <c r="P11" s="57">
        <f>SUM('Tabela 1 APS + Leitos Nec.'!S112:S179)</f>
        <v>0</v>
      </c>
      <c r="Q11" s="57">
        <f>SUM('Tabela 1 APS + Leitos Nec.'!T112:T179)</f>
        <v>0</v>
      </c>
      <c r="R11" s="57">
        <f>SUM('Tabela 1 APS + Leitos Nec.'!U112:U179)</f>
        <v>0</v>
      </c>
      <c r="S11" s="57">
        <f>SUM('Tabela 1 APS + Leitos Nec.'!V112:V179)</f>
        <v>0</v>
      </c>
      <c r="T11" s="57">
        <f>SUM('Tabela 1 APS + Leitos Nec.'!W112:W179)</f>
        <v>0</v>
      </c>
      <c r="U11" s="57">
        <f>SUM('Tabela 1 APS + Leitos Nec.'!X112:X179)</f>
        <v>0</v>
      </c>
      <c r="V11" s="57">
        <f>SUM('Tabela 1 APS + Leitos Nec.'!Y112:Y179)</f>
        <v>0</v>
      </c>
      <c r="W11" s="61"/>
    </row>
    <row r="12" ht="34.5" customHeight="1">
      <c r="A12" s="106" t="s">
        <v>1249</v>
      </c>
      <c r="B12" s="116">
        <f>SUM('Tabela 1 APS + Leitos Nec.'!E180:E241)</f>
        <v>11660</v>
      </c>
      <c r="C12" s="6">
        <v>22.71</v>
      </c>
      <c r="D12" s="7">
        <f>SUM('Tabela 1 APS + Leitos Nec.'!G180:G241)</f>
        <v>272</v>
      </c>
      <c r="E12" s="6">
        <v>53.76</v>
      </c>
      <c r="F12" s="6">
        <v>77.36</v>
      </c>
      <c r="G12" s="7">
        <f t="shared" si="1"/>
        <v>9913.2154</v>
      </c>
      <c r="H12" s="7">
        <f t="shared" si="2"/>
        <v>9012.014</v>
      </c>
      <c r="I12" s="8">
        <f t="shared" si="3"/>
        <v>91.28607788</v>
      </c>
      <c r="J12" s="8">
        <f t="shared" si="4"/>
        <v>27.38582337</v>
      </c>
      <c r="K12" s="8">
        <f t="shared" si="5"/>
        <v>5.477164673</v>
      </c>
      <c r="L12" s="8">
        <f t="shared" si="6"/>
        <v>18.024028</v>
      </c>
      <c r="M12" s="8">
        <f t="shared" si="7"/>
        <v>27.036042</v>
      </c>
      <c r="N12" s="8">
        <f t="shared" si="8"/>
        <v>9.012014</v>
      </c>
      <c r="O12" s="57">
        <f>SUM('Tabela 1 APS + Leitos Nec.'!R180:R241)</f>
        <v>0</v>
      </c>
      <c r="P12" s="57">
        <f>SUM('Tabela 1 APS + Leitos Nec.'!S180:S241)</f>
        <v>0</v>
      </c>
      <c r="Q12" s="57">
        <f>SUM('Tabela 1 APS + Leitos Nec.'!T180:T241)</f>
        <v>0</v>
      </c>
      <c r="R12" s="57">
        <f>SUM('Tabela 1 APS + Leitos Nec.'!U180:U241)</f>
        <v>0</v>
      </c>
      <c r="S12" s="57">
        <f>SUM('Tabela 1 APS + Leitos Nec.'!V180:V241)</f>
        <v>0</v>
      </c>
      <c r="T12" s="57">
        <f>SUM('Tabela 1 APS + Leitos Nec.'!W180:W241)</f>
        <v>0</v>
      </c>
      <c r="U12" s="57">
        <f>SUM('Tabela 1 APS + Leitos Nec.'!X180:X241)</f>
        <v>0</v>
      </c>
      <c r="V12" s="57">
        <f>SUM('Tabela 1 APS + Leitos Nec.'!Y180:Y241)</f>
        <v>0</v>
      </c>
      <c r="W12" s="61"/>
    </row>
    <row r="13" ht="34.5" customHeight="1">
      <c r="A13" s="106" t="s">
        <v>1250</v>
      </c>
      <c r="B13" s="116">
        <f>SUM('Tabela 1 APS + Leitos Nec.'!E242:E286)</f>
        <v>7764</v>
      </c>
      <c r="C13" s="6">
        <v>25.53</v>
      </c>
      <c r="D13" s="7">
        <f>SUM('Tabela 1 APS + Leitos Nec.'!G242:G286)</f>
        <v>221</v>
      </c>
      <c r="E13" s="6">
        <v>63.54</v>
      </c>
      <c r="F13" s="6">
        <v>72.74</v>
      </c>
      <c r="G13" s="7">
        <f t="shared" si="1"/>
        <v>6360.03588</v>
      </c>
      <c r="H13" s="7">
        <f t="shared" si="2"/>
        <v>5781.8508</v>
      </c>
      <c r="I13" s="8">
        <f t="shared" si="3"/>
        <v>58.56654045</v>
      </c>
      <c r="J13" s="8">
        <f t="shared" si="4"/>
        <v>17.56996213</v>
      </c>
      <c r="K13" s="8">
        <f t="shared" si="5"/>
        <v>3.513992427</v>
      </c>
      <c r="L13" s="8">
        <f t="shared" si="6"/>
        <v>11.5637016</v>
      </c>
      <c r="M13" s="8">
        <f t="shared" si="7"/>
        <v>17.3455524</v>
      </c>
      <c r="N13" s="8">
        <f t="shared" si="8"/>
        <v>5.7818508</v>
      </c>
      <c r="O13" s="57">
        <v>0.0</v>
      </c>
      <c r="P13" s="57">
        <v>0.0</v>
      </c>
      <c r="Q13" s="57">
        <v>0.0</v>
      </c>
      <c r="R13" s="57">
        <v>1.0</v>
      </c>
      <c r="S13" s="57">
        <v>1.0</v>
      </c>
      <c r="T13" s="57">
        <v>0.0</v>
      </c>
      <c r="U13" s="57">
        <v>0.0</v>
      </c>
      <c r="V13" s="57">
        <v>1.0</v>
      </c>
      <c r="W13" s="17"/>
    </row>
    <row r="14" ht="34.5" customHeight="1">
      <c r="A14" s="106" t="s">
        <v>1251</v>
      </c>
      <c r="B14" s="116">
        <f>SUM('Tabela 1 APS + Leitos Nec.'!E287:E326)</f>
        <v>7449</v>
      </c>
      <c r="C14" s="6">
        <v>24.94</v>
      </c>
      <c r="D14" s="7">
        <f>SUM('Tabela 1 APS + Leitos Nec.'!G287:G326)</f>
        <v>118</v>
      </c>
      <c r="E14" s="6">
        <v>73.28</v>
      </c>
      <c r="F14" s="6">
        <v>85.53</v>
      </c>
      <c r="G14" s="7">
        <f t="shared" si="1"/>
        <v>6150.34134</v>
      </c>
      <c r="H14" s="7">
        <f t="shared" si="2"/>
        <v>5591.2194</v>
      </c>
      <c r="I14" s="8">
        <f t="shared" si="3"/>
        <v>56.63556333</v>
      </c>
      <c r="J14" s="8">
        <f t="shared" si="4"/>
        <v>16.990669</v>
      </c>
      <c r="K14" s="8">
        <f t="shared" si="5"/>
        <v>3.3981338</v>
      </c>
      <c r="L14" s="8">
        <f t="shared" si="6"/>
        <v>11.1824388</v>
      </c>
      <c r="M14" s="8">
        <f t="shared" si="7"/>
        <v>16.7736582</v>
      </c>
      <c r="N14" s="8">
        <f t="shared" si="8"/>
        <v>5.5912194</v>
      </c>
      <c r="O14" s="57">
        <v>1.0</v>
      </c>
      <c r="P14" s="57">
        <v>0.0</v>
      </c>
      <c r="Q14" s="57">
        <v>0.0</v>
      </c>
      <c r="R14" s="57">
        <v>1.0</v>
      </c>
      <c r="S14" s="57">
        <v>1.0</v>
      </c>
      <c r="T14" s="57">
        <v>0.0</v>
      </c>
      <c r="U14" s="57">
        <v>0.0</v>
      </c>
      <c r="V14" s="57">
        <v>2.0</v>
      </c>
      <c r="W14" s="61"/>
    </row>
    <row r="15" ht="34.5" customHeight="1">
      <c r="A15" s="106" t="s">
        <v>1252</v>
      </c>
      <c r="B15" s="116">
        <f>SUM('Tabela 1 APS + Leitos Nec.'!E327:E428)</f>
        <v>17021</v>
      </c>
      <c r="C15" s="6">
        <v>32.42</v>
      </c>
      <c r="D15" s="7">
        <f>SUM('Tabela 1 APS + Leitos Nec.'!G327:G428)</f>
        <v>321</v>
      </c>
      <c r="E15" s="6">
        <v>49.7</v>
      </c>
      <c r="F15" s="6">
        <v>69.31</v>
      </c>
      <c r="G15" s="7">
        <f t="shared" si="1"/>
        <v>12653.07098</v>
      </c>
      <c r="H15" s="7">
        <f t="shared" si="2"/>
        <v>11502.7918</v>
      </c>
      <c r="I15" s="8">
        <f t="shared" si="3"/>
        <v>116.5161026</v>
      </c>
      <c r="J15" s="8">
        <f t="shared" si="4"/>
        <v>34.95483079</v>
      </c>
      <c r="K15" s="8">
        <f t="shared" si="5"/>
        <v>6.990966158</v>
      </c>
      <c r="L15" s="8">
        <f t="shared" si="6"/>
        <v>23.0055836</v>
      </c>
      <c r="M15" s="8">
        <f t="shared" si="7"/>
        <v>34.5083754</v>
      </c>
      <c r="N15" s="8">
        <f t="shared" si="8"/>
        <v>11.5027918</v>
      </c>
      <c r="O15" s="57">
        <v>3.0</v>
      </c>
      <c r="P15" s="57">
        <v>0.0</v>
      </c>
      <c r="Q15" s="57">
        <v>0.0</v>
      </c>
      <c r="R15" s="57">
        <v>0.0</v>
      </c>
      <c r="S15" s="57">
        <v>1.0</v>
      </c>
      <c r="T15" s="57">
        <v>0.0</v>
      </c>
      <c r="U15" s="57">
        <v>1.0</v>
      </c>
      <c r="V15" s="57">
        <v>4.0</v>
      </c>
      <c r="W15" s="61"/>
    </row>
    <row r="16" ht="34.5" customHeight="1">
      <c r="A16" s="106" t="s">
        <v>1253</v>
      </c>
      <c r="B16" s="116">
        <f>SUM('Tabela 1 APS + Leitos Nec.'!E429:E446)</f>
        <v>4663</v>
      </c>
      <c r="C16" s="6">
        <v>30.63</v>
      </c>
      <c r="D16" s="7">
        <f>SUM('Tabela 1 APS + Leitos Nec.'!G429:G446)</f>
        <v>95</v>
      </c>
      <c r="E16" s="6">
        <v>57.72</v>
      </c>
      <c r="F16" s="6">
        <v>73.93</v>
      </c>
      <c r="G16" s="7">
        <f t="shared" si="1"/>
        <v>3558.19541</v>
      </c>
      <c r="H16" s="7">
        <f t="shared" si="2"/>
        <v>3234.7231</v>
      </c>
      <c r="I16" s="8">
        <f t="shared" si="3"/>
        <v>32.76572638</v>
      </c>
      <c r="J16" s="8">
        <f t="shared" si="4"/>
        <v>9.829717913</v>
      </c>
      <c r="K16" s="8">
        <f t="shared" si="5"/>
        <v>1.965943583</v>
      </c>
      <c r="L16" s="8">
        <f t="shared" si="6"/>
        <v>6.4694462</v>
      </c>
      <c r="M16" s="8">
        <f t="shared" si="7"/>
        <v>9.7041693</v>
      </c>
      <c r="N16" s="8">
        <f t="shared" si="8"/>
        <v>3.2347231</v>
      </c>
      <c r="O16" s="57">
        <v>0.0</v>
      </c>
      <c r="P16" s="57">
        <f t="shared" ref="P16:Q16" si="9">SUM(P15)</f>
        <v>0</v>
      </c>
      <c r="Q16" s="57">
        <f t="shared" si="9"/>
        <v>0</v>
      </c>
      <c r="R16" s="57">
        <v>0.0</v>
      </c>
      <c r="S16" s="57">
        <v>0.0</v>
      </c>
      <c r="T16" s="57">
        <f>SUM(T15)</f>
        <v>0</v>
      </c>
      <c r="U16" s="57">
        <v>0.0</v>
      </c>
      <c r="V16" s="57">
        <v>0.0</v>
      </c>
      <c r="W16" s="61"/>
    </row>
    <row r="17" ht="34.5" customHeight="1">
      <c r="A17" s="106" t="s">
        <v>1254</v>
      </c>
      <c r="B17" s="44">
        <f>SUM('Tabela 1 APS + Leitos Nec.'!E447:E468)</f>
        <v>7926</v>
      </c>
      <c r="C17" s="43">
        <v>33.45</v>
      </c>
      <c r="D17" s="44">
        <f>SUM('Tabela 1 APS + Leitos Nec.'!G447:G468)</f>
        <v>125</v>
      </c>
      <c r="E17" s="43">
        <v>35.3</v>
      </c>
      <c r="F17" s="43">
        <v>49.18</v>
      </c>
      <c r="G17" s="44">
        <f t="shared" si="1"/>
        <v>5802.2283</v>
      </c>
      <c r="H17" s="44">
        <f t="shared" si="2"/>
        <v>5274.753</v>
      </c>
      <c r="I17" s="8">
        <f t="shared" si="3"/>
        <v>53.42995619</v>
      </c>
      <c r="J17" s="8">
        <f t="shared" si="4"/>
        <v>16.02898686</v>
      </c>
      <c r="K17" s="8">
        <f t="shared" si="5"/>
        <v>3.205797371</v>
      </c>
      <c r="L17" s="8">
        <f t="shared" si="6"/>
        <v>10.549506</v>
      </c>
      <c r="M17" s="8">
        <f t="shared" si="7"/>
        <v>15.824259</v>
      </c>
      <c r="N17" s="8">
        <f t="shared" si="8"/>
        <v>5.274753</v>
      </c>
      <c r="O17" s="57">
        <v>0.0</v>
      </c>
      <c r="P17" s="57">
        <f t="shared" ref="P17:Q17" si="10">SUM(P15:P16)</f>
        <v>0</v>
      </c>
      <c r="Q17" s="57">
        <f t="shared" si="10"/>
        <v>0</v>
      </c>
      <c r="R17" s="57">
        <v>0.0</v>
      </c>
      <c r="S17" s="57">
        <v>0.0</v>
      </c>
      <c r="T17" s="57">
        <f>SUM(T15:T16)</f>
        <v>0</v>
      </c>
      <c r="U17" s="57">
        <v>0.0</v>
      </c>
      <c r="V17" s="57">
        <v>0.0</v>
      </c>
      <c r="W17" s="73"/>
    </row>
    <row r="18" ht="34.5" customHeight="1">
      <c r="A18" s="106" t="s">
        <v>1255</v>
      </c>
      <c r="B18" s="44">
        <f>SUM('Tabela 1 APS + Leitos Nec.'!E469:E494)</f>
        <v>15654</v>
      </c>
      <c r="C18" s="43">
        <v>40.82</v>
      </c>
      <c r="D18" s="44">
        <f>SUM('Tabela 1 APS + Leitos Nec.'!G469:G494)</f>
        <v>183</v>
      </c>
      <c r="E18" s="43">
        <v>28.54</v>
      </c>
      <c r="F18" s="43">
        <v>65.88</v>
      </c>
      <c r="G18" s="44">
        <f t="shared" si="1"/>
        <v>10190.44092</v>
      </c>
      <c r="H18" s="44">
        <f t="shared" si="2"/>
        <v>9264.0372</v>
      </c>
      <c r="I18" s="8">
        <f t="shared" si="3"/>
        <v>93.83891563</v>
      </c>
      <c r="J18" s="8">
        <f t="shared" si="4"/>
        <v>28.15167469</v>
      </c>
      <c r="K18" s="8">
        <f t="shared" si="5"/>
        <v>5.630334938</v>
      </c>
      <c r="L18" s="8">
        <f t="shared" si="6"/>
        <v>18.5280744</v>
      </c>
      <c r="M18" s="8">
        <f t="shared" si="7"/>
        <v>27.7921116</v>
      </c>
      <c r="N18" s="8">
        <f t="shared" si="8"/>
        <v>9.2640372</v>
      </c>
      <c r="O18" s="57">
        <v>0.0</v>
      </c>
      <c r="P18" s="57">
        <f t="shared" ref="P18:Q18" si="11">SUM(P17)</f>
        <v>0</v>
      </c>
      <c r="Q18" s="57">
        <f t="shared" si="11"/>
        <v>0</v>
      </c>
      <c r="R18" s="57">
        <v>0.0</v>
      </c>
      <c r="S18" s="57">
        <v>0.0</v>
      </c>
      <c r="T18" s="57">
        <f t="shared" ref="T18:T24" si="13">SUM(T17)</f>
        <v>0</v>
      </c>
      <c r="U18" s="57">
        <v>0.0</v>
      </c>
      <c r="V18" s="57">
        <v>0.0</v>
      </c>
      <c r="W18" s="61"/>
    </row>
    <row r="19" ht="34.5" customHeight="1">
      <c r="A19" s="106" t="s">
        <v>1256</v>
      </c>
      <c r="B19" s="44">
        <f>SUM('Tabela 1 APS + Leitos Nec.'!E495:E520)</f>
        <v>16935</v>
      </c>
      <c r="C19" s="43">
        <v>44.54</v>
      </c>
      <c r="D19" s="44">
        <f>SUM('Tabela 1 APS + Leitos Nec.'!G495:G520)</f>
        <v>257</v>
      </c>
      <c r="E19" s="43">
        <v>35.66</v>
      </c>
      <c r="F19" s="43">
        <v>53.4</v>
      </c>
      <c r="G19" s="44">
        <f t="shared" si="1"/>
        <v>10331.3661</v>
      </c>
      <c r="H19" s="44">
        <f t="shared" si="2"/>
        <v>9392.151</v>
      </c>
      <c r="I19" s="8">
        <f t="shared" si="3"/>
        <v>95.13662847</v>
      </c>
      <c r="J19" s="8">
        <f t="shared" si="4"/>
        <v>28.54098854</v>
      </c>
      <c r="K19" s="8">
        <f t="shared" si="5"/>
        <v>5.708197708</v>
      </c>
      <c r="L19" s="8">
        <f t="shared" si="6"/>
        <v>18.784302</v>
      </c>
      <c r="M19" s="8">
        <f t="shared" si="7"/>
        <v>28.176453</v>
      </c>
      <c r="N19" s="8">
        <f t="shared" si="8"/>
        <v>9.392151</v>
      </c>
      <c r="O19" s="57">
        <v>0.0</v>
      </c>
      <c r="P19" s="57">
        <f t="shared" ref="P19:Q19" si="12">SUM(P18)</f>
        <v>0</v>
      </c>
      <c r="Q19" s="57">
        <f t="shared" si="12"/>
        <v>0</v>
      </c>
      <c r="R19" s="57">
        <v>0.0</v>
      </c>
      <c r="S19" s="57">
        <v>0.0</v>
      </c>
      <c r="T19" s="57">
        <f t="shared" si="13"/>
        <v>0</v>
      </c>
      <c r="U19" s="57">
        <v>0.0</v>
      </c>
      <c r="V19" s="57">
        <v>0.0</v>
      </c>
      <c r="W19" s="61"/>
    </row>
    <row r="20" ht="34.5" customHeight="1">
      <c r="A20" s="106" t="s">
        <v>1257</v>
      </c>
      <c r="B20" s="44">
        <f>SUM('Tabela 1 APS + Leitos Nec.'!E521:E544)</f>
        <v>36355</v>
      </c>
      <c r="C20" s="43">
        <v>45.4</v>
      </c>
      <c r="D20" s="44">
        <f>SUM('Tabela 1 APS + Leitos Nec.'!G521:G544)</f>
        <v>321</v>
      </c>
      <c r="E20" s="43">
        <v>39.08</v>
      </c>
      <c r="F20" s="43">
        <v>59.8</v>
      </c>
      <c r="G20" s="44">
        <f t="shared" si="1"/>
        <v>21834.813</v>
      </c>
      <c r="H20" s="44">
        <f t="shared" si="2"/>
        <v>19849.83</v>
      </c>
      <c r="I20" s="8">
        <f t="shared" si="3"/>
        <v>201.0663906</v>
      </c>
      <c r="J20" s="8">
        <f t="shared" si="4"/>
        <v>60.31991719</v>
      </c>
      <c r="K20" s="8">
        <f t="shared" si="5"/>
        <v>12.06398344</v>
      </c>
      <c r="L20" s="8">
        <f t="shared" si="6"/>
        <v>39.69966</v>
      </c>
      <c r="M20" s="8">
        <f t="shared" si="7"/>
        <v>59.54949</v>
      </c>
      <c r="N20" s="8">
        <f t="shared" si="8"/>
        <v>19.84983</v>
      </c>
      <c r="O20" s="57">
        <v>0.0</v>
      </c>
      <c r="P20" s="57">
        <f t="shared" ref="P20:Q20" si="14">SUM(P19)</f>
        <v>0</v>
      </c>
      <c r="Q20" s="57">
        <f t="shared" si="14"/>
        <v>0</v>
      </c>
      <c r="R20" s="57">
        <v>0.0</v>
      </c>
      <c r="S20" s="57">
        <v>0.0</v>
      </c>
      <c r="T20" s="57">
        <f t="shared" si="13"/>
        <v>0</v>
      </c>
      <c r="U20" s="57">
        <v>0.0</v>
      </c>
      <c r="V20" s="57">
        <v>0.0</v>
      </c>
      <c r="W20" s="61"/>
    </row>
    <row r="21" ht="34.5" customHeight="1">
      <c r="A21" s="106" t="s">
        <v>1258</v>
      </c>
      <c r="B21" s="44">
        <f>SUM('Tabela 1 APS + Leitos Nec.'!E545:E564)</f>
        <v>8477</v>
      </c>
      <c r="C21" s="43">
        <v>31.45</v>
      </c>
      <c r="D21" s="44">
        <f>SUM('Tabela 1 APS + Leitos Nec.'!G545:G564)</f>
        <v>152</v>
      </c>
      <c r="E21" s="43">
        <v>39.16</v>
      </c>
      <c r="F21" s="43">
        <v>57.55</v>
      </c>
      <c r="G21" s="44">
        <f t="shared" si="1"/>
        <v>6392.08185</v>
      </c>
      <c r="H21" s="44">
        <f t="shared" si="2"/>
        <v>5810.9835</v>
      </c>
      <c r="I21" s="8">
        <f t="shared" si="3"/>
        <v>58.86163652</v>
      </c>
      <c r="J21" s="8">
        <f t="shared" si="4"/>
        <v>17.65849096</v>
      </c>
      <c r="K21" s="8">
        <f t="shared" si="5"/>
        <v>3.531698191</v>
      </c>
      <c r="L21" s="8">
        <f t="shared" si="6"/>
        <v>11.621967</v>
      </c>
      <c r="M21" s="8">
        <f t="shared" si="7"/>
        <v>17.4329505</v>
      </c>
      <c r="N21" s="8">
        <f t="shared" si="8"/>
        <v>5.8109835</v>
      </c>
      <c r="O21" s="57">
        <v>0.0</v>
      </c>
      <c r="P21" s="57">
        <f t="shared" ref="P21:Q21" si="15">SUM(P20)</f>
        <v>0</v>
      </c>
      <c r="Q21" s="57">
        <f t="shared" si="15"/>
        <v>0</v>
      </c>
      <c r="R21" s="57">
        <v>0.0</v>
      </c>
      <c r="S21" s="57">
        <v>0.0</v>
      </c>
      <c r="T21" s="57">
        <f t="shared" si="13"/>
        <v>0</v>
      </c>
      <c r="U21" s="57">
        <v>0.0</v>
      </c>
      <c r="V21" s="57">
        <v>0.0</v>
      </c>
      <c r="W21" s="61"/>
    </row>
    <row r="22" ht="34.5" customHeight="1">
      <c r="A22" s="106" t="s">
        <v>1259</v>
      </c>
      <c r="B22" s="44">
        <f>SUM('Tabela 1 APS + Leitos Nec.'!E565:E582)</f>
        <v>16244</v>
      </c>
      <c r="C22" s="43">
        <v>44.27</v>
      </c>
      <c r="D22" s="44">
        <f>SUM('Tabela 1 APS + Leitos Nec.'!G565:G582)</f>
        <v>163</v>
      </c>
      <c r="E22" s="43">
        <v>19.18</v>
      </c>
      <c r="F22" s="43">
        <v>53.96</v>
      </c>
      <c r="G22" s="44">
        <f t="shared" si="1"/>
        <v>9958.05932</v>
      </c>
      <c r="H22" s="44">
        <f t="shared" si="2"/>
        <v>9052.7812</v>
      </c>
      <c r="I22" s="8">
        <f t="shared" si="3"/>
        <v>91.69902418</v>
      </c>
      <c r="J22" s="8">
        <f t="shared" si="4"/>
        <v>27.50970725</v>
      </c>
      <c r="K22" s="8">
        <f t="shared" si="5"/>
        <v>5.501941451</v>
      </c>
      <c r="L22" s="8">
        <f t="shared" si="6"/>
        <v>18.1055624</v>
      </c>
      <c r="M22" s="8">
        <f t="shared" si="7"/>
        <v>27.1583436</v>
      </c>
      <c r="N22" s="8">
        <f t="shared" si="8"/>
        <v>9.0527812</v>
      </c>
      <c r="O22" s="57">
        <v>0.0</v>
      </c>
      <c r="P22" s="57">
        <f t="shared" ref="P22:Q22" si="16">SUM(P21)</f>
        <v>0</v>
      </c>
      <c r="Q22" s="57">
        <f t="shared" si="16"/>
        <v>0</v>
      </c>
      <c r="R22" s="57">
        <v>0.0</v>
      </c>
      <c r="S22" s="57">
        <v>0.0</v>
      </c>
      <c r="T22" s="57">
        <f t="shared" si="13"/>
        <v>0</v>
      </c>
      <c r="U22" s="57">
        <v>0.0</v>
      </c>
      <c r="V22" s="57">
        <v>0.0</v>
      </c>
      <c r="W22" s="61"/>
    </row>
    <row r="23" ht="34.5" customHeight="1">
      <c r="A23" s="106" t="s">
        <v>1260</v>
      </c>
      <c r="B23" s="44">
        <f>SUM('Tabela 1 APS + Leitos Nec.'!E583:E621)</f>
        <v>28864</v>
      </c>
      <c r="C23" s="43">
        <v>31.37</v>
      </c>
      <c r="D23" s="44">
        <f>SUM('Tabela 1 APS + Leitos Nec.'!G583:G621)</f>
        <v>412</v>
      </c>
      <c r="E23" s="43">
        <v>44.55</v>
      </c>
      <c r="F23" s="43">
        <v>68.03</v>
      </c>
      <c r="G23" s="44">
        <f t="shared" si="1"/>
        <v>21790.29952</v>
      </c>
      <c r="H23" s="44">
        <f t="shared" si="2"/>
        <v>19809.3632</v>
      </c>
      <c r="I23" s="8">
        <f t="shared" si="3"/>
        <v>200.6564872</v>
      </c>
      <c r="J23" s="8">
        <f t="shared" si="4"/>
        <v>60.19694616</v>
      </c>
      <c r="K23" s="8">
        <f t="shared" si="5"/>
        <v>12.03938923</v>
      </c>
      <c r="L23" s="8">
        <f t="shared" si="6"/>
        <v>39.6187264</v>
      </c>
      <c r="M23" s="8">
        <f t="shared" si="7"/>
        <v>59.4280896</v>
      </c>
      <c r="N23" s="8">
        <f t="shared" si="8"/>
        <v>19.8093632</v>
      </c>
      <c r="O23" s="57">
        <v>0.0</v>
      </c>
      <c r="P23" s="57">
        <f t="shared" ref="P23:Q23" si="17">SUM(P22)</f>
        <v>0</v>
      </c>
      <c r="Q23" s="57">
        <f t="shared" si="17"/>
        <v>0</v>
      </c>
      <c r="R23" s="57">
        <v>0.0</v>
      </c>
      <c r="S23" s="57">
        <v>0.0</v>
      </c>
      <c r="T23" s="57">
        <f t="shared" si="13"/>
        <v>0</v>
      </c>
      <c r="U23" s="57">
        <v>0.0</v>
      </c>
      <c r="V23" s="57">
        <v>0.0</v>
      </c>
      <c r="W23" s="61"/>
    </row>
    <row r="24" ht="34.5" customHeight="1">
      <c r="A24" s="106" t="s">
        <v>1261</v>
      </c>
      <c r="B24" s="44">
        <f>SUM('Tabela 1 APS + Leitos Nec.'!E622:E645)</f>
        <v>10385.66667</v>
      </c>
      <c r="C24" s="43">
        <v>40.14</v>
      </c>
      <c r="D24" s="44">
        <f>SUM('Tabela 1 APS + Leitos Nec.'!G622:G645)</f>
        <v>182</v>
      </c>
      <c r="E24" s="43">
        <v>30.96</v>
      </c>
      <c r="F24" s="43">
        <v>59.35</v>
      </c>
      <c r="G24" s="44">
        <f t="shared" si="1"/>
        <v>6838.546073</v>
      </c>
      <c r="H24" s="44">
        <f t="shared" si="2"/>
        <v>6216.860067</v>
      </c>
      <c r="I24" s="8">
        <f t="shared" si="3"/>
        <v>62.97291285</v>
      </c>
      <c r="J24" s="8">
        <f t="shared" si="4"/>
        <v>18.89187386</v>
      </c>
      <c r="K24" s="8">
        <f t="shared" si="5"/>
        <v>3.778374771</v>
      </c>
      <c r="L24" s="8">
        <f t="shared" si="6"/>
        <v>12.43372013</v>
      </c>
      <c r="M24" s="8">
        <f t="shared" si="7"/>
        <v>18.6505802</v>
      </c>
      <c r="N24" s="8">
        <f t="shared" si="8"/>
        <v>6.216860067</v>
      </c>
      <c r="O24" s="57">
        <v>0.0</v>
      </c>
      <c r="P24" s="57">
        <f t="shared" ref="P24:Q24" si="18">SUM(P23)</f>
        <v>0</v>
      </c>
      <c r="Q24" s="57">
        <f t="shared" si="18"/>
        <v>0</v>
      </c>
      <c r="R24" s="57">
        <v>0.0</v>
      </c>
      <c r="S24" s="57">
        <v>0.0</v>
      </c>
      <c r="T24" s="57">
        <f t="shared" si="13"/>
        <v>0</v>
      </c>
      <c r="U24" s="57">
        <v>0.0</v>
      </c>
      <c r="V24" s="57">
        <v>0.0</v>
      </c>
      <c r="W24" s="61"/>
    </row>
    <row r="25" ht="14.25" customHeight="1">
      <c r="B25" s="75"/>
      <c r="C25" s="75"/>
      <c r="D25" s="75"/>
      <c r="E25" s="75"/>
      <c r="F25" s="75"/>
      <c r="G25" s="75"/>
      <c r="H25" s="75"/>
    </row>
    <row r="26" ht="14.25" customHeight="1">
      <c r="B26" s="75"/>
      <c r="C26" s="75"/>
      <c r="D26" s="75"/>
      <c r="E26" s="75"/>
      <c r="F26" s="75"/>
      <c r="G26" s="75"/>
      <c r="H26" s="75"/>
    </row>
    <row r="27" ht="14.25" customHeight="1">
      <c r="B27" s="75"/>
      <c r="C27" s="75"/>
      <c r="D27" s="75"/>
      <c r="E27" s="75"/>
      <c r="F27" s="75"/>
      <c r="G27" s="75"/>
      <c r="H27" s="75"/>
    </row>
    <row r="28" ht="14.25" customHeight="1">
      <c r="B28" s="75"/>
      <c r="C28" s="75"/>
      <c r="D28" s="75"/>
      <c r="E28" s="75"/>
      <c r="F28" s="75"/>
      <c r="G28" s="75"/>
      <c r="H28" s="75"/>
    </row>
    <row r="29" ht="14.25" customHeight="1">
      <c r="B29" s="75"/>
      <c r="C29" s="75"/>
      <c r="D29" s="75"/>
      <c r="E29" s="75"/>
      <c r="F29" s="75"/>
      <c r="G29" s="75"/>
      <c r="H29" s="75"/>
    </row>
    <row r="30" ht="14.25" customHeight="1">
      <c r="B30" s="75"/>
      <c r="C30" s="75"/>
      <c r="D30" s="75"/>
      <c r="E30" s="75"/>
      <c r="F30" s="75"/>
      <c r="G30" s="75"/>
      <c r="H30" s="75"/>
    </row>
    <row r="31" ht="14.25" customHeight="1">
      <c r="B31" s="75"/>
      <c r="C31" s="75"/>
      <c r="D31" s="75"/>
      <c r="E31" s="75"/>
      <c r="F31" s="75"/>
      <c r="G31" s="75"/>
      <c r="H31" s="75"/>
    </row>
    <row r="32" ht="14.25" customHeight="1">
      <c r="B32" s="75"/>
      <c r="C32" s="75"/>
      <c r="D32" s="75"/>
      <c r="E32" s="75"/>
      <c r="F32" s="75"/>
      <c r="G32" s="75"/>
      <c r="H32" s="75"/>
    </row>
    <row r="33" ht="14.25" customHeight="1">
      <c r="B33" s="75"/>
      <c r="C33" s="75"/>
      <c r="D33" s="75"/>
      <c r="E33" s="75"/>
      <c r="F33" s="75"/>
      <c r="G33" s="75"/>
      <c r="H33" s="75"/>
    </row>
    <row r="34" ht="14.25" customHeight="1">
      <c r="B34" s="75"/>
      <c r="C34" s="75"/>
      <c r="D34" s="75"/>
      <c r="E34" s="75"/>
      <c r="F34" s="75"/>
      <c r="G34" s="75"/>
      <c r="H34" s="75"/>
    </row>
    <row r="35" ht="14.25" customHeight="1">
      <c r="B35" s="75"/>
      <c r="C35" s="75"/>
      <c r="D35" s="75"/>
      <c r="E35" s="75"/>
      <c r="F35" s="75"/>
      <c r="G35" s="75"/>
      <c r="H35" s="75"/>
    </row>
    <row r="36" ht="14.25" customHeight="1">
      <c r="B36" s="75"/>
      <c r="C36" s="75"/>
      <c r="D36" s="75"/>
      <c r="E36" s="75"/>
      <c r="F36" s="75"/>
      <c r="G36" s="75"/>
      <c r="H36" s="75"/>
    </row>
    <row r="37" ht="14.25" customHeight="1">
      <c r="B37" s="75"/>
      <c r="C37" s="75"/>
      <c r="D37" s="75"/>
      <c r="E37" s="75"/>
      <c r="F37" s="75"/>
      <c r="G37" s="75"/>
      <c r="H37" s="75"/>
    </row>
    <row r="38" ht="14.25" customHeight="1">
      <c r="B38" s="75"/>
      <c r="C38" s="75"/>
      <c r="D38" s="75"/>
      <c r="E38" s="75"/>
      <c r="F38" s="75"/>
      <c r="G38" s="75"/>
      <c r="H38" s="75"/>
    </row>
    <row r="39" ht="14.25" customHeight="1">
      <c r="B39" s="75"/>
      <c r="C39" s="75"/>
      <c r="D39" s="75"/>
      <c r="E39" s="75"/>
      <c r="F39" s="75"/>
      <c r="G39" s="75"/>
      <c r="H39" s="75"/>
    </row>
    <row r="40" ht="14.25" customHeight="1">
      <c r="B40" s="75"/>
      <c r="C40" s="75"/>
      <c r="D40" s="75"/>
      <c r="E40" s="75"/>
      <c r="F40" s="75"/>
      <c r="G40" s="75"/>
      <c r="H40" s="75"/>
    </row>
    <row r="41" ht="14.25" customHeight="1">
      <c r="B41" s="75"/>
      <c r="C41" s="75"/>
      <c r="D41" s="75"/>
      <c r="E41" s="75"/>
      <c r="F41" s="75"/>
      <c r="G41" s="75"/>
      <c r="H41" s="75"/>
    </row>
    <row r="42" ht="14.25" customHeight="1">
      <c r="B42" s="75"/>
      <c r="C42" s="75"/>
      <c r="D42" s="75"/>
      <c r="E42" s="75"/>
      <c r="F42" s="75"/>
      <c r="G42" s="75"/>
      <c r="H42" s="75"/>
    </row>
    <row r="43" ht="14.25" customHeight="1">
      <c r="B43" s="75"/>
      <c r="C43" s="75"/>
      <c r="D43" s="75"/>
      <c r="E43" s="75"/>
      <c r="F43" s="75"/>
      <c r="G43" s="75"/>
      <c r="H43" s="75"/>
    </row>
    <row r="44" ht="14.25" customHeight="1">
      <c r="B44" s="75"/>
      <c r="C44" s="75"/>
      <c r="D44" s="75"/>
      <c r="E44" s="75"/>
      <c r="F44" s="75"/>
      <c r="G44" s="75"/>
      <c r="H44" s="75"/>
    </row>
    <row r="45" ht="14.25" customHeight="1">
      <c r="B45" s="75"/>
      <c r="C45" s="75"/>
      <c r="D45" s="75"/>
      <c r="E45" s="75"/>
      <c r="F45" s="75"/>
      <c r="G45" s="75"/>
      <c r="H45" s="75"/>
    </row>
    <row r="46" ht="14.25" customHeight="1">
      <c r="B46" s="75"/>
      <c r="C46" s="75"/>
      <c r="D46" s="75"/>
      <c r="E46" s="75"/>
      <c r="F46" s="75"/>
      <c r="G46" s="75"/>
      <c r="H46" s="75"/>
    </row>
    <row r="47" ht="14.25" customHeight="1">
      <c r="B47" s="75"/>
      <c r="C47" s="75"/>
      <c r="D47" s="75"/>
      <c r="E47" s="75"/>
      <c r="F47" s="75"/>
      <c r="G47" s="75"/>
      <c r="H47" s="75"/>
    </row>
    <row r="48" ht="14.25" customHeight="1">
      <c r="B48" s="75"/>
      <c r="C48" s="75"/>
      <c r="D48" s="75"/>
      <c r="E48" s="75"/>
      <c r="F48" s="75"/>
      <c r="G48" s="75"/>
      <c r="H48" s="75"/>
    </row>
    <row r="49" ht="14.25" customHeight="1">
      <c r="B49" s="75"/>
      <c r="C49" s="75"/>
      <c r="D49" s="75"/>
      <c r="E49" s="75"/>
      <c r="F49" s="75"/>
      <c r="G49" s="75"/>
      <c r="H49" s="75"/>
    </row>
    <row r="50" ht="14.25" customHeight="1">
      <c r="B50" s="75"/>
      <c r="C50" s="75"/>
      <c r="D50" s="75"/>
      <c r="E50" s="75"/>
      <c r="F50" s="75"/>
      <c r="G50" s="75"/>
      <c r="H50" s="75"/>
    </row>
    <row r="51" ht="14.25" customHeight="1">
      <c r="B51" s="75"/>
      <c r="C51" s="75"/>
      <c r="D51" s="75"/>
      <c r="E51" s="75"/>
      <c r="F51" s="75"/>
      <c r="G51" s="75"/>
      <c r="H51" s="75"/>
    </row>
    <row r="52" ht="14.25" customHeight="1">
      <c r="B52" s="75"/>
      <c r="C52" s="75"/>
      <c r="D52" s="75"/>
      <c r="E52" s="75"/>
      <c r="F52" s="75"/>
      <c r="G52" s="75"/>
      <c r="H52" s="75"/>
    </row>
    <row r="53" ht="14.25" customHeight="1">
      <c r="B53" s="75"/>
      <c r="C53" s="75"/>
      <c r="D53" s="75"/>
      <c r="E53" s="75"/>
      <c r="F53" s="75"/>
      <c r="G53" s="75"/>
      <c r="H53" s="75"/>
    </row>
    <row r="54" ht="14.25" customHeight="1">
      <c r="B54" s="75"/>
      <c r="C54" s="75"/>
      <c r="D54" s="75"/>
      <c r="E54" s="75"/>
      <c r="F54" s="75"/>
      <c r="G54" s="75"/>
      <c r="H54" s="75"/>
    </row>
    <row r="55" ht="14.25" customHeight="1">
      <c r="B55" s="75"/>
      <c r="C55" s="75"/>
      <c r="D55" s="75"/>
      <c r="E55" s="75"/>
      <c r="F55" s="75"/>
      <c r="G55" s="75"/>
      <c r="H55" s="75"/>
    </row>
    <row r="56" ht="14.25" customHeight="1">
      <c r="B56" s="75"/>
      <c r="C56" s="75"/>
      <c r="D56" s="75"/>
      <c r="E56" s="75"/>
      <c r="F56" s="75"/>
      <c r="G56" s="75"/>
      <c r="H56" s="75"/>
    </row>
    <row r="57" ht="14.25" customHeight="1">
      <c r="B57" s="75"/>
      <c r="C57" s="75"/>
      <c r="D57" s="75"/>
      <c r="E57" s="75"/>
      <c r="F57" s="75"/>
      <c r="G57" s="75"/>
      <c r="H57" s="75"/>
    </row>
    <row r="58" ht="14.25" customHeight="1">
      <c r="B58" s="75"/>
      <c r="C58" s="75"/>
      <c r="D58" s="75"/>
      <c r="E58" s="75"/>
      <c r="F58" s="75"/>
      <c r="G58" s="75"/>
      <c r="H58" s="75"/>
    </row>
    <row r="59" ht="14.25" customHeight="1">
      <c r="B59" s="75"/>
      <c r="C59" s="75"/>
      <c r="D59" s="75"/>
      <c r="E59" s="75"/>
      <c r="F59" s="75"/>
      <c r="G59" s="75"/>
      <c r="H59" s="75"/>
    </row>
    <row r="60" ht="14.25" customHeight="1">
      <c r="B60" s="75"/>
      <c r="C60" s="75"/>
      <c r="D60" s="75"/>
      <c r="E60" s="75"/>
      <c r="F60" s="75"/>
      <c r="G60" s="75"/>
      <c r="H60" s="75"/>
    </row>
    <row r="61" ht="14.25" customHeight="1">
      <c r="B61" s="75"/>
      <c r="C61" s="75"/>
      <c r="D61" s="75"/>
      <c r="E61" s="75"/>
      <c r="F61" s="75"/>
      <c r="G61" s="75"/>
      <c r="H61" s="75"/>
    </row>
    <row r="62" ht="14.25" customHeight="1">
      <c r="B62" s="75"/>
      <c r="C62" s="75"/>
      <c r="D62" s="75"/>
      <c r="E62" s="75"/>
      <c r="F62" s="75"/>
      <c r="G62" s="75"/>
      <c r="H62" s="75"/>
    </row>
    <row r="63" ht="14.25" customHeight="1">
      <c r="B63" s="75"/>
      <c r="C63" s="75"/>
      <c r="D63" s="75"/>
      <c r="E63" s="75"/>
      <c r="F63" s="75"/>
      <c r="G63" s="75"/>
      <c r="H63" s="75"/>
    </row>
    <row r="64" ht="14.25" customHeight="1">
      <c r="B64" s="75"/>
      <c r="C64" s="75"/>
      <c r="D64" s="75"/>
      <c r="E64" s="75"/>
      <c r="F64" s="75"/>
      <c r="G64" s="75"/>
      <c r="H64" s="75"/>
    </row>
    <row r="65" ht="14.25" customHeight="1">
      <c r="B65" s="75"/>
      <c r="C65" s="75"/>
      <c r="D65" s="75"/>
      <c r="E65" s="75"/>
      <c r="F65" s="75"/>
      <c r="G65" s="75"/>
      <c r="H65" s="75"/>
    </row>
    <row r="66" ht="14.25" customHeight="1">
      <c r="B66" s="75"/>
      <c r="C66" s="75"/>
      <c r="D66" s="75"/>
      <c r="E66" s="75"/>
      <c r="F66" s="75"/>
      <c r="G66" s="75"/>
      <c r="H66" s="75"/>
    </row>
    <row r="67" ht="14.25" customHeight="1">
      <c r="B67" s="75"/>
      <c r="C67" s="75"/>
      <c r="D67" s="75"/>
      <c r="E67" s="75"/>
      <c r="F67" s="75"/>
      <c r="G67" s="75"/>
      <c r="H67" s="75"/>
    </row>
    <row r="68" ht="14.25" customHeight="1">
      <c r="B68" s="75"/>
      <c r="C68" s="75"/>
      <c r="D68" s="75"/>
      <c r="E68" s="75"/>
      <c r="F68" s="75"/>
      <c r="G68" s="75"/>
      <c r="H68" s="75"/>
    </row>
    <row r="69" ht="14.25" customHeight="1">
      <c r="B69" s="75"/>
      <c r="C69" s="75"/>
      <c r="D69" s="75"/>
      <c r="E69" s="75"/>
      <c r="F69" s="75"/>
      <c r="G69" s="75"/>
      <c r="H69" s="75"/>
    </row>
    <row r="70" ht="14.25" customHeight="1">
      <c r="B70" s="75"/>
      <c r="C70" s="75"/>
      <c r="D70" s="75"/>
      <c r="E70" s="75"/>
      <c r="F70" s="75"/>
      <c r="G70" s="75"/>
      <c r="H70" s="75"/>
    </row>
    <row r="71" ht="14.25" customHeight="1">
      <c r="B71" s="75"/>
      <c r="C71" s="75"/>
      <c r="D71" s="75"/>
      <c r="E71" s="75"/>
      <c r="F71" s="75"/>
      <c r="G71" s="75"/>
      <c r="H71" s="75"/>
    </row>
    <row r="72" ht="14.25" customHeight="1">
      <c r="B72" s="75"/>
      <c r="C72" s="75"/>
      <c r="D72" s="75"/>
      <c r="E72" s="75"/>
      <c r="F72" s="75"/>
      <c r="G72" s="75"/>
      <c r="H72" s="75"/>
    </row>
    <row r="73" ht="14.25" customHeight="1">
      <c r="B73" s="75"/>
      <c r="C73" s="75"/>
      <c r="D73" s="75"/>
      <c r="E73" s="75"/>
      <c r="F73" s="75"/>
      <c r="G73" s="75"/>
      <c r="H73" s="75"/>
    </row>
    <row r="74" ht="14.25" customHeight="1">
      <c r="B74" s="75"/>
      <c r="C74" s="75"/>
      <c r="D74" s="75"/>
      <c r="E74" s="75"/>
      <c r="F74" s="75"/>
      <c r="G74" s="75"/>
      <c r="H74" s="75"/>
    </row>
    <row r="75" ht="14.25" customHeight="1">
      <c r="B75" s="75"/>
      <c r="C75" s="75"/>
      <c r="D75" s="75"/>
      <c r="E75" s="75"/>
      <c r="F75" s="75"/>
      <c r="G75" s="75"/>
      <c r="H75" s="75"/>
    </row>
    <row r="76" ht="14.25" customHeight="1">
      <c r="B76" s="75"/>
      <c r="C76" s="75"/>
      <c r="D76" s="75"/>
      <c r="E76" s="75"/>
      <c r="F76" s="75"/>
      <c r="G76" s="75"/>
      <c r="H76" s="75"/>
    </row>
    <row r="77" ht="14.25" customHeight="1">
      <c r="B77" s="75"/>
      <c r="C77" s="75"/>
      <c r="D77" s="75"/>
      <c r="E77" s="75"/>
      <c r="F77" s="75"/>
      <c r="G77" s="75"/>
      <c r="H77" s="75"/>
    </row>
    <row r="78" ht="14.25" customHeight="1">
      <c r="B78" s="75"/>
      <c r="C78" s="75"/>
      <c r="D78" s="75"/>
      <c r="E78" s="75"/>
      <c r="F78" s="75"/>
      <c r="G78" s="75"/>
      <c r="H78" s="75"/>
    </row>
    <row r="79" ht="14.25" customHeight="1">
      <c r="B79" s="75"/>
      <c r="C79" s="75"/>
      <c r="D79" s="75"/>
      <c r="E79" s="75"/>
      <c r="F79" s="75"/>
      <c r="G79" s="75"/>
      <c r="H79" s="75"/>
    </row>
    <row r="80" ht="14.25" customHeight="1">
      <c r="B80" s="75"/>
      <c r="C80" s="75"/>
      <c r="D80" s="75"/>
      <c r="E80" s="75"/>
      <c r="F80" s="75"/>
      <c r="G80" s="75"/>
      <c r="H80" s="75"/>
    </row>
    <row r="81" ht="14.25" customHeight="1">
      <c r="B81" s="75"/>
      <c r="C81" s="75"/>
      <c r="D81" s="75"/>
      <c r="E81" s="75"/>
      <c r="F81" s="75"/>
      <c r="G81" s="75"/>
      <c r="H81" s="75"/>
    </row>
    <row r="82" ht="14.25" customHeight="1">
      <c r="B82" s="75"/>
      <c r="C82" s="75"/>
      <c r="D82" s="75"/>
      <c r="E82" s="75"/>
      <c r="F82" s="75"/>
      <c r="G82" s="75"/>
      <c r="H82" s="75"/>
    </row>
    <row r="83" ht="14.25" customHeight="1">
      <c r="B83" s="75"/>
      <c r="C83" s="75"/>
      <c r="D83" s="75"/>
      <c r="E83" s="75"/>
      <c r="F83" s="75"/>
      <c r="G83" s="75"/>
      <c r="H83" s="75"/>
    </row>
    <row r="84" ht="14.25" customHeight="1">
      <c r="B84" s="75"/>
      <c r="C84" s="75"/>
      <c r="D84" s="75"/>
      <c r="E84" s="75"/>
      <c r="F84" s="75"/>
      <c r="G84" s="75"/>
      <c r="H84" s="75"/>
    </row>
    <row r="85" ht="14.25" customHeight="1">
      <c r="B85" s="75"/>
      <c r="C85" s="75"/>
      <c r="D85" s="75"/>
      <c r="E85" s="75"/>
      <c r="F85" s="75"/>
      <c r="G85" s="75"/>
      <c r="H85" s="75"/>
    </row>
    <row r="86" ht="14.25" customHeight="1">
      <c r="B86" s="75"/>
      <c r="C86" s="75"/>
      <c r="D86" s="75"/>
      <c r="E86" s="75"/>
      <c r="F86" s="75"/>
      <c r="G86" s="75"/>
      <c r="H86" s="75"/>
    </row>
    <row r="87" ht="14.25" customHeight="1">
      <c r="B87" s="75"/>
      <c r="C87" s="75"/>
      <c r="D87" s="75"/>
      <c r="E87" s="75"/>
      <c r="F87" s="75"/>
      <c r="G87" s="75"/>
      <c r="H87" s="75"/>
    </row>
    <row r="88" ht="14.25" customHeight="1">
      <c r="B88" s="75"/>
      <c r="C88" s="75"/>
      <c r="D88" s="75"/>
      <c r="E88" s="75"/>
      <c r="F88" s="75"/>
      <c r="G88" s="75"/>
      <c r="H88" s="75"/>
    </row>
    <row r="89" ht="14.25" customHeight="1">
      <c r="B89" s="75"/>
      <c r="C89" s="75"/>
      <c r="D89" s="75"/>
      <c r="E89" s="75"/>
      <c r="F89" s="75"/>
      <c r="G89" s="75"/>
      <c r="H89" s="75"/>
    </row>
    <row r="90" ht="14.25" customHeight="1">
      <c r="B90" s="75"/>
      <c r="C90" s="75"/>
      <c r="D90" s="75"/>
      <c r="E90" s="75"/>
      <c r="F90" s="75"/>
      <c r="G90" s="75"/>
      <c r="H90" s="75"/>
    </row>
    <row r="91" ht="14.25" customHeight="1">
      <c r="B91" s="75"/>
      <c r="C91" s="75"/>
      <c r="D91" s="75"/>
      <c r="E91" s="75"/>
      <c r="F91" s="75"/>
      <c r="G91" s="75"/>
      <c r="H91" s="75"/>
    </row>
    <row r="92" ht="14.25" customHeight="1">
      <c r="B92" s="75"/>
      <c r="C92" s="75"/>
      <c r="D92" s="75"/>
      <c r="E92" s="75"/>
      <c r="F92" s="75"/>
      <c r="G92" s="75"/>
      <c r="H92" s="75"/>
    </row>
    <row r="93" ht="14.25" customHeight="1">
      <c r="B93" s="75"/>
      <c r="C93" s="75"/>
      <c r="D93" s="75"/>
      <c r="E93" s="75"/>
      <c r="F93" s="75"/>
      <c r="G93" s="75"/>
      <c r="H93" s="75"/>
    </row>
    <row r="94" ht="14.25" customHeight="1">
      <c r="B94" s="75"/>
      <c r="C94" s="75"/>
      <c r="D94" s="75"/>
      <c r="E94" s="75"/>
      <c r="F94" s="75"/>
      <c r="G94" s="75"/>
      <c r="H94" s="75"/>
    </row>
    <row r="95" ht="14.25" customHeight="1">
      <c r="B95" s="75"/>
      <c r="C95" s="75"/>
      <c r="D95" s="75"/>
      <c r="E95" s="75"/>
      <c r="F95" s="75"/>
      <c r="G95" s="75"/>
      <c r="H95" s="75"/>
    </row>
    <row r="96" ht="14.25" customHeight="1">
      <c r="B96" s="75"/>
      <c r="C96" s="75"/>
      <c r="D96" s="75"/>
      <c r="E96" s="75"/>
      <c r="F96" s="75"/>
      <c r="G96" s="75"/>
      <c r="H96" s="75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2" width="14.43"/>
    <col customWidth="1" min="3" max="3" width="17.71"/>
    <col customWidth="1" min="4" max="4" width="19.86"/>
    <col customWidth="1" min="5" max="5" width="19.29"/>
    <col customWidth="1" min="6" max="6" width="15.71"/>
    <col customWidth="1" min="7" max="7" width="12.71"/>
    <col customWidth="1" min="8" max="9" width="17.29"/>
    <col customWidth="1" min="10" max="10" width="23.86"/>
    <col customWidth="1" min="11" max="11" width="24.0"/>
    <col customWidth="1" min="12" max="12" width="20.14"/>
    <col customWidth="1" min="13" max="13" width="23.14"/>
    <col customWidth="1" min="14" max="17" width="17.14"/>
    <col customWidth="1" min="18" max="24" width="11.86"/>
  </cols>
  <sheetData>
    <row r="1" ht="28.5" customHeight="1">
      <c r="A1" s="117" t="s">
        <v>1262</v>
      </c>
      <c r="B1" s="118"/>
      <c r="C1" s="118"/>
      <c r="D1" s="118"/>
      <c r="E1" s="118"/>
      <c r="F1" s="118"/>
      <c r="G1" s="118"/>
      <c r="H1" s="118"/>
      <c r="I1" s="118"/>
      <c r="J1" s="118"/>
      <c r="K1" s="119"/>
      <c r="L1" s="120" t="s">
        <v>1263</v>
      </c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2"/>
    </row>
    <row r="2" ht="28.5" customHeight="1">
      <c r="A2" s="123"/>
      <c r="B2" s="123"/>
      <c r="C2" s="123"/>
      <c r="D2" s="123"/>
      <c r="E2" s="123"/>
      <c r="F2" s="123"/>
      <c r="G2" s="123"/>
      <c r="H2" s="123"/>
      <c r="I2" s="123"/>
      <c r="J2" s="123"/>
      <c r="K2" s="124"/>
      <c r="L2" s="125" t="s">
        <v>1264</v>
      </c>
      <c r="M2" s="125" t="s">
        <v>1265</v>
      </c>
      <c r="N2" s="79" t="s">
        <v>1266</v>
      </c>
      <c r="O2" s="79" t="s">
        <v>1267</v>
      </c>
      <c r="P2" s="125" t="s">
        <v>1268</v>
      </c>
      <c r="Q2" s="125" t="s">
        <v>1269</v>
      </c>
      <c r="R2" s="2" t="s">
        <v>1270</v>
      </c>
      <c r="S2" s="122"/>
      <c r="T2" s="126" t="s">
        <v>1271</v>
      </c>
      <c r="U2" s="122"/>
      <c r="V2" s="126" t="s">
        <v>1272</v>
      </c>
      <c r="W2" s="121"/>
      <c r="X2" s="122"/>
      <c r="Y2" s="79" t="s">
        <v>24</v>
      </c>
    </row>
    <row r="3" ht="45.0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2" t="s">
        <v>10</v>
      </c>
      <c r="L3" s="127"/>
      <c r="M3" s="127"/>
      <c r="N3" s="127"/>
      <c r="O3" s="127"/>
      <c r="P3" s="127"/>
      <c r="Q3" s="127"/>
      <c r="R3" s="128" t="s">
        <v>1273</v>
      </c>
      <c r="S3" s="128" t="s">
        <v>1274</v>
      </c>
      <c r="T3" s="128" t="s">
        <v>1273</v>
      </c>
      <c r="U3" s="128" t="s">
        <v>1274</v>
      </c>
      <c r="V3" s="128" t="s">
        <v>1275</v>
      </c>
      <c r="W3" s="128" t="s">
        <v>1276</v>
      </c>
      <c r="X3" s="128" t="s">
        <v>1277</v>
      </c>
      <c r="Y3" s="127"/>
    </row>
    <row r="4" ht="35.25" customHeight="1">
      <c r="A4" s="5" t="s">
        <v>25</v>
      </c>
      <c r="B4" s="5" t="s">
        <v>26</v>
      </c>
      <c r="C4" s="5" t="s">
        <v>27</v>
      </c>
      <c r="D4" s="5" t="s">
        <v>28</v>
      </c>
      <c r="E4" s="5">
        <v>4230.0</v>
      </c>
      <c r="F4" s="6">
        <v>45.08</v>
      </c>
      <c r="G4" s="5">
        <v>20.0</v>
      </c>
      <c r="H4" s="6">
        <v>74.07</v>
      </c>
      <c r="I4" s="6">
        <v>80.43</v>
      </c>
      <c r="J4" s="7">
        <f t="shared" ref="J4:J328" si="1">(E4*(1-F4/100)*1.1)</f>
        <v>2555.4276</v>
      </c>
      <c r="K4" s="7">
        <f t="shared" ref="K4:K328" si="2">E4*(1-F4/100)</f>
        <v>2323.116</v>
      </c>
      <c r="L4" s="8">
        <f t="shared" ref="L4:L647" si="3">((J4*2.5)/(365*0.9))*1.21</f>
        <v>23.53171534</v>
      </c>
      <c r="M4" s="9">
        <f t="shared" ref="M4:M647" si="4">L4*30/100</f>
        <v>7.059514603</v>
      </c>
      <c r="N4" s="9">
        <f t="shared" ref="N4:N647" si="5">(L4*6/100)</f>
        <v>1.411902921</v>
      </c>
      <c r="O4" s="8">
        <f t="shared" ref="O4:O647" si="6">K4*2/1000</f>
        <v>4.646232</v>
      </c>
      <c r="P4" s="8">
        <f t="shared" ref="P4:P647" si="7">K4*3/1000</f>
        <v>6.969348</v>
      </c>
      <c r="Q4" s="8">
        <f t="shared" ref="Q4:Q647" si="8">K4*1/1000</f>
        <v>2.323116</v>
      </c>
      <c r="R4" s="10"/>
      <c r="S4" s="10"/>
      <c r="T4" s="10"/>
      <c r="U4" s="10">
        <v>1.0</v>
      </c>
      <c r="V4" s="11"/>
      <c r="W4" s="11"/>
      <c r="X4" s="11"/>
      <c r="Y4" s="11"/>
    </row>
    <row r="5" ht="35.25" customHeight="1">
      <c r="A5" s="5" t="s">
        <v>25</v>
      </c>
      <c r="B5" s="5" t="s">
        <v>26</v>
      </c>
      <c r="C5" s="5" t="s">
        <v>27</v>
      </c>
      <c r="D5" s="5" t="s">
        <v>29</v>
      </c>
      <c r="E5" s="5">
        <v>4404.0</v>
      </c>
      <c r="F5" s="6">
        <v>47.01</v>
      </c>
      <c r="G5" s="5">
        <v>23.0</v>
      </c>
      <c r="H5" s="6">
        <v>29.18</v>
      </c>
      <c r="I5" s="6">
        <v>41.23</v>
      </c>
      <c r="J5" s="7">
        <f t="shared" si="1"/>
        <v>2567.04756</v>
      </c>
      <c r="K5" s="7">
        <f t="shared" si="2"/>
        <v>2333.6796</v>
      </c>
      <c r="L5" s="8">
        <f t="shared" si="3"/>
        <v>23.63871802</v>
      </c>
      <c r="M5" s="9">
        <f t="shared" si="4"/>
        <v>7.091615405</v>
      </c>
      <c r="N5" s="9">
        <f t="shared" si="5"/>
        <v>1.418323081</v>
      </c>
      <c r="O5" s="8">
        <f t="shared" si="6"/>
        <v>4.6673592</v>
      </c>
      <c r="P5" s="8">
        <f t="shared" si="7"/>
        <v>7.0010388</v>
      </c>
      <c r="Q5" s="8">
        <f t="shared" si="8"/>
        <v>2.3336796</v>
      </c>
      <c r="R5" s="10"/>
      <c r="S5" s="10"/>
      <c r="T5" s="10"/>
      <c r="U5" s="10"/>
      <c r="V5" s="11"/>
      <c r="W5" s="11"/>
      <c r="X5" s="11"/>
      <c r="Y5" s="11"/>
    </row>
    <row r="6" ht="35.25" customHeight="1">
      <c r="A6" s="5" t="s">
        <v>25</v>
      </c>
      <c r="B6" s="5" t="s">
        <v>26</v>
      </c>
      <c r="C6" s="5" t="s">
        <v>27</v>
      </c>
      <c r="D6" s="5" t="s">
        <v>30</v>
      </c>
      <c r="E6" s="5">
        <v>1041.0</v>
      </c>
      <c r="F6" s="6">
        <v>48.59</v>
      </c>
      <c r="G6" s="5">
        <v>10.0</v>
      </c>
      <c r="H6" s="6">
        <v>39.14</v>
      </c>
      <c r="I6" s="6">
        <v>46.44</v>
      </c>
      <c r="J6" s="7">
        <f t="shared" si="1"/>
        <v>588.69591</v>
      </c>
      <c r="K6" s="7">
        <f t="shared" si="2"/>
        <v>535.1781</v>
      </c>
      <c r="L6" s="12">
        <f t="shared" si="3"/>
        <v>5.421020176</v>
      </c>
      <c r="M6" s="13">
        <f t="shared" si="4"/>
        <v>1.626306053</v>
      </c>
      <c r="N6" s="9">
        <f t="shared" si="5"/>
        <v>0.3252612105</v>
      </c>
      <c r="O6" s="8">
        <f t="shared" si="6"/>
        <v>1.0703562</v>
      </c>
      <c r="P6" s="8">
        <f t="shared" si="7"/>
        <v>1.6055343</v>
      </c>
      <c r="Q6" s="8">
        <f t="shared" si="8"/>
        <v>0.5351781</v>
      </c>
      <c r="R6" s="10"/>
      <c r="S6" s="10"/>
      <c r="T6" s="10"/>
      <c r="U6" s="10"/>
      <c r="V6" s="11"/>
      <c r="W6" s="11"/>
      <c r="X6" s="11"/>
      <c r="Y6" s="11"/>
    </row>
    <row r="7" ht="35.25" customHeight="1">
      <c r="A7" s="5" t="s">
        <v>25</v>
      </c>
      <c r="B7" s="5" t="s">
        <v>26</v>
      </c>
      <c r="C7" s="5" t="s">
        <v>27</v>
      </c>
      <c r="D7" s="5" t="s">
        <v>31</v>
      </c>
      <c r="E7" s="5">
        <v>465.0</v>
      </c>
      <c r="F7" s="6">
        <v>34.24</v>
      </c>
      <c r="G7" s="5">
        <v>8.0</v>
      </c>
      <c r="H7" s="6">
        <v>47.5</v>
      </c>
      <c r="I7" s="6">
        <v>53.4</v>
      </c>
      <c r="J7" s="7">
        <f t="shared" si="1"/>
        <v>336.3624</v>
      </c>
      <c r="K7" s="14">
        <f t="shared" si="2"/>
        <v>305.784</v>
      </c>
      <c r="L7" s="12">
        <f t="shared" si="3"/>
        <v>3.097401096</v>
      </c>
      <c r="M7" s="13">
        <f t="shared" si="4"/>
        <v>0.9292203288</v>
      </c>
      <c r="N7" s="9">
        <f t="shared" si="5"/>
        <v>0.1858440658</v>
      </c>
      <c r="O7" s="8">
        <f t="shared" si="6"/>
        <v>0.611568</v>
      </c>
      <c r="P7" s="8">
        <f t="shared" si="7"/>
        <v>0.917352</v>
      </c>
      <c r="Q7" s="8">
        <f t="shared" si="8"/>
        <v>0.305784</v>
      </c>
      <c r="R7" s="10"/>
      <c r="S7" s="10"/>
      <c r="T7" s="10"/>
      <c r="U7" s="10"/>
      <c r="V7" s="11"/>
      <c r="W7" s="11"/>
      <c r="X7" s="11">
        <v>1.0</v>
      </c>
      <c r="Y7" s="11"/>
    </row>
    <row r="8" ht="35.25" customHeight="1">
      <c r="A8" s="5" t="s">
        <v>25</v>
      </c>
      <c r="B8" s="5" t="s">
        <v>26</v>
      </c>
      <c r="C8" s="5" t="s">
        <v>27</v>
      </c>
      <c r="D8" s="5" t="s">
        <v>32</v>
      </c>
      <c r="E8" s="5">
        <v>7378.0</v>
      </c>
      <c r="F8" s="6">
        <v>57.35</v>
      </c>
      <c r="G8" s="5">
        <v>35.0</v>
      </c>
      <c r="H8" s="6">
        <v>24.48</v>
      </c>
      <c r="I8" s="6">
        <v>46.5</v>
      </c>
      <c r="J8" s="7">
        <f t="shared" si="1"/>
        <v>3461.3887</v>
      </c>
      <c r="K8" s="7">
        <f t="shared" si="2"/>
        <v>3146.717</v>
      </c>
      <c r="L8" s="8">
        <f t="shared" si="3"/>
        <v>31.87427951</v>
      </c>
      <c r="M8" s="9">
        <f t="shared" si="4"/>
        <v>9.562283852</v>
      </c>
      <c r="N8" s="9">
        <f t="shared" si="5"/>
        <v>1.91245677</v>
      </c>
      <c r="O8" s="8">
        <f t="shared" si="6"/>
        <v>6.293434</v>
      </c>
      <c r="P8" s="8">
        <f t="shared" si="7"/>
        <v>9.440151</v>
      </c>
      <c r="Q8" s="8">
        <f t="shared" si="8"/>
        <v>3.146717</v>
      </c>
      <c r="R8" s="10"/>
      <c r="S8" s="10"/>
      <c r="T8" s="10"/>
      <c r="U8" s="10">
        <v>1.0</v>
      </c>
      <c r="V8" s="11"/>
      <c r="W8" s="11"/>
      <c r="X8" s="11"/>
      <c r="Y8" s="11"/>
    </row>
    <row r="9" ht="35.25" customHeight="1">
      <c r="A9" s="5" t="s">
        <v>25</v>
      </c>
      <c r="B9" s="5" t="s">
        <v>26</v>
      </c>
      <c r="C9" s="5" t="s">
        <v>27</v>
      </c>
      <c r="D9" s="5" t="s">
        <v>33</v>
      </c>
      <c r="E9" s="5">
        <v>7815.0</v>
      </c>
      <c r="F9" s="6">
        <v>55.67</v>
      </c>
      <c r="G9" s="5">
        <v>34.0</v>
      </c>
      <c r="H9" s="6">
        <v>63.33</v>
      </c>
      <c r="I9" s="6">
        <v>74.77</v>
      </c>
      <c r="J9" s="7">
        <f t="shared" si="1"/>
        <v>3810.82845</v>
      </c>
      <c r="K9" s="7">
        <f t="shared" si="2"/>
        <v>3464.3895</v>
      </c>
      <c r="L9" s="8">
        <f t="shared" si="3"/>
        <v>35.09210369</v>
      </c>
      <c r="M9" s="9">
        <f t="shared" si="4"/>
        <v>10.52763111</v>
      </c>
      <c r="N9" s="9">
        <f t="shared" si="5"/>
        <v>2.105526221</v>
      </c>
      <c r="O9" s="8">
        <f t="shared" si="6"/>
        <v>6.928779</v>
      </c>
      <c r="P9" s="8">
        <f t="shared" si="7"/>
        <v>10.3931685</v>
      </c>
      <c r="Q9" s="8">
        <f t="shared" si="8"/>
        <v>3.4643895</v>
      </c>
      <c r="R9" s="10">
        <v>1.0</v>
      </c>
      <c r="S9" s="10"/>
      <c r="T9" s="10"/>
      <c r="U9" s="10"/>
      <c r="V9" s="11">
        <v>1.0</v>
      </c>
      <c r="W9" s="11"/>
      <c r="X9" s="11"/>
      <c r="Y9" s="11"/>
    </row>
    <row r="10" ht="35.25" customHeight="1">
      <c r="A10" s="5" t="s">
        <v>25</v>
      </c>
      <c r="B10" s="5" t="s">
        <v>26</v>
      </c>
      <c r="C10" s="5" t="s">
        <v>27</v>
      </c>
      <c r="D10" s="5" t="s">
        <v>34</v>
      </c>
      <c r="E10" s="5">
        <v>1345.0</v>
      </c>
      <c r="F10" s="6">
        <v>62.1</v>
      </c>
      <c r="G10" s="5">
        <v>12.0</v>
      </c>
      <c r="H10" s="6">
        <v>62.09</v>
      </c>
      <c r="I10" s="6">
        <v>100.0</v>
      </c>
      <c r="J10" s="7">
        <f t="shared" si="1"/>
        <v>560.7305</v>
      </c>
      <c r="K10" s="7">
        <f t="shared" si="2"/>
        <v>509.755</v>
      </c>
      <c r="L10" s="12">
        <f t="shared" si="3"/>
        <v>5.163500038</v>
      </c>
      <c r="M10" s="13">
        <f t="shared" si="4"/>
        <v>1.549050011</v>
      </c>
      <c r="N10" s="9">
        <f t="shared" si="5"/>
        <v>0.3098100023</v>
      </c>
      <c r="O10" s="8">
        <f t="shared" si="6"/>
        <v>1.01951</v>
      </c>
      <c r="P10" s="8">
        <f t="shared" si="7"/>
        <v>1.529265</v>
      </c>
      <c r="Q10" s="8">
        <f t="shared" si="8"/>
        <v>0.509755</v>
      </c>
      <c r="R10" s="10">
        <v>1.0</v>
      </c>
      <c r="S10" s="10"/>
      <c r="T10" s="10"/>
      <c r="U10" s="10"/>
      <c r="V10" s="11"/>
      <c r="W10" s="11"/>
      <c r="X10" s="11"/>
      <c r="Y10" s="11"/>
    </row>
    <row r="11" ht="34.5" customHeight="1">
      <c r="A11" s="5" t="s">
        <v>35</v>
      </c>
      <c r="B11" s="5" t="s">
        <v>26</v>
      </c>
      <c r="C11" s="5" t="s">
        <v>36</v>
      </c>
      <c r="D11" s="5" t="s">
        <v>37</v>
      </c>
      <c r="E11" s="5">
        <v>1290.0</v>
      </c>
      <c r="F11" s="6">
        <v>42.29</v>
      </c>
      <c r="G11" s="5">
        <v>7.0</v>
      </c>
      <c r="H11" s="6">
        <v>38.41</v>
      </c>
      <c r="I11" s="6">
        <v>65.53</v>
      </c>
      <c r="J11" s="7">
        <f t="shared" si="1"/>
        <v>818.9049</v>
      </c>
      <c r="K11" s="7">
        <f t="shared" si="2"/>
        <v>744.459</v>
      </c>
      <c r="L11" s="8">
        <f t="shared" si="3"/>
        <v>7.540905091</v>
      </c>
      <c r="M11" s="15">
        <f t="shared" si="4"/>
        <v>2.262271527</v>
      </c>
      <c r="N11" s="8">
        <f t="shared" si="5"/>
        <v>0.4524543055</v>
      </c>
      <c r="O11" s="8">
        <f t="shared" si="6"/>
        <v>1.488918</v>
      </c>
      <c r="P11" s="8">
        <f t="shared" si="7"/>
        <v>2.233377</v>
      </c>
      <c r="Q11" s="8">
        <f t="shared" si="8"/>
        <v>0.744459</v>
      </c>
      <c r="R11" s="16"/>
      <c r="S11" s="16"/>
      <c r="T11" s="16"/>
      <c r="U11" s="16"/>
      <c r="V11" s="16"/>
      <c r="W11" s="16"/>
      <c r="X11" s="16"/>
      <c r="Y11" s="16"/>
      <c r="Z11" s="17"/>
    </row>
    <row r="12" ht="34.5" customHeight="1">
      <c r="A12" s="5" t="s">
        <v>35</v>
      </c>
      <c r="B12" s="5" t="s">
        <v>26</v>
      </c>
      <c r="C12" s="5" t="s">
        <v>36</v>
      </c>
      <c r="D12" s="5" t="s">
        <v>38</v>
      </c>
      <c r="E12" s="5">
        <v>336.0</v>
      </c>
      <c r="F12" s="6">
        <v>11.25</v>
      </c>
      <c r="G12" s="5">
        <v>7.0</v>
      </c>
      <c r="H12" s="6">
        <v>21.17</v>
      </c>
      <c r="I12" s="6">
        <v>30.37</v>
      </c>
      <c r="J12" s="7">
        <f t="shared" si="1"/>
        <v>328.02</v>
      </c>
      <c r="K12" s="14">
        <f t="shared" si="2"/>
        <v>298.2</v>
      </c>
      <c r="L12" s="8">
        <f t="shared" si="3"/>
        <v>3.020579909</v>
      </c>
      <c r="M12" s="15">
        <f t="shared" si="4"/>
        <v>0.9061739726</v>
      </c>
      <c r="N12" s="8">
        <f t="shared" si="5"/>
        <v>0.1812347945</v>
      </c>
      <c r="O12" s="8">
        <f t="shared" si="6"/>
        <v>0.5964</v>
      </c>
      <c r="P12" s="8">
        <f t="shared" si="7"/>
        <v>0.8946</v>
      </c>
      <c r="Q12" s="8">
        <f t="shared" si="8"/>
        <v>0.2982</v>
      </c>
      <c r="R12" s="16"/>
      <c r="S12" s="16"/>
      <c r="T12" s="16"/>
      <c r="U12" s="16"/>
      <c r="V12" s="18"/>
      <c r="W12" s="18"/>
      <c r="X12" s="18"/>
      <c r="Y12" s="18"/>
      <c r="Z12" s="17"/>
    </row>
    <row r="13" ht="34.5" customHeight="1">
      <c r="A13" s="5" t="s">
        <v>35</v>
      </c>
      <c r="B13" s="5" t="s">
        <v>26</v>
      </c>
      <c r="C13" s="5" t="s">
        <v>36</v>
      </c>
      <c r="D13" s="5" t="s">
        <v>39</v>
      </c>
      <c r="E13" s="5">
        <v>2279.0</v>
      </c>
      <c r="F13" s="6">
        <v>23.22</v>
      </c>
      <c r="G13" s="5">
        <v>14.0</v>
      </c>
      <c r="H13" s="6">
        <v>35.52</v>
      </c>
      <c r="I13" s="6">
        <v>57.98</v>
      </c>
      <c r="J13" s="7">
        <f t="shared" si="1"/>
        <v>1924.79782</v>
      </c>
      <c r="K13" s="7">
        <f t="shared" si="2"/>
        <v>1749.8162</v>
      </c>
      <c r="L13" s="8">
        <f t="shared" si="3"/>
        <v>17.72454614</v>
      </c>
      <c r="M13" s="19">
        <f t="shared" si="4"/>
        <v>5.317363841</v>
      </c>
      <c r="N13" s="8">
        <f t="shared" si="5"/>
        <v>1.063472768</v>
      </c>
      <c r="O13" s="8">
        <f t="shared" si="6"/>
        <v>3.4996324</v>
      </c>
      <c r="P13" s="8">
        <f t="shared" si="7"/>
        <v>5.2494486</v>
      </c>
      <c r="Q13" s="8">
        <f t="shared" si="8"/>
        <v>1.7498162</v>
      </c>
      <c r="R13" s="16"/>
      <c r="S13" s="16"/>
      <c r="T13" s="16"/>
      <c r="U13" s="16"/>
      <c r="V13" s="18"/>
      <c r="W13" s="18"/>
      <c r="X13" s="18"/>
      <c r="Y13" s="18"/>
      <c r="Z13" s="17"/>
    </row>
    <row r="14" ht="34.5" customHeight="1">
      <c r="A14" s="5" t="s">
        <v>35</v>
      </c>
      <c r="B14" s="5" t="s">
        <v>26</v>
      </c>
      <c r="C14" s="5" t="s">
        <v>36</v>
      </c>
      <c r="D14" s="5" t="s">
        <v>40</v>
      </c>
      <c r="E14" s="5">
        <v>327.0</v>
      </c>
      <c r="F14" s="6">
        <v>21.32</v>
      </c>
      <c r="G14" s="5">
        <v>1.0</v>
      </c>
      <c r="H14" s="6">
        <v>0.0</v>
      </c>
      <c r="I14" s="6">
        <v>58.39</v>
      </c>
      <c r="J14" s="7">
        <f t="shared" si="1"/>
        <v>283.01196</v>
      </c>
      <c r="K14" s="14">
        <f t="shared" si="2"/>
        <v>257.2836</v>
      </c>
      <c r="L14" s="8">
        <f t="shared" si="3"/>
        <v>2.606122311</v>
      </c>
      <c r="M14" s="15">
        <f t="shared" si="4"/>
        <v>0.7818366932</v>
      </c>
      <c r="N14" s="8">
        <f t="shared" si="5"/>
        <v>0.1563673386</v>
      </c>
      <c r="O14" s="8">
        <f t="shared" si="6"/>
        <v>0.5145672</v>
      </c>
      <c r="P14" s="8">
        <f t="shared" si="7"/>
        <v>0.7718508</v>
      </c>
      <c r="Q14" s="8">
        <f t="shared" si="8"/>
        <v>0.2572836</v>
      </c>
      <c r="R14" s="16"/>
      <c r="S14" s="16"/>
      <c r="T14" s="16"/>
      <c r="U14" s="16"/>
      <c r="V14" s="16"/>
      <c r="W14" s="16"/>
      <c r="X14" s="16"/>
      <c r="Y14" s="16"/>
      <c r="Z14" s="17"/>
    </row>
    <row r="15" ht="34.5" customHeight="1">
      <c r="A15" s="5" t="s">
        <v>35</v>
      </c>
      <c r="B15" s="5" t="s">
        <v>26</v>
      </c>
      <c r="C15" s="5" t="s">
        <v>36</v>
      </c>
      <c r="D15" s="5" t="s">
        <v>41</v>
      </c>
      <c r="E15" s="5">
        <v>17501.0</v>
      </c>
      <c r="F15" s="6">
        <v>47.05</v>
      </c>
      <c r="G15" s="5">
        <v>69.0</v>
      </c>
      <c r="H15" s="6">
        <v>31.27</v>
      </c>
      <c r="I15" s="6">
        <v>40.23</v>
      </c>
      <c r="J15" s="7">
        <f t="shared" si="1"/>
        <v>10193.45745</v>
      </c>
      <c r="K15" s="7">
        <f t="shared" si="2"/>
        <v>9266.7795</v>
      </c>
      <c r="L15" s="8">
        <f t="shared" si="3"/>
        <v>93.86669341</v>
      </c>
      <c r="M15" s="8">
        <f t="shared" si="4"/>
        <v>28.16000802</v>
      </c>
      <c r="N15" s="8">
        <f t="shared" si="5"/>
        <v>5.632001605</v>
      </c>
      <c r="O15" s="8">
        <f t="shared" si="6"/>
        <v>18.533559</v>
      </c>
      <c r="P15" s="8">
        <f t="shared" si="7"/>
        <v>27.8003385</v>
      </c>
      <c r="Q15" s="8">
        <f t="shared" si="8"/>
        <v>9.2667795</v>
      </c>
      <c r="R15" s="20"/>
      <c r="S15" s="20"/>
      <c r="T15" s="20"/>
      <c r="U15" s="20"/>
      <c r="V15" s="21"/>
      <c r="W15" s="21"/>
      <c r="X15" s="21"/>
      <c r="Y15" s="22">
        <v>1.0</v>
      </c>
      <c r="Z15" s="17"/>
    </row>
    <row r="16" ht="34.5" customHeight="1">
      <c r="A16" s="5" t="s">
        <v>35</v>
      </c>
      <c r="B16" s="5" t="s">
        <v>26</v>
      </c>
      <c r="C16" s="5" t="s">
        <v>36</v>
      </c>
      <c r="D16" s="5" t="s">
        <v>42</v>
      </c>
      <c r="E16" s="5">
        <v>5077.0</v>
      </c>
      <c r="F16" s="6">
        <v>26.14</v>
      </c>
      <c r="G16" s="5">
        <v>17.0</v>
      </c>
      <c r="H16" s="6">
        <v>18.61</v>
      </c>
      <c r="I16" s="6">
        <v>34.1</v>
      </c>
      <c r="J16" s="7">
        <f t="shared" si="1"/>
        <v>4124.85942</v>
      </c>
      <c r="K16" s="7">
        <f t="shared" si="2"/>
        <v>3749.8722</v>
      </c>
      <c r="L16" s="8">
        <f t="shared" si="3"/>
        <v>37.98386528</v>
      </c>
      <c r="M16" s="8">
        <f t="shared" si="4"/>
        <v>11.39515958</v>
      </c>
      <c r="N16" s="8">
        <f t="shared" si="5"/>
        <v>2.279031917</v>
      </c>
      <c r="O16" s="8">
        <f t="shared" si="6"/>
        <v>7.4997444</v>
      </c>
      <c r="P16" s="8">
        <f t="shared" si="7"/>
        <v>11.2496166</v>
      </c>
      <c r="Q16" s="8">
        <f t="shared" si="8"/>
        <v>3.7498722</v>
      </c>
      <c r="R16" s="20"/>
      <c r="S16" s="20"/>
      <c r="T16" s="20"/>
      <c r="U16" s="20"/>
      <c r="V16" s="21"/>
      <c r="W16" s="21"/>
      <c r="X16" s="21"/>
      <c r="Y16" s="21"/>
      <c r="Z16" s="17"/>
    </row>
    <row r="17" ht="34.5" customHeight="1">
      <c r="A17" s="5" t="s">
        <v>35</v>
      </c>
      <c r="B17" s="5" t="s">
        <v>26</v>
      </c>
      <c r="C17" s="5" t="s">
        <v>36</v>
      </c>
      <c r="D17" s="5" t="s">
        <v>43</v>
      </c>
      <c r="E17" s="5">
        <v>5222.0</v>
      </c>
      <c r="F17" s="6">
        <v>35.92</v>
      </c>
      <c r="G17" s="5">
        <v>36.0</v>
      </c>
      <c r="H17" s="6">
        <v>10.83</v>
      </c>
      <c r="I17" s="6">
        <v>50.84</v>
      </c>
      <c r="J17" s="7">
        <f t="shared" si="1"/>
        <v>3680.88336</v>
      </c>
      <c r="K17" s="7">
        <f t="shared" si="2"/>
        <v>3346.2576</v>
      </c>
      <c r="L17" s="8">
        <f t="shared" si="3"/>
        <v>33.89550126</v>
      </c>
      <c r="M17" s="8">
        <f t="shared" si="4"/>
        <v>10.16865038</v>
      </c>
      <c r="N17" s="8">
        <f t="shared" si="5"/>
        <v>2.033730076</v>
      </c>
      <c r="O17" s="8">
        <f t="shared" si="6"/>
        <v>6.6925152</v>
      </c>
      <c r="P17" s="8">
        <f t="shared" si="7"/>
        <v>10.0387728</v>
      </c>
      <c r="Q17" s="8">
        <f t="shared" si="8"/>
        <v>3.3462576</v>
      </c>
      <c r="R17" s="16"/>
      <c r="S17" s="16"/>
      <c r="T17" s="16"/>
      <c r="U17" s="16"/>
      <c r="V17" s="18"/>
      <c r="W17" s="18"/>
      <c r="X17" s="18"/>
      <c r="Y17" s="23">
        <v>1.0</v>
      </c>
      <c r="Z17" s="17"/>
    </row>
    <row r="18" ht="34.5" customHeight="1">
      <c r="A18" s="5" t="s">
        <v>35</v>
      </c>
      <c r="B18" s="5" t="s">
        <v>26</v>
      </c>
      <c r="C18" s="5" t="s">
        <v>36</v>
      </c>
      <c r="D18" s="24" t="s">
        <v>44</v>
      </c>
      <c r="E18" s="5">
        <v>1249.0</v>
      </c>
      <c r="F18" s="6">
        <v>32.1</v>
      </c>
      <c r="G18" s="5">
        <v>12.0</v>
      </c>
      <c r="H18" s="6">
        <v>26.44</v>
      </c>
      <c r="I18" s="6">
        <v>31.54</v>
      </c>
      <c r="J18" s="7">
        <f t="shared" si="1"/>
        <v>932.8781</v>
      </c>
      <c r="K18" s="7">
        <f t="shared" si="2"/>
        <v>848.071</v>
      </c>
      <c r="L18" s="8">
        <f t="shared" si="3"/>
        <v>8.590429992</v>
      </c>
      <c r="M18" s="15">
        <f t="shared" si="4"/>
        <v>2.577128998</v>
      </c>
      <c r="N18" s="8">
        <f t="shared" si="5"/>
        <v>0.5154257995</v>
      </c>
      <c r="O18" s="8">
        <f t="shared" si="6"/>
        <v>1.696142</v>
      </c>
      <c r="P18" s="8">
        <f t="shared" si="7"/>
        <v>2.544213</v>
      </c>
      <c r="Q18" s="8">
        <f t="shared" si="8"/>
        <v>0.848071</v>
      </c>
      <c r="R18" s="16"/>
      <c r="S18" s="16"/>
      <c r="T18" s="16"/>
      <c r="U18" s="16"/>
      <c r="V18" s="18"/>
      <c r="W18" s="18"/>
      <c r="X18" s="18"/>
      <c r="Y18" s="18"/>
      <c r="Z18" s="17"/>
    </row>
    <row r="19" ht="34.5" customHeight="1">
      <c r="A19" s="5" t="s">
        <v>35</v>
      </c>
      <c r="B19" s="5" t="s">
        <v>26</v>
      </c>
      <c r="C19" s="5" t="s">
        <v>36</v>
      </c>
      <c r="D19" s="5" t="s">
        <v>45</v>
      </c>
      <c r="E19" s="5">
        <v>179.0</v>
      </c>
      <c r="F19" s="6">
        <v>11.9</v>
      </c>
      <c r="G19" s="5">
        <v>2.0</v>
      </c>
      <c r="H19" s="6">
        <v>0.0</v>
      </c>
      <c r="I19" s="6">
        <v>52.51</v>
      </c>
      <c r="J19" s="7">
        <f t="shared" si="1"/>
        <v>173.4689</v>
      </c>
      <c r="K19" s="14">
        <f t="shared" si="2"/>
        <v>157.699</v>
      </c>
      <c r="L19" s="8">
        <f t="shared" si="3"/>
        <v>1.597392458</v>
      </c>
      <c r="M19" s="15">
        <f t="shared" si="4"/>
        <v>0.4792177374</v>
      </c>
      <c r="N19" s="8">
        <f t="shared" si="5"/>
        <v>0.09584354749</v>
      </c>
      <c r="O19" s="8">
        <f t="shared" si="6"/>
        <v>0.315398</v>
      </c>
      <c r="P19" s="8">
        <f t="shared" si="7"/>
        <v>0.473097</v>
      </c>
      <c r="Q19" s="8">
        <f t="shared" si="8"/>
        <v>0.157699</v>
      </c>
      <c r="R19" s="16"/>
      <c r="S19" s="16"/>
      <c r="T19" s="16"/>
      <c r="U19" s="16"/>
      <c r="V19" s="18"/>
      <c r="W19" s="18"/>
      <c r="X19" s="18"/>
      <c r="Y19" s="18"/>
      <c r="Z19" s="17"/>
    </row>
    <row r="20" ht="34.5" customHeight="1">
      <c r="A20" s="5" t="s">
        <v>35</v>
      </c>
      <c r="B20" s="5" t="s">
        <v>26</v>
      </c>
      <c r="C20" s="5" t="s">
        <v>36</v>
      </c>
      <c r="D20" s="5" t="s">
        <v>46</v>
      </c>
      <c r="E20" s="5">
        <v>588.0</v>
      </c>
      <c r="F20" s="6">
        <v>25.52</v>
      </c>
      <c r="G20" s="5">
        <v>11.0</v>
      </c>
      <c r="H20" s="6">
        <v>30.06</v>
      </c>
      <c r="I20" s="6">
        <v>50.97</v>
      </c>
      <c r="J20" s="7">
        <f t="shared" si="1"/>
        <v>481.73664</v>
      </c>
      <c r="K20" s="7">
        <f t="shared" si="2"/>
        <v>437.9424</v>
      </c>
      <c r="L20" s="8">
        <f t="shared" si="3"/>
        <v>4.436083215</v>
      </c>
      <c r="M20" s="15">
        <f t="shared" si="4"/>
        <v>1.330824964</v>
      </c>
      <c r="N20" s="8">
        <f t="shared" si="5"/>
        <v>0.2661649929</v>
      </c>
      <c r="O20" s="8">
        <f t="shared" si="6"/>
        <v>0.8758848</v>
      </c>
      <c r="P20" s="8">
        <f t="shared" si="7"/>
        <v>1.3138272</v>
      </c>
      <c r="Q20" s="8">
        <f t="shared" si="8"/>
        <v>0.4379424</v>
      </c>
      <c r="R20" s="16"/>
      <c r="S20" s="16"/>
      <c r="T20" s="16"/>
      <c r="U20" s="16"/>
      <c r="V20" s="18"/>
      <c r="W20" s="18"/>
      <c r="X20" s="18"/>
      <c r="Y20" s="18"/>
      <c r="Z20" s="17"/>
    </row>
    <row r="21" ht="34.5" customHeight="1">
      <c r="A21" s="25" t="s">
        <v>35</v>
      </c>
      <c r="B21" s="25" t="s">
        <v>26</v>
      </c>
      <c r="C21" s="25" t="s">
        <v>36</v>
      </c>
      <c r="D21" s="25" t="s">
        <v>47</v>
      </c>
      <c r="E21" s="5">
        <v>3942.0</v>
      </c>
      <c r="F21" s="6">
        <v>30.8</v>
      </c>
      <c r="G21" s="5">
        <v>24.0</v>
      </c>
      <c r="H21" s="6">
        <v>25.5</v>
      </c>
      <c r="I21" s="6">
        <v>51.28</v>
      </c>
      <c r="J21" s="7">
        <f t="shared" si="1"/>
        <v>3000.6504</v>
      </c>
      <c r="K21" s="7">
        <f t="shared" si="2"/>
        <v>2727.864</v>
      </c>
      <c r="L21" s="8">
        <f t="shared" si="3"/>
        <v>27.63156</v>
      </c>
      <c r="M21" s="19">
        <f t="shared" si="4"/>
        <v>8.289468</v>
      </c>
      <c r="N21" s="8">
        <f t="shared" si="5"/>
        <v>1.6578936</v>
      </c>
      <c r="O21" s="8">
        <f t="shared" si="6"/>
        <v>5.455728</v>
      </c>
      <c r="P21" s="8">
        <f t="shared" si="7"/>
        <v>8.183592</v>
      </c>
      <c r="Q21" s="8">
        <f t="shared" si="8"/>
        <v>2.727864</v>
      </c>
      <c r="R21" s="16"/>
      <c r="S21" s="16"/>
      <c r="T21" s="16"/>
      <c r="U21" s="16"/>
      <c r="V21" s="18"/>
      <c r="W21" s="18"/>
      <c r="X21" s="18"/>
      <c r="Y21" s="18"/>
      <c r="Z21" s="17"/>
    </row>
    <row r="22" ht="34.5" customHeight="1">
      <c r="A22" s="25" t="s">
        <v>48</v>
      </c>
      <c r="B22" s="26" t="s">
        <v>26</v>
      </c>
      <c r="C22" s="26" t="s">
        <v>49</v>
      </c>
      <c r="D22" s="26" t="s">
        <v>50</v>
      </c>
      <c r="E22" s="26">
        <v>1147.0</v>
      </c>
      <c r="F22" s="27">
        <v>37.01</v>
      </c>
      <c r="G22" s="26">
        <v>14.0</v>
      </c>
      <c r="H22" s="27">
        <v>6.8</v>
      </c>
      <c r="I22" s="27">
        <v>62.24</v>
      </c>
      <c r="J22" s="28">
        <f t="shared" si="1"/>
        <v>794.74483</v>
      </c>
      <c r="K22" s="28">
        <f t="shared" si="2"/>
        <v>722.4953</v>
      </c>
      <c r="L22" s="29">
        <f t="shared" si="3"/>
        <v>7.318426517</v>
      </c>
      <c r="M22" s="30">
        <f t="shared" si="4"/>
        <v>2.195527955</v>
      </c>
      <c r="N22" s="30">
        <f t="shared" si="5"/>
        <v>0.439105591</v>
      </c>
      <c r="O22" s="30">
        <f t="shared" si="6"/>
        <v>1.4449906</v>
      </c>
      <c r="P22" s="30">
        <f t="shared" si="7"/>
        <v>2.1674859</v>
      </c>
      <c r="Q22" s="30">
        <f t="shared" si="8"/>
        <v>0.7224953</v>
      </c>
      <c r="R22" s="31"/>
      <c r="S22" s="31"/>
      <c r="T22" s="31"/>
      <c r="U22" s="31"/>
      <c r="V22" s="32"/>
      <c r="W22" s="32"/>
      <c r="X22" s="32"/>
      <c r="Y22" s="32"/>
    </row>
    <row r="23" ht="34.5" customHeight="1">
      <c r="A23" s="25" t="s">
        <v>48</v>
      </c>
      <c r="B23" s="26" t="s">
        <v>26</v>
      </c>
      <c r="C23" s="26" t="s">
        <v>49</v>
      </c>
      <c r="D23" s="26" t="s">
        <v>51</v>
      </c>
      <c r="E23" s="26">
        <v>1304.0</v>
      </c>
      <c r="F23" s="27">
        <v>45.0</v>
      </c>
      <c r="G23" s="26">
        <v>11.0</v>
      </c>
      <c r="H23" s="27">
        <v>53.91</v>
      </c>
      <c r="I23" s="27">
        <v>76.99</v>
      </c>
      <c r="J23" s="28">
        <f t="shared" si="1"/>
        <v>788.92</v>
      </c>
      <c r="K23" s="28">
        <f t="shared" si="2"/>
        <v>717.2</v>
      </c>
      <c r="L23" s="29">
        <f t="shared" si="3"/>
        <v>7.264788432</v>
      </c>
      <c r="M23" s="30">
        <f t="shared" si="4"/>
        <v>2.17943653</v>
      </c>
      <c r="N23" s="30">
        <f t="shared" si="5"/>
        <v>0.4358873059</v>
      </c>
      <c r="O23" s="30">
        <f t="shared" si="6"/>
        <v>1.4344</v>
      </c>
      <c r="P23" s="30">
        <f t="shared" si="7"/>
        <v>2.1516</v>
      </c>
      <c r="Q23" s="30">
        <f t="shared" si="8"/>
        <v>0.7172</v>
      </c>
      <c r="R23" s="31"/>
      <c r="S23" s="31"/>
      <c r="T23" s="31"/>
      <c r="U23" s="31"/>
      <c r="V23" s="32"/>
      <c r="W23" s="32"/>
      <c r="X23" s="32"/>
      <c r="Y23" s="32"/>
    </row>
    <row r="24" ht="34.5" customHeight="1">
      <c r="A24" s="25" t="s">
        <v>48</v>
      </c>
      <c r="B24" s="26" t="s">
        <v>26</v>
      </c>
      <c r="C24" s="26" t="s">
        <v>49</v>
      </c>
      <c r="D24" s="26" t="s">
        <v>52</v>
      </c>
      <c r="E24" s="26">
        <v>2488.0</v>
      </c>
      <c r="F24" s="27">
        <v>24.22</v>
      </c>
      <c r="G24" s="26">
        <v>13.0</v>
      </c>
      <c r="H24" s="27">
        <v>47.09</v>
      </c>
      <c r="I24" s="27">
        <v>50.5</v>
      </c>
      <c r="J24" s="28">
        <f t="shared" si="1"/>
        <v>2073.94704</v>
      </c>
      <c r="K24" s="28">
        <f t="shared" si="2"/>
        <v>1885.4064</v>
      </c>
      <c r="L24" s="29">
        <f t="shared" si="3"/>
        <v>19.09799025</v>
      </c>
      <c r="M24" s="30">
        <f t="shared" si="4"/>
        <v>5.729397074</v>
      </c>
      <c r="N24" s="30">
        <f t="shared" si="5"/>
        <v>1.145879415</v>
      </c>
      <c r="O24" s="30">
        <f t="shared" si="6"/>
        <v>3.7708128</v>
      </c>
      <c r="P24" s="30">
        <f t="shared" si="7"/>
        <v>5.6562192</v>
      </c>
      <c r="Q24" s="30">
        <f t="shared" si="8"/>
        <v>1.8854064</v>
      </c>
      <c r="R24" s="31"/>
      <c r="S24" s="31"/>
      <c r="T24" s="31"/>
      <c r="U24" s="31"/>
      <c r="V24" s="32"/>
      <c r="W24" s="32"/>
      <c r="X24" s="32"/>
      <c r="Y24" s="32"/>
    </row>
    <row r="25" ht="34.5" customHeight="1">
      <c r="A25" s="25" t="s">
        <v>48</v>
      </c>
      <c r="B25" s="26" t="s">
        <v>26</v>
      </c>
      <c r="C25" s="26" t="s">
        <v>49</v>
      </c>
      <c r="D25" s="26" t="s">
        <v>49</v>
      </c>
      <c r="E25" s="26">
        <v>1833.0</v>
      </c>
      <c r="F25" s="27">
        <v>27.18</v>
      </c>
      <c r="G25" s="26">
        <v>14.0</v>
      </c>
      <c r="H25" s="27">
        <v>55.83</v>
      </c>
      <c r="I25" s="27">
        <v>76.37</v>
      </c>
      <c r="J25" s="28">
        <f t="shared" si="1"/>
        <v>1468.26966</v>
      </c>
      <c r="K25" s="28">
        <f t="shared" si="2"/>
        <v>1334.7906</v>
      </c>
      <c r="L25" s="29">
        <f t="shared" si="3"/>
        <v>13.5205958</v>
      </c>
      <c r="M25" s="30">
        <f t="shared" si="4"/>
        <v>4.056178741</v>
      </c>
      <c r="N25" s="30">
        <f t="shared" si="5"/>
        <v>0.8112357482</v>
      </c>
      <c r="O25" s="30">
        <f t="shared" si="6"/>
        <v>2.6695812</v>
      </c>
      <c r="P25" s="30">
        <f t="shared" si="7"/>
        <v>4.0043718</v>
      </c>
      <c r="Q25" s="30">
        <f t="shared" si="8"/>
        <v>1.3347906</v>
      </c>
      <c r="R25" s="31"/>
      <c r="S25" s="31"/>
      <c r="T25" s="31"/>
      <c r="U25" s="31"/>
      <c r="V25" s="32"/>
      <c r="W25" s="32"/>
      <c r="X25" s="32"/>
      <c r="Y25" s="32"/>
    </row>
    <row r="26" ht="34.5" customHeight="1">
      <c r="A26" s="25" t="s">
        <v>48</v>
      </c>
      <c r="B26" s="129" t="s">
        <v>26</v>
      </c>
      <c r="C26" s="129" t="s">
        <v>49</v>
      </c>
      <c r="D26" s="129" t="s">
        <v>53</v>
      </c>
      <c r="E26" s="33">
        <v>910.0</v>
      </c>
      <c r="F26" s="27">
        <v>21.73</v>
      </c>
      <c r="G26" s="26">
        <v>17.0</v>
      </c>
      <c r="H26" s="27">
        <v>37.88</v>
      </c>
      <c r="I26" s="27">
        <v>58.84</v>
      </c>
      <c r="J26" s="28">
        <f t="shared" si="1"/>
        <v>783.4827</v>
      </c>
      <c r="K26" s="28">
        <f t="shared" si="2"/>
        <v>712.257</v>
      </c>
      <c r="L26" s="29">
        <f t="shared" si="3"/>
        <v>7.214718927</v>
      </c>
      <c r="M26" s="30">
        <f t="shared" si="4"/>
        <v>2.164415678</v>
      </c>
      <c r="N26" s="30">
        <f t="shared" si="5"/>
        <v>0.4328831356</v>
      </c>
      <c r="O26" s="30">
        <f t="shared" si="6"/>
        <v>1.424514</v>
      </c>
      <c r="P26" s="30">
        <f t="shared" si="7"/>
        <v>2.136771</v>
      </c>
      <c r="Q26" s="30">
        <f t="shared" si="8"/>
        <v>0.712257</v>
      </c>
      <c r="R26" s="31"/>
      <c r="S26" s="31"/>
      <c r="T26" s="31"/>
      <c r="U26" s="31"/>
      <c r="V26" s="32"/>
      <c r="W26" s="32"/>
      <c r="X26" s="32"/>
      <c r="Y26" s="32"/>
    </row>
    <row r="27" ht="34.5" customHeight="1">
      <c r="A27" s="25" t="s">
        <v>54</v>
      </c>
      <c r="B27" s="34" t="s">
        <v>26</v>
      </c>
      <c r="C27" s="34" t="s">
        <v>55</v>
      </c>
      <c r="D27" s="34" t="s">
        <v>56</v>
      </c>
      <c r="E27" s="34">
        <v>3560.0</v>
      </c>
      <c r="F27" s="35">
        <v>37.03</v>
      </c>
      <c r="G27" s="34">
        <v>26.0</v>
      </c>
      <c r="H27" s="35">
        <v>8.31</v>
      </c>
      <c r="I27" s="35">
        <v>42.31</v>
      </c>
      <c r="J27" s="36">
        <f t="shared" si="1"/>
        <v>2465.9052</v>
      </c>
      <c r="K27" s="36">
        <f t="shared" si="2"/>
        <v>2241.732</v>
      </c>
      <c r="L27" s="8">
        <f t="shared" si="3"/>
        <v>22.70734621</v>
      </c>
      <c r="M27" s="8">
        <f t="shared" si="4"/>
        <v>6.812203863</v>
      </c>
      <c r="N27" s="8">
        <f t="shared" si="5"/>
        <v>1.362440773</v>
      </c>
      <c r="O27" s="8">
        <f t="shared" si="6"/>
        <v>4.483464</v>
      </c>
      <c r="P27" s="8">
        <f t="shared" si="7"/>
        <v>6.725196</v>
      </c>
      <c r="Q27" s="8">
        <f t="shared" si="8"/>
        <v>2.241732</v>
      </c>
      <c r="R27" s="10"/>
      <c r="S27" s="10"/>
      <c r="T27" s="10"/>
      <c r="U27" s="10"/>
      <c r="V27" s="11"/>
      <c r="W27" s="11"/>
      <c r="X27" s="11"/>
      <c r="Y27" s="11"/>
      <c r="Z27" s="17"/>
    </row>
    <row r="28" ht="34.5" customHeight="1">
      <c r="A28" s="25" t="s">
        <v>54</v>
      </c>
      <c r="B28" s="34" t="s">
        <v>26</v>
      </c>
      <c r="C28" s="34" t="s">
        <v>55</v>
      </c>
      <c r="D28" s="34" t="s">
        <v>57</v>
      </c>
      <c r="E28" s="34">
        <v>3332.0</v>
      </c>
      <c r="F28" s="35">
        <v>26.8</v>
      </c>
      <c r="G28" s="34">
        <v>17.0</v>
      </c>
      <c r="H28" s="35">
        <v>28.99</v>
      </c>
      <c r="I28" s="35">
        <v>54.8</v>
      </c>
      <c r="J28" s="36">
        <f t="shared" si="1"/>
        <v>2682.9264</v>
      </c>
      <c r="K28" s="36">
        <f t="shared" si="2"/>
        <v>2439.024</v>
      </c>
      <c r="L28" s="8">
        <f t="shared" si="3"/>
        <v>24.70579105</v>
      </c>
      <c r="M28" s="8">
        <f t="shared" si="4"/>
        <v>7.411737315</v>
      </c>
      <c r="N28" s="8">
        <f t="shared" si="5"/>
        <v>1.482347463</v>
      </c>
      <c r="O28" s="8">
        <f t="shared" si="6"/>
        <v>4.878048</v>
      </c>
      <c r="P28" s="8">
        <f t="shared" si="7"/>
        <v>7.317072</v>
      </c>
      <c r="Q28" s="8">
        <f t="shared" si="8"/>
        <v>2.439024</v>
      </c>
      <c r="R28" s="10"/>
      <c r="S28" s="10"/>
      <c r="T28" s="10"/>
      <c r="U28" s="10"/>
      <c r="V28" s="11"/>
      <c r="W28" s="11"/>
      <c r="X28" s="11"/>
      <c r="Y28" s="11"/>
      <c r="Z28" s="17"/>
    </row>
    <row r="29" ht="34.5" customHeight="1">
      <c r="A29" s="25" t="s">
        <v>54</v>
      </c>
      <c r="B29" s="34" t="s">
        <v>26</v>
      </c>
      <c r="C29" s="34" t="s">
        <v>55</v>
      </c>
      <c r="D29" s="34" t="s">
        <v>58</v>
      </c>
      <c r="E29" s="34">
        <v>804.0</v>
      </c>
      <c r="F29" s="35">
        <v>13.68</v>
      </c>
      <c r="G29" s="34">
        <v>11.0</v>
      </c>
      <c r="H29" s="35">
        <v>64.64</v>
      </c>
      <c r="I29" s="35">
        <v>69.83</v>
      </c>
      <c r="J29" s="36">
        <f t="shared" si="1"/>
        <v>763.41408</v>
      </c>
      <c r="K29" s="36">
        <f t="shared" si="2"/>
        <v>694.0128</v>
      </c>
      <c r="L29" s="8">
        <f t="shared" si="3"/>
        <v>7.029916566</v>
      </c>
      <c r="M29" s="8">
        <f t="shared" si="4"/>
        <v>2.10897497</v>
      </c>
      <c r="N29" s="8">
        <f t="shared" si="5"/>
        <v>0.421794994</v>
      </c>
      <c r="O29" s="8">
        <f t="shared" si="6"/>
        <v>1.3880256</v>
      </c>
      <c r="P29" s="8">
        <f t="shared" si="7"/>
        <v>2.0820384</v>
      </c>
      <c r="Q29" s="8">
        <f t="shared" si="8"/>
        <v>0.6940128</v>
      </c>
      <c r="R29" s="10"/>
      <c r="S29" s="10"/>
      <c r="T29" s="10"/>
      <c r="U29" s="10"/>
      <c r="V29" s="11"/>
      <c r="W29" s="11"/>
      <c r="X29" s="11"/>
      <c r="Y29" s="11"/>
      <c r="Z29" s="17"/>
    </row>
    <row r="30" ht="34.5" customHeight="1">
      <c r="A30" s="25" t="s">
        <v>54</v>
      </c>
      <c r="B30" s="34" t="s">
        <v>26</v>
      </c>
      <c r="C30" s="34" t="s">
        <v>55</v>
      </c>
      <c r="D30" s="34" t="s">
        <v>59</v>
      </c>
      <c r="E30" s="34">
        <v>2090.0</v>
      </c>
      <c r="F30" s="35">
        <v>23.43</v>
      </c>
      <c r="G30" s="34">
        <v>12.0</v>
      </c>
      <c r="H30" s="35">
        <v>23.56</v>
      </c>
      <c r="I30" s="35">
        <v>43.76</v>
      </c>
      <c r="J30" s="36">
        <f t="shared" si="1"/>
        <v>1760.3443</v>
      </c>
      <c r="K30" s="36">
        <f t="shared" si="2"/>
        <v>1600.313</v>
      </c>
      <c r="L30" s="8">
        <f t="shared" si="3"/>
        <v>16.21017202</v>
      </c>
      <c r="M30" s="8">
        <f t="shared" si="4"/>
        <v>4.863051605</v>
      </c>
      <c r="N30" s="8">
        <f t="shared" si="5"/>
        <v>0.972610321</v>
      </c>
      <c r="O30" s="8">
        <f t="shared" si="6"/>
        <v>3.200626</v>
      </c>
      <c r="P30" s="8">
        <f t="shared" si="7"/>
        <v>4.800939</v>
      </c>
      <c r="Q30" s="8">
        <f t="shared" si="8"/>
        <v>1.600313</v>
      </c>
      <c r="R30" s="10"/>
      <c r="S30" s="10"/>
      <c r="T30" s="10"/>
      <c r="U30" s="10"/>
      <c r="V30" s="11"/>
      <c r="W30" s="11"/>
      <c r="X30" s="11"/>
      <c r="Y30" s="11"/>
      <c r="Z30" s="17"/>
    </row>
    <row r="31" ht="34.5" customHeight="1">
      <c r="A31" s="25" t="s">
        <v>54</v>
      </c>
      <c r="B31" s="34" t="s">
        <v>26</v>
      </c>
      <c r="C31" s="34" t="s">
        <v>55</v>
      </c>
      <c r="D31" s="34" t="s">
        <v>60</v>
      </c>
      <c r="E31" s="34">
        <v>354.0</v>
      </c>
      <c r="F31" s="35">
        <v>7.0</v>
      </c>
      <c r="G31" s="34">
        <v>8.0</v>
      </c>
      <c r="H31" s="35">
        <v>87.78</v>
      </c>
      <c r="I31" s="35">
        <v>87.78</v>
      </c>
      <c r="J31" s="36">
        <f t="shared" si="1"/>
        <v>362.142</v>
      </c>
      <c r="K31" s="36">
        <f t="shared" si="2"/>
        <v>329.22</v>
      </c>
      <c r="L31" s="8">
        <f t="shared" si="3"/>
        <v>3.334793151</v>
      </c>
      <c r="M31" s="8">
        <f t="shared" si="4"/>
        <v>1.000437945</v>
      </c>
      <c r="N31" s="8">
        <f t="shared" si="5"/>
        <v>0.200087589</v>
      </c>
      <c r="O31" s="8">
        <f t="shared" si="6"/>
        <v>0.65844</v>
      </c>
      <c r="P31" s="8">
        <f t="shared" si="7"/>
        <v>0.98766</v>
      </c>
      <c r="Q31" s="8">
        <f t="shared" si="8"/>
        <v>0.32922</v>
      </c>
      <c r="R31" s="10"/>
      <c r="S31" s="10"/>
      <c r="T31" s="10"/>
      <c r="U31" s="10"/>
      <c r="V31" s="11"/>
      <c r="W31" s="11"/>
      <c r="X31" s="11"/>
      <c r="Y31" s="11"/>
      <c r="Z31" s="17"/>
    </row>
    <row r="32" ht="34.5" customHeight="1">
      <c r="A32" s="25" t="s">
        <v>54</v>
      </c>
      <c r="B32" s="34" t="s">
        <v>26</v>
      </c>
      <c r="C32" s="34" t="s">
        <v>55</v>
      </c>
      <c r="D32" s="34" t="s">
        <v>61</v>
      </c>
      <c r="E32" s="34">
        <v>159.0</v>
      </c>
      <c r="F32" s="35">
        <v>11.15</v>
      </c>
      <c r="G32" s="34">
        <v>3.0</v>
      </c>
      <c r="H32" s="35">
        <v>65.4</v>
      </c>
      <c r="I32" s="35">
        <v>65.4</v>
      </c>
      <c r="J32" s="36">
        <f t="shared" si="1"/>
        <v>155.39865</v>
      </c>
      <c r="K32" s="37">
        <f t="shared" si="2"/>
        <v>141.2715</v>
      </c>
      <c r="L32" s="8">
        <f t="shared" si="3"/>
        <v>1.430992135</v>
      </c>
      <c r="M32" s="8">
        <f t="shared" si="4"/>
        <v>0.4292976404</v>
      </c>
      <c r="N32" s="8">
        <f t="shared" si="5"/>
        <v>0.08585952808</v>
      </c>
      <c r="O32" s="8">
        <f t="shared" si="6"/>
        <v>0.282543</v>
      </c>
      <c r="P32" s="8">
        <f t="shared" si="7"/>
        <v>0.4238145</v>
      </c>
      <c r="Q32" s="8">
        <f t="shared" si="8"/>
        <v>0.1412715</v>
      </c>
      <c r="R32" s="10"/>
      <c r="S32" s="10"/>
      <c r="T32" s="10"/>
      <c r="U32" s="10"/>
      <c r="V32" s="11"/>
      <c r="W32" s="11"/>
      <c r="X32" s="11"/>
      <c r="Y32" s="11"/>
      <c r="Z32" s="17"/>
    </row>
    <row r="33" ht="34.5" customHeight="1">
      <c r="A33" s="25" t="s">
        <v>54</v>
      </c>
      <c r="B33" s="34" t="s">
        <v>26</v>
      </c>
      <c r="C33" s="34" t="s">
        <v>55</v>
      </c>
      <c r="D33" s="34" t="s">
        <v>62</v>
      </c>
      <c r="E33" s="34">
        <v>3203.0</v>
      </c>
      <c r="F33" s="35">
        <v>34.96</v>
      </c>
      <c r="G33" s="34">
        <v>14.0</v>
      </c>
      <c r="H33" s="35">
        <v>9.53</v>
      </c>
      <c r="I33" s="35">
        <v>52.98</v>
      </c>
      <c r="J33" s="36">
        <f t="shared" si="1"/>
        <v>2291.55432</v>
      </c>
      <c r="K33" s="36">
        <f t="shared" si="2"/>
        <v>2083.2312</v>
      </c>
      <c r="L33" s="8">
        <f t="shared" si="3"/>
        <v>21.10183202</v>
      </c>
      <c r="M33" s="8">
        <f t="shared" si="4"/>
        <v>6.330549605</v>
      </c>
      <c r="N33" s="8">
        <f t="shared" si="5"/>
        <v>1.266109921</v>
      </c>
      <c r="O33" s="8">
        <f t="shared" si="6"/>
        <v>4.1664624</v>
      </c>
      <c r="P33" s="8">
        <f t="shared" si="7"/>
        <v>6.2496936</v>
      </c>
      <c r="Q33" s="8">
        <f t="shared" si="8"/>
        <v>2.0832312</v>
      </c>
      <c r="R33" s="10"/>
      <c r="S33" s="10"/>
      <c r="T33" s="10"/>
      <c r="U33" s="10"/>
      <c r="V33" s="11"/>
      <c r="W33" s="11"/>
      <c r="X33" s="11"/>
      <c r="Y33" s="11"/>
      <c r="Z33" s="17"/>
    </row>
    <row r="34" ht="34.5" customHeight="1">
      <c r="A34" s="25" t="s">
        <v>54</v>
      </c>
      <c r="B34" s="38" t="s">
        <v>26</v>
      </c>
      <c r="C34" s="38" t="s">
        <v>55</v>
      </c>
      <c r="D34" s="38" t="s">
        <v>63</v>
      </c>
      <c r="E34" s="34">
        <v>680.0</v>
      </c>
      <c r="F34" s="35">
        <v>24.96</v>
      </c>
      <c r="G34" s="34">
        <v>8.0</v>
      </c>
      <c r="H34" s="35">
        <v>45.92</v>
      </c>
      <c r="I34" s="35">
        <v>57.32</v>
      </c>
      <c r="J34" s="36">
        <f t="shared" si="1"/>
        <v>561.2992</v>
      </c>
      <c r="K34" s="36">
        <f t="shared" si="2"/>
        <v>510.272</v>
      </c>
      <c r="L34" s="8">
        <f t="shared" si="3"/>
        <v>5.168736925</v>
      </c>
      <c r="M34" s="8">
        <f t="shared" si="4"/>
        <v>1.550621078</v>
      </c>
      <c r="N34" s="39">
        <f t="shared" si="5"/>
        <v>0.3101242155</v>
      </c>
      <c r="O34" s="8">
        <f t="shared" si="6"/>
        <v>1.020544</v>
      </c>
      <c r="P34" s="8">
        <f t="shared" si="7"/>
        <v>1.530816</v>
      </c>
      <c r="Q34" s="8">
        <f t="shared" si="8"/>
        <v>0.510272</v>
      </c>
      <c r="R34" s="40"/>
      <c r="S34" s="40"/>
      <c r="T34" s="40"/>
      <c r="U34" s="40"/>
      <c r="V34" s="41"/>
      <c r="W34" s="41"/>
      <c r="X34" s="41"/>
      <c r="Y34" s="41"/>
      <c r="Z34" s="17"/>
    </row>
    <row r="35" ht="34.5" customHeight="1">
      <c r="A35" s="25" t="s">
        <v>64</v>
      </c>
      <c r="B35" s="42" t="s">
        <v>26</v>
      </c>
      <c r="C35" s="42" t="s">
        <v>65</v>
      </c>
      <c r="D35" s="42" t="s">
        <v>66</v>
      </c>
      <c r="E35" s="42">
        <v>5101.0</v>
      </c>
      <c r="F35" s="43">
        <v>47.33</v>
      </c>
      <c r="G35" s="42">
        <v>19.0</v>
      </c>
      <c r="H35" s="43">
        <v>0.0</v>
      </c>
      <c r="I35" s="43">
        <v>63.47</v>
      </c>
      <c r="J35" s="44">
        <f t="shared" si="1"/>
        <v>2955.36637</v>
      </c>
      <c r="K35" s="44">
        <f t="shared" si="2"/>
        <v>2686.6967</v>
      </c>
      <c r="L35" s="8">
        <f t="shared" si="3"/>
        <v>27.21456094</v>
      </c>
      <c r="M35" s="8">
        <f t="shared" si="4"/>
        <v>8.164368282</v>
      </c>
      <c r="N35" s="8">
        <f t="shared" si="5"/>
        <v>1.632873656</v>
      </c>
      <c r="O35" s="8">
        <f t="shared" si="6"/>
        <v>5.3733934</v>
      </c>
      <c r="P35" s="8">
        <f t="shared" si="7"/>
        <v>8.0600901</v>
      </c>
      <c r="Q35" s="8">
        <f t="shared" si="8"/>
        <v>2.6866967</v>
      </c>
      <c r="R35" s="10"/>
      <c r="S35" s="10"/>
      <c r="T35" s="10"/>
      <c r="U35" s="10"/>
      <c r="V35" s="45"/>
      <c r="W35" s="45"/>
      <c r="X35" s="45"/>
      <c r="Y35" s="45"/>
    </row>
    <row r="36" ht="34.5" customHeight="1">
      <c r="A36" s="25" t="s">
        <v>64</v>
      </c>
      <c r="B36" s="42" t="s">
        <v>26</v>
      </c>
      <c r="C36" s="42" t="s">
        <v>65</v>
      </c>
      <c r="D36" s="42" t="s">
        <v>67</v>
      </c>
      <c r="E36" s="42">
        <v>5048.0</v>
      </c>
      <c r="F36" s="43">
        <v>35.71</v>
      </c>
      <c r="G36" s="42">
        <v>15.0</v>
      </c>
      <c r="H36" s="43">
        <v>15.49</v>
      </c>
      <c r="I36" s="43">
        <v>37.36</v>
      </c>
      <c r="J36" s="44">
        <f t="shared" si="1"/>
        <v>3569.89512</v>
      </c>
      <c r="K36" s="44">
        <f t="shared" si="2"/>
        <v>3245.3592</v>
      </c>
      <c r="L36" s="8">
        <f t="shared" si="3"/>
        <v>32.87346343</v>
      </c>
      <c r="M36" s="8">
        <f t="shared" si="4"/>
        <v>9.86203903</v>
      </c>
      <c r="N36" s="8">
        <f t="shared" si="5"/>
        <v>1.972407806</v>
      </c>
      <c r="O36" s="8">
        <f t="shared" si="6"/>
        <v>6.4907184</v>
      </c>
      <c r="P36" s="8">
        <f t="shared" si="7"/>
        <v>9.7360776</v>
      </c>
      <c r="Q36" s="8">
        <f t="shared" si="8"/>
        <v>3.2453592</v>
      </c>
      <c r="R36" s="10"/>
      <c r="S36" s="10"/>
      <c r="T36" s="10"/>
      <c r="U36" s="10"/>
      <c r="V36" s="45"/>
      <c r="W36" s="45"/>
      <c r="X36" s="45"/>
      <c r="Y36" s="45"/>
    </row>
    <row r="37" ht="34.5" customHeight="1">
      <c r="A37" s="25" t="s">
        <v>64</v>
      </c>
      <c r="B37" s="42" t="s">
        <v>26</v>
      </c>
      <c r="C37" s="42" t="s">
        <v>65</v>
      </c>
      <c r="D37" s="42" t="s">
        <v>68</v>
      </c>
      <c r="E37" s="42">
        <v>3469.0</v>
      </c>
      <c r="F37" s="43">
        <v>27.81</v>
      </c>
      <c r="G37" s="42">
        <v>15.0</v>
      </c>
      <c r="H37" s="43">
        <v>23.22</v>
      </c>
      <c r="I37" s="43">
        <v>39.12</v>
      </c>
      <c r="J37" s="44">
        <f t="shared" si="1"/>
        <v>2754.69821</v>
      </c>
      <c r="K37" s="44">
        <f t="shared" si="2"/>
        <v>2504.2711</v>
      </c>
      <c r="L37" s="8">
        <f t="shared" si="3"/>
        <v>25.36670346</v>
      </c>
      <c r="M37" s="8">
        <f t="shared" si="4"/>
        <v>7.610011037</v>
      </c>
      <c r="N37" s="8">
        <f t="shared" si="5"/>
        <v>1.522002207</v>
      </c>
      <c r="O37" s="8">
        <f t="shared" si="6"/>
        <v>5.0085422</v>
      </c>
      <c r="P37" s="8">
        <f t="shared" si="7"/>
        <v>7.5128133</v>
      </c>
      <c r="Q37" s="8">
        <f t="shared" si="8"/>
        <v>2.5042711</v>
      </c>
      <c r="R37" s="10"/>
      <c r="S37" s="10"/>
      <c r="T37" s="10"/>
      <c r="U37" s="10"/>
      <c r="V37" s="45"/>
      <c r="W37" s="45"/>
      <c r="X37" s="45"/>
      <c r="Y37" s="45"/>
    </row>
    <row r="38" ht="34.5" customHeight="1">
      <c r="A38" s="25" t="s">
        <v>64</v>
      </c>
      <c r="B38" s="42" t="s">
        <v>26</v>
      </c>
      <c r="C38" s="42" t="s">
        <v>65</v>
      </c>
      <c r="D38" s="42" t="s">
        <v>69</v>
      </c>
      <c r="E38" s="42">
        <v>1287.0</v>
      </c>
      <c r="F38" s="43">
        <v>33.92</v>
      </c>
      <c r="G38" s="42">
        <v>10.0</v>
      </c>
      <c r="H38" s="43">
        <v>46.94</v>
      </c>
      <c r="I38" s="43">
        <v>75.06</v>
      </c>
      <c r="J38" s="44">
        <f t="shared" si="1"/>
        <v>935.49456</v>
      </c>
      <c r="K38" s="44">
        <f t="shared" si="2"/>
        <v>850.4496</v>
      </c>
      <c r="L38" s="8">
        <f t="shared" si="3"/>
        <v>8.614523726</v>
      </c>
      <c r="M38" s="8">
        <f t="shared" si="4"/>
        <v>2.584357118</v>
      </c>
      <c r="N38" s="8">
        <f t="shared" si="5"/>
        <v>0.5168714236</v>
      </c>
      <c r="O38" s="8">
        <f t="shared" si="6"/>
        <v>1.7008992</v>
      </c>
      <c r="P38" s="8">
        <f t="shared" si="7"/>
        <v>2.5513488</v>
      </c>
      <c r="Q38" s="8">
        <f t="shared" si="8"/>
        <v>0.8504496</v>
      </c>
      <c r="R38" s="10"/>
      <c r="S38" s="10"/>
      <c r="T38" s="10"/>
      <c r="U38" s="10"/>
      <c r="V38" s="45"/>
      <c r="W38" s="45"/>
      <c r="X38" s="45"/>
      <c r="Y38" s="45"/>
    </row>
    <row r="39" ht="34.5" customHeight="1">
      <c r="A39" s="25" t="s">
        <v>64</v>
      </c>
      <c r="B39" s="42" t="s">
        <v>26</v>
      </c>
      <c r="C39" s="42" t="s">
        <v>65</v>
      </c>
      <c r="D39" s="42" t="s">
        <v>70</v>
      </c>
      <c r="E39" s="42">
        <v>8196.0</v>
      </c>
      <c r="F39" s="43">
        <v>46.17</v>
      </c>
      <c r="G39" s="42">
        <v>36.0</v>
      </c>
      <c r="H39" s="43">
        <v>11.86</v>
      </c>
      <c r="I39" s="43">
        <v>44.94</v>
      </c>
      <c r="J39" s="44">
        <f t="shared" si="1"/>
        <v>4853.09748</v>
      </c>
      <c r="K39" s="44">
        <f t="shared" si="2"/>
        <v>4411.9068</v>
      </c>
      <c r="L39" s="8">
        <f t="shared" si="3"/>
        <v>44.68986264</v>
      </c>
      <c r="M39" s="8">
        <f t="shared" si="4"/>
        <v>13.40695879</v>
      </c>
      <c r="N39" s="8">
        <f t="shared" si="5"/>
        <v>2.681391758</v>
      </c>
      <c r="O39" s="8">
        <f t="shared" si="6"/>
        <v>8.8238136</v>
      </c>
      <c r="P39" s="8">
        <f t="shared" si="7"/>
        <v>13.2357204</v>
      </c>
      <c r="Q39" s="8">
        <f t="shared" si="8"/>
        <v>4.4119068</v>
      </c>
      <c r="R39" s="10"/>
      <c r="S39" s="10"/>
      <c r="T39" s="10"/>
      <c r="U39" s="10"/>
      <c r="V39" s="45"/>
      <c r="W39" s="45"/>
      <c r="X39" s="45"/>
      <c r="Y39" s="45"/>
    </row>
    <row r="40" ht="34.5" customHeight="1">
      <c r="A40" s="25" t="s">
        <v>64</v>
      </c>
      <c r="B40" s="42" t="s">
        <v>26</v>
      </c>
      <c r="C40" s="42" t="s">
        <v>65</v>
      </c>
      <c r="D40" s="42" t="s">
        <v>71</v>
      </c>
      <c r="E40" s="42">
        <v>216.0</v>
      </c>
      <c r="F40" s="43">
        <v>16.15</v>
      </c>
      <c r="G40" s="42">
        <v>4.0</v>
      </c>
      <c r="H40" s="43">
        <v>54.78</v>
      </c>
      <c r="I40" s="43">
        <v>54.78</v>
      </c>
      <c r="J40" s="44">
        <f t="shared" si="1"/>
        <v>199.2276</v>
      </c>
      <c r="K40" s="46">
        <f t="shared" si="2"/>
        <v>181.116</v>
      </c>
      <c r="L40" s="8">
        <f t="shared" si="3"/>
        <v>1.834592055</v>
      </c>
      <c r="M40" s="8">
        <f t="shared" si="4"/>
        <v>0.5503776164</v>
      </c>
      <c r="N40" s="8">
        <f t="shared" si="5"/>
        <v>0.1100755233</v>
      </c>
      <c r="O40" s="8">
        <f t="shared" si="6"/>
        <v>0.362232</v>
      </c>
      <c r="P40" s="8">
        <f t="shared" si="7"/>
        <v>0.543348</v>
      </c>
      <c r="Q40" s="8">
        <f t="shared" si="8"/>
        <v>0.181116</v>
      </c>
      <c r="R40" s="10"/>
      <c r="S40" s="10"/>
      <c r="T40" s="10"/>
      <c r="U40" s="10"/>
      <c r="V40" s="45"/>
      <c r="W40" s="45"/>
      <c r="X40" s="45"/>
      <c r="Y40" s="45"/>
    </row>
    <row r="41" ht="34.5" customHeight="1">
      <c r="A41" s="25" t="s">
        <v>64</v>
      </c>
      <c r="B41" s="47" t="s">
        <v>26</v>
      </c>
      <c r="C41" s="47" t="s">
        <v>65</v>
      </c>
      <c r="D41" s="47" t="s">
        <v>72</v>
      </c>
      <c r="E41" s="42">
        <v>2166.0</v>
      </c>
      <c r="F41" s="43">
        <v>41.2</v>
      </c>
      <c r="G41" s="42">
        <v>13.0</v>
      </c>
      <c r="H41" s="43">
        <v>0.0</v>
      </c>
      <c r="I41" s="43">
        <v>59.74</v>
      </c>
      <c r="J41" s="44">
        <f t="shared" si="1"/>
        <v>1400.9688</v>
      </c>
      <c r="K41" s="44">
        <f t="shared" si="2"/>
        <v>1273.608</v>
      </c>
      <c r="L41" s="8">
        <f t="shared" si="3"/>
        <v>12.90085425</v>
      </c>
      <c r="M41" s="8">
        <f t="shared" si="4"/>
        <v>3.870256274</v>
      </c>
      <c r="N41" s="8">
        <f t="shared" si="5"/>
        <v>0.7740512548</v>
      </c>
      <c r="O41" s="8">
        <f t="shared" si="6"/>
        <v>2.547216</v>
      </c>
      <c r="P41" s="8">
        <f t="shared" si="7"/>
        <v>3.820824</v>
      </c>
      <c r="Q41" s="8">
        <f t="shared" si="8"/>
        <v>1.273608</v>
      </c>
      <c r="R41" s="10"/>
      <c r="S41" s="10"/>
      <c r="T41" s="10"/>
      <c r="U41" s="10"/>
      <c r="V41" s="45"/>
      <c r="W41" s="45"/>
      <c r="X41" s="45"/>
      <c r="Y41" s="45"/>
    </row>
    <row r="42" ht="34.5" customHeight="1">
      <c r="A42" s="25" t="s">
        <v>73</v>
      </c>
      <c r="B42" s="42" t="s">
        <v>74</v>
      </c>
      <c r="C42" s="42" t="s">
        <v>74</v>
      </c>
      <c r="D42" s="42" t="s">
        <v>75</v>
      </c>
      <c r="E42" s="48">
        <v>991.0</v>
      </c>
      <c r="F42" s="49">
        <v>22.45</v>
      </c>
      <c r="G42" s="50">
        <v>5.0</v>
      </c>
      <c r="H42" s="49">
        <v>16.36</v>
      </c>
      <c r="I42" s="49">
        <v>61.19</v>
      </c>
      <c r="J42" s="51">
        <f t="shared" si="1"/>
        <v>845.37255</v>
      </c>
      <c r="K42" s="51">
        <f t="shared" si="2"/>
        <v>768.5205</v>
      </c>
      <c r="L42" s="8">
        <f t="shared" si="3"/>
        <v>7.784633071</v>
      </c>
      <c r="M42" s="8">
        <f t="shared" si="4"/>
        <v>2.335389921</v>
      </c>
      <c r="N42" s="8">
        <f t="shared" si="5"/>
        <v>0.4670779842</v>
      </c>
      <c r="O42" s="8">
        <f t="shared" si="6"/>
        <v>1.537041</v>
      </c>
      <c r="P42" s="8">
        <f t="shared" si="7"/>
        <v>2.3055615</v>
      </c>
      <c r="Q42" s="8">
        <f t="shared" si="8"/>
        <v>0.7685205</v>
      </c>
      <c r="R42" s="10"/>
      <c r="S42" s="10"/>
      <c r="T42" s="10"/>
      <c r="U42" s="10"/>
      <c r="V42" s="45"/>
      <c r="W42" s="45"/>
      <c r="X42" s="45"/>
      <c r="Y42" s="45"/>
    </row>
    <row r="43" ht="34.5" customHeight="1">
      <c r="A43" s="25" t="s">
        <v>73</v>
      </c>
      <c r="B43" s="42" t="s">
        <v>74</v>
      </c>
      <c r="C43" s="42" t="s">
        <v>74</v>
      </c>
      <c r="D43" s="42" t="s">
        <v>76</v>
      </c>
      <c r="E43" s="48">
        <v>1303.0</v>
      </c>
      <c r="F43" s="49">
        <v>41.24</v>
      </c>
      <c r="G43" s="50">
        <v>19.0</v>
      </c>
      <c r="H43" s="49">
        <v>26.4</v>
      </c>
      <c r="I43" s="49">
        <v>45.22</v>
      </c>
      <c r="J43" s="51">
        <f t="shared" si="1"/>
        <v>842.20708</v>
      </c>
      <c r="K43" s="51">
        <f t="shared" si="2"/>
        <v>765.6428</v>
      </c>
      <c r="L43" s="8">
        <f t="shared" si="3"/>
        <v>7.755483766</v>
      </c>
      <c r="M43" s="8">
        <f t="shared" si="4"/>
        <v>2.32664513</v>
      </c>
      <c r="N43" s="8">
        <f t="shared" si="5"/>
        <v>0.4653290259</v>
      </c>
      <c r="O43" s="8">
        <f t="shared" si="6"/>
        <v>1.5312856</v>
      </c>
      <c r="P43" s="8">
        <f t="shared" si="7"/>
        <v>2.2969284</v>
      </c>
      <c r="Q43" s="8">
        <f t="shared" si="8"/>
        <v>0.7656428</v>
      </c>
      <c r="R43" s="10"/>
      <c r="S43" s="10"/>
      <c r="T43" s="10"/>
      <c r="U43" s="10"/>
      <c r="V43" s="45"/>
      <c r="W43" s="45"/>
      <c r="X43" s="45"/>
      <c r="Y43" s="45"/>
    </row>
    <row r="44" ht="34.5" customHeight="1">
      <c r="A44" s="25" t="s">
        <v>73</v>
      </c>
      <c r="B44" s="42" t="s">
        <v>74</v>
      </c>
      <c r="C44" s="42" t="s">
        <v>74</v>
      </c>
      <c r="D44" s="42" t="s">
        <v>77</v>
      </c>
      <c r="E44" s="48">
        <v>3485.0</v>
      </c>
      <c r="F44" s="49">
        <v>39.49</v>
      </c>
      <c r="G44" s="50">
        <v>21.0</v>
      </c>
      <c r="H44" s="49">
        <v>46.29</v>
      </c>
      <c r="I44" s="49">
        <v>65.79</v>
      </c>
      <c r="J44" s="51">
        <f t="shared" si="1"/>
        <v>2319.65085</v>
      </c>
      <c r="K44" s="51">
        <f t="shared" si="2"/>
        <v>2108.7735</v>
      </c>
      <c r="L44" s="8">
        <f t="shared" si="3"/>
        <v>21.36055958</v>
      </c>
      <c r="M44" s="8">
        <f t="shared" si="4"/>
        <v>6.408167873</v>
      </c>
      <c r="N44" s="8">
        <f t="shared" si="5"/>
        <v>1.281633575</v>
      </c>
      <c r="O44" s="8">
        <f t="shared" si="6"/>
        <v>4.217547</v>
      </c>
      <c r="P44" s="8">
        <f t="shared" si="7"/>
        <v>6.3263205</v>
      </c>
      <c r="Q44" s="8">
        <f t="shared" si="8"/>
        <v>2.1087735</v>
      </c>
      <c r="R44" s="10"/>
      <c r="S44" s="10"/>
      <c r="T44" s="10"/>
      <c r="U44" s="10"/>
      <c r="V44" s="45"/>
      <c r="W44" s="45"/>
      <c r="X44" s="45"/>
      <c r="Y44" s="45"/>
    </row>
    <row r="45" ht="34.5" customHeight="1">
      <c r="A45" s="25" t="s">
        <v>73</v>
      </c>
      <c r="B45" s="42" t="s">
        <v>74</v>
      </c>
      <c r="C45" s="42" t="s">
        <v>74</v>
      </c>
      <c r="D45" s="42" t="s">
        <v>78</v>
      </c>
      <c r="E45" s="48">
        <v>1310.0</v>
      </c>
      <c r="F45" s="49">
        <v>14.18</v>
      </c>
      <c r="G45" s="50">
        <v>26.0</v>
      </c>
      <c r="H45" s="49">
        <v>77.93</v>
      </c>
      <c r="I45" s="49">
        <v>77.93</v>
      </c>
      <c r="J45" s="51">
        <f t="shared" si="1"/>
        <v>1236.6662</v>
      </c>
      <c r="K45" s="51">
        <f t="shared" si="2"/>
        <v>1124.242</v>
      </c>
      <c r="L45" s="8">
        <f t="shared" si="3"/>
        <v>11.38786988</v>
      </c>
      <c r="M45" s="8">
        <f t="shared" si="4"/>
        <v>3.416360963</v>
      </c>
      <c r="N45" s="8">
        <f t="shared" si="5"/>
        <v>0.6832721927</v>
      </c>
      <c r="O45" s="8">
        <f t="shared" si="6"/>
        <v>2.248484</v>
      </c>
      <c r="P45" s="8">
        <f t="shared" si="7"/>
        <v>3.372726</v>
      </c>
      <c r="Q45" s="8">
        <f t="shared" si="8"/>
        <v>1.124242</v>
      </c>
      <c r="R45" s="10"/>
      <c r="S45" s="10"/>
      <c r="T45" s="10"/>
      <c r="U45" s="10"/>
      <c r="V45" s="45"/>
      <c r="W45" s="45"/>
      <c r="X45" s="45"/>
      <c r="Y45" s="45"/>
    </row>
    <row r="46" ht="34.5" customHeight="1">
      <c r="A46" s="25" t="s">
        <v>73</v>
      </c>
      <c r="B46" s="42" t="s">
        <v>74</v>
      </c>
      <c r="C46" s="42" t="s">
        <v>74</v>
      </c>
      <c r="D46" s="42" t="s">
        <v>79</v>
      </c>
      <c r="E46" s="48">
        <v>667.0</v>
      </c>
      <c r="F46" s="49">
        <v>13.12</v>
      </c>
      <c r="G46" s="50">
        <v>9.0</v>
      </c>
      <c r="H46" s="49">
        <v>48.68</v>
      </c>
      <c r="I46" s="49">
        <v>48.68</v>
      </c>
      <c r="J46" s="51">
        <f t="shared" si="1"/>
        <v>637.43856</v>
      </c>
      <c r="K46" s="51">
        <f t="shared" si="2"/>
        <v>579.4896</v>
      </c>
      <c r="L46" s="8">
        <f t="shared" si="3"/>
        <v>5.869868018</v>
      </c>
      <c r="M46" s="8">
        <f t="shared" si="4"/>
        <v>1.760960405</v>
      </c>
      <c r="N46" s="8">
        <f t="shared" si="5"/>
        <v>0.3521920811</v>
      </c>
      <c r="O46" s="8">
        <f t="shared" si="6"/>
        <v>1.1589792</v>
      </c>
      <c r="P46" s="8">
        <f t="shared" si="7"/>
        <v>1.7384688</v>
      </c>
      <c r="Q46" s="8">
        <f t="shared" si="8"/>
        <v>0.5794896</v>
      </c>
      <c r="R46" s="10"/>
      <c r="S46" s="10"/>
      <c r="T46" s="10"/>
      <c r="U46" s="10"/>
      <c r="V46" s="45"/>
      <c r="W46" s="45"/>
      <c r="X46" s="45"/>
      <c r="Y46" s="45"/>
    </row>
    <row r="47" ht="34.5" customHeight="1">
      <c r="A47" s="25" t="s">
        <v>73</v>
      </c>
      <c r="B47" s="42" t="s">
        <v>74</v>
      </c>
      <c r="C47" s="42" t="s">
        <v>74</v>
      </c>
      <c r="D47" s="42" t="s">
        <v>80</v>
      </c>
      <c r="E47" s="48">
        <v>915.0</v>
      </c>
      <c r="F47" s="49">
        <v>15.53</v>
      </c>
      <c r="G47" s="50">
        <v>16.0</v>
      </c>
      <c r="H47" s="49">
        <v>70.73</v>
      </c>
      <c r="I47" s="49">
        <v>100.0</v>
      </c>
      <c r="J47" s="51">
        <f t="shared" si="1"/>
        <v>850.19055</v>
      </c>
      <c r="K47" s="51">
        <f t="shared" si="2"/>
        <v>772.9005</v>
      </c>
      <c r="L47" s="8">
        <f t="shared" si="3"/>
        <v>7.828999737</v>
      </c>
      <c r="M47" s="8">
        <f t="shared" si="4"/>
        <v>2.348699921</v>
      </c>
      <c r="N47" s="8">
        <f t="shared" si="5"/>
        <v>0.4697399842</v>
      </c>
      <c r="O47" s="8">
        <f t="shared" si="6"/>
        <v>1.545801</v>
      </c>
      <c r="P47" s="8">
        <f t="shared" si="7"/>
        <v>2.3187015</v>
      </c>
      <c r="Q47" s="8">
        <f t="shared" si="8"/>
        <v>0.7729005</v>
      </c>
      <c r="R47" s="10"/>
      <c r="S47" s="10">
        <v>2.0</v>
      </c>
      <c r="T47" s="10"/>
      <c r="U47" s="10"/>
      <c r="V47" s="11"/>
      <c r="W47" s="11"/>
      <c r="X47" s="11"/>
      <c r="Y47" s="11"/>
    </row>
    <row r="48" ht="34.5" customHeight="1">
      <c r="A48" s="25" t="s">
        <v>73</v>
      </c>
      <c r="B48" s="42" t="s">
        <v>74</v>
      </c>
      <c r="C48" s="42" t="s">
        <v>74</v>
      </c>
      <c r="D48" s="42" t="s">
        <v>81</v>
      </c>
      <c r="E48" s="48">
        <v>4098.0</v>
      </c>
      <c r="F48" s="49">
        <v>32.64</v>
      </c>
      <c r="G48" s="50">
        <v>30.0</v>
      </c>
      <c r="H48" s="49">
        <v>82.78</v>
      </c>
      <c r="I48" s="49">
        <v>86.13</v>
      </c>
      <c r="J48" s="51">
        <f t="shared" si="1"/>
        <v>3036.45408</v>
      </c>
      <c r="K48" s="51">
        <f t="shared" si="2"/>
        <v>2760.4128</v>
      </c>
      <c r="L48" s="8">
        <f t="shared" si="3"/>
        <v>27.96125903</v>
      </c>
      <c r="M48" s="8">
        <f t="shared" si="4"/>
        <v>8.38837771</v>
      </c>
      <c r="N48" s="8">
        <f t="shared" si="5"/>
        <v>1.677675542</v>
      </c>
      <c r="O48" s="8">
        <f t="shared" si="6"/>
        <v>5.5208256</v>
      </c>
      <c r="P48" s="8">
        <f t="shared" si="7"/>
        <v>8.2812384</v>
      </c>
      <c r="Q48" s="8">
        <f t="shared" si="8"/>
        <v>2.7604128</v>
      </c>
      <c r="R48" s="10">
        <v>1.0</v>
      </c>
      <c r="S48" s="10">
        <v>1.0</v>
      </c>
      <c r="T48" s="10"/>
      <c r="U48" s="10"/>
      <c r="V48" s="11"/>
      <c r="W48" s="11"/>
      <c r="X48" s="11"/>
      <c r="Y48" s="11">
        <v>1.0</v>
      </c>
    </row>
    <row r="49" ht="34.5" customHeight="1">
      <c r="A49" s="25" t="s">
        <v>73</v>
      </c>
      <c r="B49" s="42" t="s">
        <v>74</v>
      </c>
      <c r="C49" s="42" t="s">
        <v>74</v>
      </c>
      <c r="D49" s="42" t="s">
        <v>82</v>
      </c>
      <c r="E49" s="48">
        <v>3733.0</v>
      </c>
      <c r="F49" s="49">
        <v>65.73</v>
      </c>
      <c r="G49" s="50">
        <v>31.0</v>
      </c>
      <c r="H49" s="49">
        <v>27.07</v>
      </c>
      <c r="I49" s="49">
        <v>52.34</v>
      </c>
      <c r="J49" s="51">
        <f t="shared" si="1"/>
        <v>1407.22901</v>
      </c>
      <c r="K49" s="51">
        <f t="shared" si="2"/>
        <v>1279.2991</v>
      </c>
      <c r="L49" s="8">
        <f t="shared" si="3"/>
        <v>12.95850154</v>
      </c>
      <c r="M49" s="8">
        <f t="shared" si="4"/>
        <v>3.887550461</v>
      </c>
      <c r="N49" s="8">
        <f t="shared" si="5"/>
        <v>0.7775100923</v>
      </c>
      <c r="O49" s="8">
        <f t="shared" si="6"/>
        <v>2.5585982</v>
      </c>
      <c r="P49" s="8">
        <f t="shared" si="7"/>
        <v>3.8378973</v>
      </c>
      <c r="Q49" s="8">
        <f t="shared" si="8"/>
        <v>1.2792991</v>
      </c>
      <c r="R49" s="10">
        <v>1.0</v>
      </c>
      <c r="S49" s="10"/>
      <c r="T49" s="10">
        <v>1.0</v>
      </c>
      <c r="U49" s="10">
        <v>1.0</v>
      </c>
      <c r="V49" s="11"/>
      <c r="W49" s="11"/>
      <c r="X49" s="11"/>
      <c r="Y49" s="11">
        <v>2.0</v>
      </c>
    </row>
    <row r="50" ht="34.5" customHeight="1">
      <c r="A50" s="25" t="s">
        <v>73</v>
      </c>
      <c r="B50" s="42" t="s">
        <v>74</v>
      </c>
      <c r="C50" s="42" t="s">
        <v>74</v>
      </c>
      <c r="D50" s="42" t="s">
        <v>83</v>
      </c>
      <c r="E50" s="48">
        <v>3661.0</v>
      </c>
      <c r="F50" s="49">
        <v>38.38</v>
      </c>
      <c r="G50" s="50">
        <v>24.0</v>
      </c>
      <c r="H50" s="49">
        <v>27.35</v>
      </c>
      <c r="I50" s="49">
        <v>39.57</v>
      </c>
      <c r="J50" s="51">
        <f t="shared" si="1"/>
        <v>2481.49902</v>
      </c>
      <c r="K50" s="51">
        <f t="shared" si="2"/>
        <v>2255.9082</v>
      </c>
      <c r="L50" s="39">
        <f t="shared" si="3"/>
        <v>22.85094227</v>
      </c>
      <c r="M50" s="39">
        <f t="shared" si="4"/>
        <v>6.855282681</v>
      </c>
      <c r="N50" s="39">
        <f t="shared" si="5"/>
        <v>1.371056536</v>
      </c>
      <c r="O50" s="39">
        <f t="shared" si="6"/>
        <v>4.5118164</v>
      </c>
      <c r="P50" s="39">
        <f t="shared" si="7"/>
        <v>6.7677246</v>
      </c>
      <c r="Q50" s="39">
        <f t="shared" si="8"/>
        <v>2.2559082</v>
      </c>
      <c r="R50" s="40"/>
      <c r="S50" s="40"/>
      <c r="T50" s="40"/>
      <c r="U50" s="40"/>
      <c r="V50" s="41"/>
      <c r="W50" s="41"/>
      <c r="X50" s="41"/>
      <c r="Y50" s="41"/>
    </row>
    <row r="51" ht="34.5" customHeight="1">
      <c r="A51" s="25" t="s">
        <v>73</v>
      </c>
      <c r="B51" s="5" t="s">
        <v>84</v>
      </c>
      <c r="C51" s="5" t="s">
        <v>85</v>
      </c>
      <c r="D51" s="5" t="s">
        <v>86</v>
      </c>
      <c r="E51" s="52">
        <v>78.0</v>
      </c>
      <c r="F51" s="35">
        <v>2.45</v>
      </c>
      <c r="G51" s="34">
        <v>4.0</v>
      </c>
      <c r="H51" s="35">
        <v>100.0</v>
      </c>
      <c r="I51" s="35">
        <v>100.0</v>
      </c>
      <c r="J51" s="36">
        <f t="shared" si="1"/>
        <v>83.6979</v>
      </c>
      <c r="K51" s="36">
        <f t="shared" si="2"/>
        <v>76.089</v>
      </c>
      <c r="L51" s="8">
        <f t="shared" si="3"/>
        <v>0.7707340868</v>
      </c>
      <c r="M51" s="8">
        <f t="shared" si="4"/>
        <v>0.231220226</v>
      </c>
      <c r="N51" s="8">
        <f t="shared" si="5"/>
        <v>0.04624404521</v>
      </c>
      <c r="O51" s="8">
        <f t="shared" si="6"/>
        <v>0.152178</v>
      </c>
      <c r="P51" s="8">
        <f t="shared" si="7"/>
        <v>0.228267</v>
      </c>
      <c r="Q51" s="8">
        <f t="shared" si="8"/>
        <v>0.076089</v>
      </c>
      <c r="R51" s="40"/>
      <c r="S51" s="40"/>
      <c r="T51" s="40"/>
      <c r="U51" s="40"/>
      <c r="V51" s="40">
        <v>10.0</v>
      </c>
      <c r="W51" s="40"/>
      <c r="X51" s="40"/>
      <c r="Y51" s="40"/>
      <c r="Z51" s="17"/>
    </row>
    <row r="52" ht="34.5" customHeight="1">
      <c r="A52" s="25" t="s">
        <v>73</v>
      </c>
      <c r="B52" s="5" t="s">
        <v>84</v>
      </c>
      <c r="C52" s="5" t="s">
        <v>85</v>
      </c>
      <c r="D52" s="5" t="s">
        <v>87</v>
      </c>
      <c r="E52" s="52">
        <v>411.0</v>
      </c>
      <c r="F52" s="35">
        <v>17.23</v>
      </c>
      <c r="G52" s="34">
        <v>8.0</v>
      </c>
      <c r="H52" s="35">
        <v>96.68</v>
      </c>
      <c r="I52" s="35">
        <v>100.0</v>
      </c>
      <c r="J52" s="36">
        <f t="shared" si="1"/>
        <v>374.20317</v>
      </c>
      <c r="K52" s="36">
        <f t="shared" si="2"/>
        <v>340.1847</v>
      </c>
      <c r="L52" s="8">
        <f t="shared" si="3"/>
        <v>3.445858719</v>
      </c>
      <c r="M52" s="8">
        <f t="shared" si="4"/>
        <v>1.033757616</v>
      </c>
      <c r="N52" s="8">
        <f t="shared" si="5"/>
        <v>0.2067515232</v>
      </c>
      <c r="O52" s="8">
        <f t="shared" si="6"/>
        <v>0.6803694</v>
      </c>
      <c r="P52" s="8">
        <f t="shared" si="7"/>
        <v>1.0205541</v>
      </c>
      <c r="Q52" s="8">
        <f t="shared" si="8"/>
        <v>0.3401847</v>
      </c>
      <c r="R52" s="40"/>
      <c r="S52" s="40"/>
      <c r="T52" s="40"/>
      <c r="U52" s="40"/>
      <c r="V52" s="40"/>
      <c r="W52" s="40"/>
      <c r="X52" s="40"/>
      <c r="Y52" s="40"/>
      <c r="Z52" s="17"/>
    </row>
    <row r="53" ht="34.5" customHeight="1">
      <c r="A53" s="25" t="s">
        <v>73</v>
      </c>
      <c r="B53" s="5" t="s">
        <v>84</v>
      </c>
      <c r="C53" s="5" t="s">
        <v>85</v>
      </c>
      <c r="D53" s="5" t="s">
        <v>88</v>
      </c>
      <c r="E53" s="52">
        <v>158.0</v>
      </c>
      <c r="F53" s="35">
        <v>5.94</v>
      </c>
      <c r="G53" s="34">
        <v>5.0</v>
      </c>
      <c r="H53" s="35">
        <v>100.0</v>
      </c>
      <c r="I53" s="35">
        <v>100.0</v>
      </c>
      <c r="J53" s="36">
        <f t="shared" si="1"/>
        <v>163.47628</v>
      </c>
      <c r="K53" s="36">
        <f t="shared" si="2"/>
        <v>148.6148</v>
      </c>
      <c r="L53" s="8">
        <f t="shared" si="3"/>
        <v>1.505375181</v>
      </c>
      <c r="M53" s="8">
        <f t="shared" si="4"/>
        <v>0.4516125543</v>
      </c>
      <c r="N53" s="8">
        <f t="shared" si="5"/>
        <v>0.09032251087</v>
      </c>
      <c r="O53" s="8">
        <f t="shared" si="6"/>
        <v>0.2972296</v>
      </c>
      <c r="P53" s="8">
        <f t="shared" si="7"/>
        <v>0.4458444</v>
      </c>
      <c r="Q53" s="8">
        <f t="shared" si="8"/>
        <v>0.1486148</v>
      </c>
      <c r="R53" s="40"/>
      <c r="S53" s="40"/>
      <c r="T53" s="40"/>
      <c r="U53" s="40"/>
      <c r="V53" s="40"/>
      <c r="W53" s="40"/>
      <c r="X53" s="40"/>
      <c r="Y53" s="40"/>
      <c r="Z53" s="17"/>
    </row>
    <row r="54" ht="34.5" customHeight="1">
      <c r="A54" s="25" t="s">
        <v>73</v>
      </c>
      <c r="B54" s="5" t="s">
        <v>84</v>
      </c>
      <c r="C54" s="5" t="s">
        <v>85</v>
      </c>
      <c r="D54" s="5" t="s">
        <v>89</v>
      </c>
      <c r="E54" s="52">
        <v>165.0</v>
      </c>
      <c r="F54" s="35">
        <v>4.83</v>
      </c>
      <c r="G54" s="34">
        <v>9.0</v>
      </c>
      <c r="H54" s="35">
        <v>66.8</v>
      </c>
      <c r="I54" s="35">
        <v>86.16</v>
      </c>
      <c r="J54" s="36">
        <f t="shared" si="1"/>
        <v>172.73355</v>
      </c>
      <c r="K54" s="36">
        <f t="shared" si="2"/>
        <v>157.0305</v>
      </c>
      <c r="L54" s="8">
        <f t="shared" si="3"/>
        <v>1.59062097</v>
      </c>
      <c r="M54" s="8">
        <f t="shared" si="4"/>
        <v>0.4771862911</v>
      </c>
      <c r="N54" s="8">
        <f t="shared" si="5"/>
        <v>0.09543725822</v>
      </c>
      <c r="O54" s="8">
        <f t="shared" si="6"/>
        <v>0.314061</v>
      </c>
      <c r="P54" s="8">
        <f t="shared" si="7"/>
        <v>0.4710915</v>
      </c>
      <c r="Q54" s="8">
        <f t="shared" si="8"/>
        <v>0.1570305</v>
      </c>
      <c r="R54" s="40"/>
      <c r="S54" s="40"/>
      <c r="T54" s="40"/>
      <c r="U54" s="40"/>
      <c r="V54" s="40"/>
      <c r="W54" s="40"/>
      <c r="X54" s="40"/>
      <c r="Y54" s="40"/>
      <c r="Z54" s="17"/>
    </row>
    <row r="55" ht="34.5" customHeight="1">
      <c r="A55" s="25" t="s">
        <v>73</v>
      </c>
      <c r="B55" s="5" t="s">
        <v>84</v>
      </c>
      <c r="C55" s="5" t="s">
        <v>85</v>
      </c>
      <c r="D55" s="5" t="s">
        <v>90</v>
      </c>
      <c r="E55" s="52">
        <v>285.0</v>
      </c>
      <c r="F55" s="35">
        <v>4.56</v>
      </c>
      <c r="G55" s="34">
        <v>9.0</v>
      </c>
      <c r="H55" s="35">
        <v>78.26</v>
      </c>
      <c r="I55" s="35">
        <v>78.26</v>
      </c>
      <c r="J55" s="36">
        <f t="shared" si="1"/>
        <v>299.2044</v>
      </c>
      <c r="K55" s="36">
        <f t="shared" si="2"/>
        <v>272.004</v>
      </c>
      <c r="L55" s="8">
        <f t="shared" si="3"/>
        <v>2.755230776</v>
      </c>
      <c r="M55" s="8">
        <f t="shared" si="4"/>
        <v>0.8265692329</v>
      </c>
      <c r="N55" s="8">
        <f t="shared" si="5"/>
        <v>0.1653138466</v>
      </c>
      <c r="O55" s="8">
        <f t="shared" si="6"/>
        <v>0.544008</v>
      </c>
      <c r="P55" s="8">
        <f t="shared" si="7"/>
        <v>0.816012</v>
      </c>
      <c r="Q55" s="8">
        <f t="shared" si="8"/>
        <v>0.272004</v>
      </c>
      <c r="R55" s="40"/>
      <c r="S55" s="40"/>
      <c r="T55" s="40"/>
      <c r="U55" s="40"/>
      <c r="V55" s="40"/>
      <c r="W55" s="40"/>
      <c r="X55" s="40"/>
      <c r="Y55" s="40"/>
      <c r="Z55" s="17"/>
    </row>
    <row r="56" ht="34.5" customHeight="1">
      <c r="A56" s="25" t="s">
        <v>73</v>
      </c>
      <c r="B56" s="5" t="s">
        <v>84</v>
      </c>
      <c r="C56" s="5" t="s">
        <v>85</v>
      </c>
      <c r="D56" s="5" t="s">
        <v>91</v>
      </c>
      <c r="E56" s="52">
        <v>140.0</v>
      </c>
      <c r="F56" s="35">
        <v>3.74</v>
      </c>
      <c r="G56" s="34">
        <v>7.0</v>
      </c>
      <c r="H56" s="35">
        <v>100.0</v>
      </c>
      <c r="I56" s="35">
        <v>100.0</v>
      </c>
      <c r="J56" s="36">
        <f t="shared" si="1"/>
        <v>148.2404</v>
      </c>
      <c r="K56" s="36">
        <f t="shared" si="2"/>
        <v>134.764</v>
      </c>
      <c r="L56" s="8">
        <f t="shared" si="3"/>
        <v>1.365075221</v>
      </c>
      <c r="M56" s="8">
        <f t="shared" si="4"/>
        <v>0.4095225662</v>
      </c>
      <c r="N56" s="8">
        <f t="shared" si="5"/>
        <v>0.08190451324</v>
      </c>
      <c r="O56" s="8">
        <f t="shared" si="6"/>
        <v>0.269528</v>
      </c>
      <c r="P56" s="8">
        <f t="shared" si="7"/>
        <v>0.404292</v>
      </c>
      <c r="Q56" s="8">
        <f t="shared" si="8"/>
        <v>0.134764</v>
      </c>
      <c r="R56" s="40"/>
      <c r="S56" s="40"/>
      <c r="T56" s="40"/>
      <c r="U56" s="40"/>
      <c r="V56" s="40"/>
      <c r="W56" s="40"/>
      <c r="X56" s="40"/>
      <c r="Y56" s="40"/>
      <c r="Z56" s="17"/>
    </row>
    <row r="57" ht="34.5" customHeight="1">
      <c r="A57" s="25" t="s">
        <v>73</v>
      </c>
      <c r="B57" s="5" t="s">
        <v>84</v>
      </c>
      <c r="C57" s="5" t="s">
        <v>85</v>
      </c>
      <c r="D57" s="5" t="s">
        <v>92</v>
      </c>
      <c r="E57" s="52">
        <v>48.0</v>
      </c>
      <c r="F57" s="35">
        <v>1.56</v>
      </c>
      <c r="G57" s="34">
        <v>2.0</v>
      </c>
      <c r="H57" s="35">
        <v>100.0</v>
      </c>
      <c r="I57" s="35">
        <v>100.0</v>
      </c>
      <c r="J57" s="36">
        <f t="shared" si="1"/>
        <v>51.97632</v>
      </c>
      <c r="K57" s="36">
        <f t="shared" si="2"/>
        <v>47.2512</v>
      </c>
      <c r="L57" s="8">
        <f t="shared" si="3"/>
        <v>0.4786251689</v>
      </c>
      <c r="M57" s="8">
        <f t="shared" si="4"/>
        <v>0.1435875507</v>
      </c>
      <c r="N57" s="8">
        <f t="shared" si="5"/>
        <v>0.02871751014</v>
      </c>
      <c r="O57" s="8">
        <f t="shared" si="6"/>
        <v>0.0945024</v>
      </c>
      <c r="P57" s="8">
        <f t="shared" si="7"/>
        <v>0.1417536</v>
      </c>
      <c r="Q57" s="8">
        <f t="shared" si="8"/>
        <v>0.0472512</v>
      </c>
      <c r="R57" s="40"/>
      <c r="S57" s="40"/>
      <c r="T57" s="40"/>
      <c r="U57" s="40"/>
      <c r="V57" s="40"/>
      <c r="W57" s="40"/>
      <c r="X57" s="40"/>
      <c r="Y57" s="40"/>
      <c r="Z57" s="17"/>
    </row>
    <row r="58" ht="34.5" customHeight="1">
      <c r="A58" s="25" t="s">
        <v>73</v>
      </c>
      <c r="B58" s="5" t="s">
        <v>84</v>
      </c>
      <c r="C58" s="5" t="s">
        <v>85</v>
      </c>
      <c r="D58" s="5" t="s">
        <v>93</v>
      </c>
      <c r="E58" s="52">
        <v>151.0</v>
      </c>
      <c r="F58" s="35">
        <v>5.9</v>
      </c>
      <c r="G58" s="34">
        <v>5.0</v>
      </c>
      <c r="H58" s="35">
        <v>79.15</v>
      </c>
      <c r="I58" s="35">
        <v>100.0</v>
      </c>
      <c r="J58" s="36">
        <f t="shared" si="1"/>
        <v>156.3001</v>
      </c>
      <c r="K58" s="36">
        <f t="shared" si="2"/>
        <v>142.091</v>
      </c>
      <c r="L58" s="8">
        <f t="shared" si="3"/>
        <v>1.439293158</v>
      </c>
      <c r="M58" s="8">
        <f t="shared" si="4"/>
        <v>0.4317879475</v>
      </c>
      <c r="N58" s="8">
        <f t="shared" si="5"/>
        <v>0.0863575895</v>
      </c>
      <c r="O58" s="8">
        <f t="shared" si="6"/>
        <v>0.284182</v>
      </c>
      <c r="P58" s="8">
        <f t="shared" si="7"/>
        <v>0.426273</v>
      </c>
      <c r="Q58" s="8">
        <f t="shared" si="8"/>
        <v>0.142091</v>
      </c>
      <c r="R58" s="40"/>
      <c r="S58" s="40"/>
      <c r="T58" s="40"/>
      <c r="U58" s="40"/>
      <c r="V58" s="40"/>
      <c r="W58" s="40"/>
      <c r="X58" s="40"/>
      <c r="Y58" s="40"/>
      <c r="Z58" s="17"/>
    </row>
    <row r="59" ht="34.5" customHeight="1">
      <c r="A59" s="25" t="s">
        <v>73</v>
      </c>
      <c r="B59" s="5" t="s">
        <v>84</v>
      </c>
      <c r="C59" s="5" t="s">
        <v>85</v>
      </c>
      <c r="D59" s="5" t="s">
        <v>94</v>
      </c>
      <c r="E59" s="52">
        <v>193.0</v>
      </c>
      <c r="F59" s="35">
        <v>9.26</v>
      </c>
      <c r="G59" s="34">
        <v>7.0</v>
      </c>
      <c r="H59" s="35">
        <v>96.55</v>
      </c>
      <c r="I59" s="35">
        <v>100.0</v>
      </c>
      <c r="J59" s="36">
        <f t="shared" si="1"/>
        <v>192.64102</v>
      </c>
      <c r="K59" s="36">
        <f t="shared" si="2"/>
        <v>175.1282</v>
      </c>
      <c r="L59" s="8">
        <f t="shared" si="3"/>
        <v>1.773939377</v>
      </c>
      <c r="M59" s="8">
        <f t="shared" si="4"/>
        <v>0.5321818132</v>
      </c>
      <c r="N59" s="8">
        <f t="shared" si="5"/>
        <v>0.1064363626</v>
      </c>
      <c r="O59" s="8">
        <f t="shared" si="6"/>
        <v>0.3502564</v>
      </c>
      <c r="P59" s="8">
        <f t="shared" si="7"/>
        <v>0.5253846</v>
      </c>
      <c r="Q59" s="8">
        <f t="shared" si="8"/>
        <v>0.1751282</v>
      </c>
      <c r="R59" s="40"/>
      <c r="S59" s="40"/>
      <c r="T59" s="40"/>
      <c r="U59" s="40"/>
      <c r="V59" s="40"/>
      <c r="W59" s="40"/>
      <c r="X59" s="40"/>
      <c r="Y59" s="40"/>
      <c r="Z59" s="17"/>
    </row>
    <row r="60" ht="34.5" customHeight="1">
      <c r="A60" s="25" t="s">
        <v>73</v>
      </c>
      <c r="B60" s="5" t="s">
        <v>84</v>
      </c>
      <c r="C60" s="5" t="s">
        <v>85</v>
      </c>
      <c r="D60" s="5" t="s">
        <v>95</v>
      </c>
      <c r="E60" s="52">
        <v>208.0</v>
      </c>
      <c r="F60" s="35">
        <v>7.25</v>
      </c>
      <c r="G60" s="34">
        <v>6.0</v>
      </c>
      <c r="H60" s="35">
        <v>100.0</v>
      </c>
      <c r="I60" s="35">
        <v>100.0</v>
      </c>
      <c r="J60" s="36">
        <f t="shared" si="1"/>
        <v>212.212</v>
      </c>
      <c r="K60" s="36">
        <f t="shared" si="2"/>
        <v>192.92</v>
      </c>
      <c r="L60" s="8">
        <f t="shared" si="3"/>
        <v>1.954159209</v>
      </c>
      <c r="M60" s="8">
        <f t="shared" si="4"/>
        <v>0.5862477626</v>
      </c>
      <c r="N60" s="8">
        <f t="shared" si="5"/>
        <v>0.1172495525</v>
      </c>
      <c r="O60" s="8">
        <f t="shared" si="6"/>
        <v>0.38584</v>
      </c>
      <c r="P60" s="8">
        <f t="shared" si="7"/>
        <v>0.57876</v>
      </c>
      <c r="Q60" s="8">
        <f t="shared" si="8"/>
        <v>0.19292</v>
      </c>
      <c r="R60" s="40"/>
      <c r="S60" s="40"/>
      <c r="T60" s="40"/>
      <c r="U60" s="40"/>
      <c r="V60" s="40"/>
      <c r="W60" s="40"/>
      <c r="X60" s="40"/>
      <c r="Y60" s="40"/>
      <c r="Z60" s="17"/>
    </row>
    <row r="61" ht="34.5" customHeight="1">
      <c r="A61" s="25" t="s">
        <v>73</v>
      </c>
      <c r="B61" s="5" t="s">
        <v>84</v>
      </c>
      <c r="C61" s="5" t="s">
        <v>85</v>
      </c>
      <c r="D61" s="5" t="s">
        <v>96</v>
      </c>
      <c r="E61" s="52">
        <v>233.0</v>
      </c>
      <c r="F61" s="35">
        <v>5.15</v>
      </c>
      <c r="G61" s="34">
        <v>8.0</v>
      </c>
      <c r="H61" s="35">
        <v>100.0</v>
      </c>
      <c r="I61" s="35">
        <v>100.0</v>
      </c>
      <c r="J61" s="36">
        <f t="shared" si="1"/>
        <v>243.10055</v>
      </c>
      <c r="K61" s="36">
        <f t="shared" si="2"/>
        <v>221.0005</v>
      </c>
      <c r="L61" s="8">
        <f t="shared" si="3"/>
        <v>2.23859715</v>
      </c>
      <c r="M61" s="8">
        <f t="shared" si="4"/>
        <v>0.671579145</v>
      </c>
      <c r="N61" s="8">
        <f t="shared" si="5"/>
        <v>0.134315829</v>
      </c>
      <c r="O61" s="8">
        <f t="shared" si="6"/>
        <v>0.442001</v>
      </c>
      <c r="P61" s="8">
        <f t="shared" si="7"/>
        <v>0.6630015</v>
      </c>
      <c r="Q61" s="8">
        <f t="shared" si="8"/>
        <v>0.2210005</v>
      </c>
      <c r="R61" s="40"/>
      <c r="S61" s="40"/>
      <c r="T61" s="40"/>
      <c r="U61" s="40"/>
      <c r="V61" s="40"/>
      <c r="W61" s="40"/>
      <c r="X61" s="40"/>
      <c r="Y61" s="40"/>
      <c r="Z61" s="17"/>
    </row>
    <row r="62" ht="34.5" customHeight="1">
      <c r="A62" s="25" t="s">
        <v>73</v>
      </c>
      <c r="B62" s="5" t="s">
        <v>84</v>
      </c>
      <c r="C62" s="5" t="s">
        <v>85</v>
      </c>
      <c r="D62" s="5" t="s">
        <v>97</v>
      </c>
      <c r="E62" s="52">
        <v>265.0</v>
      </c>
      <c r="F62" s="35">
        <v>6.71</v>
      </c>
      <c r="G62" s="34">
        <v>8.0</v>
      </c>
      <c r="H62" s="35">
        <v>87.8</v>
      </c>
      <c r="I62" s="35">
        <v>100.0</v>
      </c>
      <c r="J62" s="36">
        <f t="shared" si="1"/>
        <v>271.94035</v>
      </c>
      <c r="K62" s="36">
        <f t="shared" si="2"/>
        <v>247.2185</v>
      </c>
      <c r="L62" s="8">
        <f t="shared" si="3"/>
        <v>2.504169129</v>
      </c>
      <c r="M62" s="8">
        <f t="shared" si="4"/>
        <v>0.7512507386</v>
      </c>
      <c r="N62" s="8">
        <f t="shared" si="5"/>
        <v>0.1502501477</v>
      </c>
      <c r="O62" s="8">
        <f t="shared" si="6"/>
        <v>0.494437</v>
      </c>
      <c r="P62" s="8">
        <f t="shared" si="7"/>
        <v>0.7416555</v>
      </c>
      <c r="Q62" s="8">
        <f t="shared" si="8"/>
        <v>0.2472185</v>
      </c>
      <c r="R62" s="40"/>
      <c r="S62" s="40"/>
      <c r="T62" s="40"/>
      <c r="U62" s="40"/>
      <c r="V62" s="40"/>
      <c r="W62" s="40"/>
      <c r="X62" s="40"/>
      <c r="Y62" s="40"/>
      <c r="Z62" s="17"/>
    </row>
    <row r="63" ht="34.5" customHeight="1">
      <c r="A63" s="25" t="s">
        <v>73</v>
      </c>
      <c r="B63" s="5" t="s">
        <v>84</v>
      </c>
      <c r="C63" s="5" t="s">
        <v>85</v>
      </c>
      <c r="D63" s="5" t="s">
        <v>98</v>
      </c>
      <c r="E63" s="52">
        <v>99.0</v>
      </c>
      <c r="F63" s="35">
        <v>3.77</v>
      </c>
      <c r="G63" s="34">
        <v>7.0</v>
      </c>
      <c r="H63" s="35">
        <v>100.0</v>
      </c>
      <c r="I63" s="35">
        <v>100.0</v>
      </c>
      <c r="J63" s="36">
        <f t="shared" si="1"/>
        <v>104.79447</v>
      </c>
      <c r="K63" s="36">
        <f t="shared" si="2"/>
        <v>95.2677</v>
      </c>
      <c r="L63" s="8">
        <f t="shared" si="3"/>
        <v>0.9650023493</v>
      </c>
      <c r="M63" s="8">
        <f t="shared" si="4"/>
        <v>0.2895007048</v>
      </c>
      <c r="N63" s="8">
        <f t="shared" si="5"/>
        <v>0.05790014096</v>
      </c>
      <c r="O63" s="8">
        <f t="shared" si="6"/>
        <v>0.1905354</v>
      </c>
      <c r="P63" s="8">
        <f t="shared" si="7"/>
        <v>0.2858031</v>
      </c>
      <c r="Q63" s="8">
        <f t="shared" si="8"/>
        <v>0.0952677</v>
      </c>
      <c r="R63" s="40"/>
      <c r="S63" s="40"/>
      <c r="T63" s="40"/>
      <c r="U63" s="40"/>
      <c r="V63" s="40"/>
      <c r="W63" s="40"/>
      <c r="X63" s="40"/>
      <c r="Y63" s="40"/>
      <c r="Z63" s="17"/>
    </row>
    <row r="64" ht="34.5" customHeight="1">
      <c r="A64" s="25" t="s">
        <v>73</v>
      </c>
      <c r="B64" s="5" t="s">
        <v>84</v>
      </c>
      <c r="C64" s="5" t="s">
        <v>85</v>
      </c>
      <c r="D64" s="5" t="s">
        <v>84</v>
      </c>
      <c r="E64" s="52">
        <v>732.0</v>
      </c>
      <c r="F64" s="35">
        <v>16.93</v>
      </c>
      <c r="G64" s="34">
        <v>18.0</v>
      </c>
      <c r="H64" s="35">
        <v>100.0</v>
      </c>
      <c r="I64" s="35">
        <v>100.0</v>
      </c>
      <c r="J64" s="36">
        <f t="shared" si="1"/>
        <v>668.87964</v>
      </c>
      <c r="K64" s="36">
        <f t="shared" si="2"/>
        <v>608.0724</v>
      </c>
      <c r="L64" s="8">
        <f t="shared" si="3"/>
        <v>6.159393945</v>
      </c>
      <c r="M64" s="8">
        <f t="shared" si="4"/>
        <v>1.847818184</v>
      </c>
      <c r="N64" s="8">
        <f t="shared" si="5"/>
        <v>0.3695636367</v>
      </c>
      <c r="O64" s="8">
        <f t="shared" si="6"/>
        <v>1.2161448</v>
      </c>
      <c r="P64" s="8">
        <f t="shared" si="7"/>
        <v>1.8242172</v>
      </c>
      <c r="Q64" s="8">
        <f t="shared" si="8"/>
        <v>0.6080724</v>
      </c>
      <c r="R64" s="40"/>
      <c r="S64" s="40"/>
      <c r="T64" s="40"/>
      <c r="U64" s="40"/>
      <c r="V64" s="40"/>
      <c r="W64" s="40"/>
      <c r="X64" s="40"/>
      <c r="Y64" s="40"/>
      <c r="Z64" s="17"/>
    </row>
    <row r="65" ht="34.5" customHeight="1">
      <c r="A65" s="25" t="s">
        <v>73</v>
      </c>
      <c r="B65" s="5" t="s">
        <v>84</v>
      </c>
      <c r="C65" s="5" t="s">
        <v>85</v>
      </c>
      <c r="D65" s="5" t="s">
        <v>99</v>
      </c>
      <c r="E65" s="52">
        <v>174.0</v>
      </c>
      <c r="F65" s="35">
        <v>5.5</v>
      </c>
      <c r="G65" s="34">
        <v>4.0</v>
      </c>
      <c r="H65" s="35">
        <v>100.0</v>
      </c>
      <c r="I65" s="35">
        <v>100.0</v>
      </c>
      <c r="J65" s="36">
        <f t="shared" si="1"/>
        <v>180.873</v>
      </c>
      <c r="K65" s="36">
        <f t="shared" si="2"/>
        <v>164.43</v>
      </c>
      <c r="L65" s="8">
        <f t="shared" si="3"/>
        <v>1.665573288</v>
      </c>
      <c r="M65" s="8">
        <f t="shared" si="4"/>
        <v>0.4996719863</v>
      </c>
      <c r="N65" s="8">
        <f t="shared" si="5"/>
        <v>0.09993439726</v>
      </c>
      <c r="O65" s="8">
        <f t="shared" si="6"/>
        <v>0.32886</v>
      </c>
      <c r="P65" s="8">
        <f t="shared" si="7"/>
        <v>0.49329</v>
      </c>
      <c r="Q65" s="8">
        <f t="shared" si="8"/>
        <v>0.16443</v>
      </c>
      <c r="R65" s="40"/>
      <c r="S65" s="40"/>
      <c r="T65" s="40"/>
      <c r="U65" s="40"/>
      <c r="V65" s="40"/>
      <c r="W65" s="40"/>
      <c r="X65" s="40"/>
      <c r="Y65" s="40"/>
      <c r="Z65" s="17"/>
    </row>
    <row r="66" ht="34.5" customHeight="1">
      <c r="A66" s="24" t="s">
        <v>100</v>
      </c>
      <c r="B66" s="52" t="s">
        <v>101</v>
      </c>
      <c r="C66" s="34" t="s">
        <v>102</v>
      </c>
      <c r="D66" s="34" t="s">
        <v>103</v>
      </c>
      <c r="E66" s="34">
        <v>66.0</v>
      </c>
      <c r="F66" s="35">
        <v>12.19</v>
      </c>
      <c r="G66" s="34">
        <v>2.0</v>
      </c>
      <c r="H66" s="35">
        <v>0.0</v>
      </c>
      <c r="I66" s="35">
        <v>0.0</v>
      </c>
      <c r="J66" s="36">
        <f t="shared" si="1"/>
        <v>63.75006</v>
      </c>
      <c r="K66" s="36">
        <f t="shared" si="2"/>
        <v>57.9546</v>
      </c>
      <c r="L66" s="8">
        <f t="shared" si="3"/>
        <v>0.5870439315</v>
      </c>
      <c r="M66" s="8">
        <f t="shared" si="4"/>
        <v>0.1761131795</v>
      </c>
      <c r="N66" s="8">
        <f t="shared" si="5"/>
        <v>0.03522263589</v>
      </c>
      <c r="O66" s="8">
        <f t="shared" si="6"/>
        <v>0.1159092</v>
      </c>
      <c r="P66" s="8">
        <f t="shared" si="7"/>
        <v>0.1738638</v>
      </c>
      <c r="Q66" s="8">
        <f t="shared" si="8"/>
        <v>0.0579546</v>
      </c>
      <c r="R66" s="53"/>
      <c r="S66" s="53"/>
      <c r="T66" s="53"/>
      <c r="U66" s="53"/>
      <c r="V66" s="53"/>
      <c r="W66" s="53"/>
      <c r="X66" s="53"/>
      <c r="Y66" s="53"/>
      <c r="Z66" s="17"/>
    </row>
    <row r="67" ht="34.5" customHeight="1">
      <c r="A67" s="24" t="s">
        <v>100</v>
      </c>
      <c r="B67" s="34" t="s">
        <v>101</v>
      </c>
      <c r="C67" s="34" t="s">
        <v>102</v>
      </c>
      <c r="D67" s="34" t="s">
        <v>104</v>
      </c>
      <c r="E67" s="34">
        <v>319.0</v>
      </c>
      <c r="F67" s="35">
        <v>13.29</v>
      </c>
      <c r="G67" s="34">
        <v>6.0</v>
      </c>
      <c r="H67" s="35">
        <v>27.35</v>
      </c>
      <c r="I67" s="35">
        <v>27.35</v>
      </c>
      <c r="J67" s="36">
        <f t="shared" si="1"/>
        <v>304.26539</v>
      </c>
      <c r="K67" s="36">
        <f t="shared" si="2"/>
        <v>276.6049</v>
      </c>
      <c r="L67" s="8">
        <f t="shared" si="3"/>
        <v>2.801835022</v>
      </c>
      <c r="M67" s="8">
        <f t="shared" si="4"/>
        <v>0.8405505066</v>
      </c>
      <c r="N67" s="8">
        <f t="shared" si="5"/>
        <v>0.1681101013</v>
      </c>
      <c r="O67" s="8">
        <f t="shared" si="6"/>
        <v>0.5532098</v>
      </c>
      <c r="P67" s="8">
        <f t="shared" si="7"/>
        <v>0.8298147</v>
      </c>
      <c r="Q67" s="8">
        <f t="shared" si="8"/>
        <v>0.2766049</v>
      </c>
      <c r="R67" s="53"/>
      <c r="S67" s="53"/>
      <c r="T67" s="53"/>
      <c r="U67" s="53"/>
      <c r="V67" s="53"/>
      <c r="W67" s="53"/>
      <c r="X67" s="53"/>
      <c r="Y67" s="53"/>
      <c r="Z67" s="17"/>
    </row>
    <row r="68" ht="34.5" customHeight="1">
      <c r="A68" s="24" t="s">
        <v>100</v>
      </c>
      <c r="B68" s="34" t="s">
        <v>101</v>
      </c>
      <c r="C68" s="34" t="s">
        <v>102</v>
      </c>
      <c r="D68" s="34" t="s">
        <v>105</v>
      </c>
      <c r="E68" s="34">
        <v>69.0</v>
      </c>
      <c r="F68" s="35">
        <v>5.08</v>
      </c>
      <c r="G68" s="34">
        <v>2.0</v>
      </c>
      <c r="H68" s="35">
        <v>100.0</v>
      </c>
      <c r="I68" s="35">
        <v>100.0</v>
      </c>
      <c r="J68" s="36">
        <f t="shared" si="1"/>
        <v>72.04428</v>
      </c>
      <c r="K68" s="36">
        <f t="shared" si="2"/>
        <v>65.4948</v>
      </c>
      <c r="L68" s="8">
        <f t="shared" si="3"/>
        <v>0.6634214521</v>
      </c>
      <c r="M68" s="8">
        <f t="shared" si="4"/>
        <v>0.1990264356</v>
      </c>
      <c r="N68" s="8">
        <f t="shared" si="5"/>
        <v>0.03980528712</v>
      </c>
      <c r="O68" s="8">
        <f t="shared" si="6"/>
        <v>0.1309896</v>
      </c>
      <c r="P68" s="8">
        <f t="shared" si="7"/>
        <v>0.1964844</v>
      </c>
      <c r="Q68" s="8">
        <f t="shared" si="8"/>
        <v>0.0654948</v>
      </c>
      <c r="R68" s="53"/>
      <c r="S68" s="53"/>
      <c r="T68" s="53"/>
      <c r="U68" s="53"/>
      <c r="V68" s="53"/>
      <c r="W68" s="53"/>
      <c r="X68" s="53"/>
      <c r="Y68" s="53"/>
      <c r="Z68" s="17"/>
    </row>
    <row r="69" ht="34.5" customHeight="1">
      <c r="A69" s="24" t="s">
        <v>100</v>
      </c>
      <c r="B69" s="34" t="s">
        <v>101</v>
      </c>
      <c r="C69" s="34" t="s">
        <v>102</v>
      </c>
      <c r="D69" s="34" t="s">
        <v>106</v>
      </c>
      <c r="E69" s="34">
        <v>588.0</v>
      </c>
      <c r="F69" s="35">
        <v>6.61</v>
      </c>
      <c r="G69" s="34">
        <v>10.0</v>
      </c>
      <c r="H69" s="35">
        <v>100.0</v>
      </c>
      <c r="I69" s="35">
        <v>100.0</v>
      </c>
      <c r="J69" s="36">
        <f t="shared" si="1"/>
        <v>604.04652</v>
      </c>
      <c r="K69" s="36">
        <f t="shared" si="2"/>
        <v>549.1332</v>
      </c>
      <c r="L69" s="8">
        <f t="shared" si="3"/>
        <v>5.56237663</v>
      </c>
      <c r="M69" s="8">
        <f t="shared" si="4"/>
        <v>1.668712989</v>
      </c>
      <c r="N69" s="8">
        <f t="shared" si="5"/>
        <v>0.3337425978</v>
      </c>
      <c r="O69" s="8">
        <f t="shared" si="6"/>
        <v>1.0982664</v>
      </c>
      <c r="P69" s="8">
        <f t="shared" si="7"/>
        <v>1.6473996</v>
      </c>
      <c r="Q69" s="8">
        <f t="shared" si="8"/>
        <v>0.5491332</v>
      </c>
      <c r="R69" s="53"/>
      <c r="S69" s="53"/>
      <c r="T69" s="53"/>
      <c r="U69" s="53"/>
      <c r="V69" s="53"/>
      <c r="W69" s="53"/>
      <c r="X69" s="53"/>
      <c r="Y69" s="53"/>
      <c r="Z69" s="17"/>
    </row>
    <row r="70" ht="34.5" customHeight="1">
      <c r="A70" s="24" t="s">
        <v>100</v>
      </c>
      <c r="B70" s="34" t="s">
        <v>101</v>
      </c>
      <c r="C70" s="34" t="s">
        <v>102</v>
      </c>
      <c r="D70" s="34" t="s">
        <v>107</v>
      </c>
      <c r="E70" s="34">
        <v>478.0</v>
      </c>
      <c r="F70" s="35">
        <v>38.32</v>
      </c>
      <c r="G70" s="34">
        <v>9.0</v>
      </c>
      <c r="H70" s="35">
        <v>0.0</v>
      </c>
      <c r="I70" s="35">
        <v>67.42</v>
      </c>
      <c r="J70" s="36">
        <f t="shared" si="1"/>
        <v>324.31344</v>
      </c>
      <c r="K70" s="36">
        <f t="shared" si="2"/>
        <v>294.8304</v>
      </c>
      <c r="L70" s="8">
        <f t="shared" si="3"/>
        <v>2.986447963</v>
      </c>
      <c r="M70" s="8">
        <f t="shared" si="4"/>
        <v>0.895934389</v>
      </c>
      <c r="N70" s="8">
        <f t="shared" si="5"/>
        <v>0.1791868778</v>
      </c>
      <c r="O70" s="8">
        <f t="shared" si="6"/>
        <v>0.5896608</v>
      </c>
      <c r="P70" s="8">
        <f t="shared" si="7"/>
        <v>0.8844912</v>
      </c>
      <c r="Q70" s="8">
        <f t="shared" si="8"/>
        <v>0.2948304</v>
      </c>
      <c r="R70" s="53"/>
      <c r="S70" s="53"/>
      <c r="T70" s="53"/>
      <c r="U70" s="53"/>
      <c r="V70" s="53"/>
      <c r="W70" s="53"/>
      <c r="X70" s="53"/>
      <c r="Y70" s="53"/>
      <c r="Z70" s="17"/>
    </row>
    <row r="71" ht="34.5" customHeight="1">
      <c r="A71" s="24" t="s">
        <v>100</v>
      </c>
      <c r="B71" s="34" t="s">
        <v>101</v>
      </c>
      <c r="C71" s="34" t="s">
        <v>102</v>
      </c>
      <c r="D71" s="34" t="s">
        <v>108</v>
      </c>
      <c r="E71" s="34">
        <v>251.0</v>
      </c>
      <c r="F71" s="35">
        <v>13.7</v>
      </c>
      <c r="G71" s="34">
        <v>4.0</v>
      </c>
      <c r="H71" s="35">
        <v>19.01</v>
      </c>
      <c r="I71" s="35">
        <v>71.25</v>
      </c>
      <c r="J71" s="36">
        <f t="shared" si="1"/>
        <v>238.2743</v>
      </c>
      <c r="K71" s="36">
        <f t="shared" si="2"/>
        <v>216.613</v>
      </c>
      <c r="L71" s="8">
        <f t="shared" si="3"/>
        <v>2.194154513</v>
      </c>
      <c r="M71" s="8">
        <f t="shared" si="4"/>
        <v>0.6582463539</v>
      </c>
      <c r="N71" s="8">
        <f t="shared" si="5"/>
        <v>0.1316492708</v>
      </c>
      <c r="O71" s="8">
        <f t="shared" si="6"/>
        <v>0.433226</v>
      </c>
      <c r="P71" s="8">
        <f t="shared" si="7"/>
        <v>0.649839</v>
      </c>
      <c r="Q71" s="8">
        <f t="shared" si="8"/>
        <v>0.216613</v>
      </c>
      <c r="R71" s="53"/>
      <c r="S71" s="53"/>
      <c r="T71" s="53"/>
      <c r="U71" s="53"/>
      <c r="V71" s="53"/>
      <c r="W71" s="53"/>
      <c r="X71" s="53"/>
      <c r="Y71" s="53"/>
      <c r="Z71" s="17"/>
    </row>
    <row r="72" ht="34.5" customHeight="1">
      <c r="A72" s="24" t="s">
        <v>100</v>
      </c>
      <c r="B72" s="34" t="s">
        <v>101</v>
      </c>
      <c r="C72" s="34" t="s">
        <v>102</v>
      </c>
      <c r="D72" s="34" t="s">
        <v>109</v>
      </c>
      <c r="E72" s="34">
        <v>144.0</v>
      </c>
      <c r="F72" s="35">
        <v>3.06</v>
      </c>
      <c r="G72" s="34">
        <v>5.0</v>
      </c>
      <c r="H72" s="35">
        <v>37.26</v>
      </c>
      <c r="I72" s="35">
        <v>63.17</v>
      </c>
      <c r="J72" s="36">
        <f t="shared" si="1"/>
        <v>153.55296</v>
      </c>
      <c r="K72" s="36">
        <f t="shared" si="2"/>
        <v>139.5936</v>
      </c>
      <c r="L72" s="8">
        <f t="shared" si="3"/>
        <v>1.413996055</v>
      </c>
      <c r="M72" s="8">
        <f t="shared" si="4"/>
        <v>0.4241988164</v>
      </c>
      <c r="N72" s="8">
        <f t="shared" si="5"/>
        <v>0.08483976329</v>
      </c>
      <c r="O72" s="8">
        <f t="shared" si="6"/>
        <v>0.2791872</v>
      </c>
      <c r="P72" s="8">
        <f t="shared" si="7"/>
        <v>0.4187808</v>
      </c>
      <c r="Q72" s="8">
        <f t="shared" si="8"/>
        <v>0.1395936</v>
      </c>
      <c r="R72" s="53"/>
      <c r="S72" s="53"/>
      <c r="T72" s="53"/>
      <c r="U72" s="53"/>
      <c r="V72" s="53"/>
      <c r="W72" s="53"/>
      <c r="X72" s="53"/>
      <c r="Y72" s="53"/>
      <c r="Z72" s="17"/>
    </row>
    <row r="73" ht="34.5" customHeight="1">
      <c r="A73" s="24" t="s">
        <v>100</v>
      </c>
      <c r="B73" s="34" t="s">
        <v>101</v>
      </c>
      <c r="C73" s="34" t="s">
        <v>102</v>
      </c>
      <c r="D73" s="34" t="s">
        <v>102</v>
      </c>
      <c r="E73" s="34">
        <v>1923.0</v>
      </c>
      <c r="F73" s="35">
        <v>19.99</v>
      </c>
      <c r="G73" s="34">
        <v>19.0</v>
      </c>
      <c r="H73" s="35">
        <v>31.57</v>
      </c>
      <c r="I73" s="35">
        <v>57.07</v>
      </c>
      <c r="J73" s="36">
        <f t="shared" si="1"/>
        <v>1692.45153</v>
      </c>
      <c r="K73" s="36">
        <f t="shared" si="2"/>
        <v>1538.5923</v>
      </c>
      <c r="L73" s="8">
        <f t="shared" si="3"/>
        <v>15.58497984</v>
      </c>
      <c r="M73" s="8">
        <f t="shared" si="4"/>
        <v>4.675493953</v>
      </c>
      <c r="N73" s="8">
        <f t="shared" si="5"/>
        <v>0.9350987905</v>
      </c>
      <c r="O73" s="8">
        <f t="shared" si="6"/>
        <v>3.0771846</v>
      </c>
      <c r="P73" s="8">
        <f t="shared" si="7"/>
        <v>4.6157769</v>
      </c>
      <c r="Q73" s="8">
        <f t="shared" si="8"/>
        <v>1.5385923</v>
      </c>
      <c r="R73" s="53"/>
      <c r="S73" s="53"/>
      <c r="T73" s="53"/>
      <c r="U73" s="53"/>
      <c r="V73" s="53"/>
      <c r="W73" s="53"/>
      <c r="X73" s="53"/>
      <c r="Y73" s="53"/>
      <c r="Z73" s="17"/>
    </row>
    <row r="74" ht="34.5" customHeight="1">
      <c r="A74" s="24" t="s">
        <v>100</v>
      </c>
      <c r="B74" s="34" t="s">
        <v>101</v>
      </c>
      <c r="C74" s="34" t="s">
        <v>102</v>
      </c>
      <c r="D74" s="34" t="s">
        <v>110</v>
      </c>
      <c r="E74" s="34">
        <v>51.0</v>
      </c>
      <c r="F74" s="35">
        <v>7.73</v>
      </c>
      <c r="G74" s="34">
        <v>1.0</v>
      </c>
      <c r="H74" s="35">
        <v>90.69</v>
      </c>
      <c r="I74" s="35">
        <v>90.69</v>
      </c>
      <c r="J74" s="36">
        <f t="shared" si="1"/>
        <v>51.76347</v>
      </c>
      <c r="K74" s="36">
        <f t="shared" si="2"/>
        <v>47.0577</v>
      </c>
      <c r="L74" s="8">
        <f t="shared" si="3"/>
        <v>0.4766651347</v>
      </c>
      <c r="M74" s="8">
        <f t="shared" si="4"/>
        <v>0.1429995404</v>
      </c>
      <c r="N74" s="8">
        <f t="shared" si="5"/>
        <v>0.02859990808</v>
      </c>
      <c r="O74" s="8">
        <f t="shared" si="6"/>
        <v>0.0941154</v>
      </c>
      <c r="P74" s="8">
        <f t="shared" si="7"/>
        <v>0.1411731</v>
      </c>
      <c r="Q74" s="8">
        <f t="shared" si="8"/>
        <v>0.0470577</v>
      </c>
      <c r="R74" s="53"/>
      <c r="S74" s="53"/>
      <c r="T74" s="53"/>
      <c r="U74" s="53"/>
      <c r="V74" s="53"/>
      <c r="W74" s="53"/>
      <c r="X74" s="53"/>
      <c r="Y74" s="53"/>
      <c r="Z74" s="17"/>
    </row>
    <row r="75" ht="34.5" customHeight="1">
      <c r="A75" s="24" t="s">
        <v>100</v>
      </c>
      <c r="B75" s="34" t="s">
        <v>101</v>
      </c>
      <c r="C75" s="34" t="s">
        <v>102</v>
      </c>
      <c r="D75" s="34" t="s">
        <v>111</v>
      </c>
      <c r="E75" s="34">
        <v>92.0</v>
      </c>
      <c r="F75" s="35">
        <v>4.41</v>
      </c>
      <c r="G75" s="34">
        <v>1.0</v>
      </c>
      <c r="H75" s="35">
        <v>89.93</v>
      </c>
      <c r="I75" s="35">
        <v>89.93</v>
      </c>
      <c r="J75" s="36">
        <f t="shared" si="1"/>
        <v>96.73708</v>
      </c>
      <c r="K75" s="36">
        <f t="shared" si="2"/>
        <v>87.9428</v>
      </c>
      <c r="L75" s="8">
        <f t="shared" si="3"/>
        <v>0.8908056834</v>
      </c>
      <c r="M75" s="8">
        <f t="shared" si="4"/>
        <v>0.267241705</v>
      </c>
      <c r="N75" s="8">
        <f t="shared" si="5"/>
        <v>0.053448341</v>
      </c>
      <c r="O75" s="8">
        <f t="shared" si="6"/>
        <v>0.1758856</v>
      </c>
      <c r="P75" s="8">
        <f t="shared" si="7"/>
        <v>0.2638284</v>
      </c>
      <c r="Q75" s="8">
        <f t="shared" si="8"/>
        <v>0.0879428</v>
      </c>
      <c r="R75" s="53"/>
      <c r="S75" s="53"/>
      <c r="T75" s="53"/>
      <c r="U75" s="53"/>
      <c r="V75" s="53"/>
      <c r="W75" s="53"/>
      <c r="X75" s="53"/>
      <c r="Y75" s="53"/>
      <c r="Z75" s="17"/>
    </row>
    <row r="76" ht="34.5" customHeight="1">
      <c r="A76" s="24" t="s">
        <v>100</v>
      </c>
      <c r="B76" s="34" t="s">
        <v>101</v>
      </c>
      <c r="C76" s="34" t="s">
        <v>102</v>
      </c>
      <c r="D76" s="34" t="s">
        <v>112</v>
      </c>
      <c r="E76" s="34">
        <v>360.0</v>
      </c>
      <c r="F76" s="35">
        <v>8.15</v>
      </c>
      <c r="G76" s="34">
        <v>7.0</v>
      </c>
      <c r="H76" s="35">
        <v>52.38</v>
      </c>
      <c r="I76" s="35">
        <v>79.71</v>
      </c>
      <c r="J76" s="36">
        <f t="shared" si="1"/>
        <v>363.726</v>
      </c>
      <c r="K76" s="36">
        <f t="shared" si="2"/>
        <v>330.66</v>
      </c>
      <c r="L76" s="8">
        <f t="shared" si="3"/>
        <v>3.349379452</v>
      </c>
      <c r="M76" s="8">
        <f t="shared" si="4"/>
        <v>1.004813836</v>
      </c>
      <c r="N76" s="8">
        <f t="shared" si="5"/>
        <v>0.2009627671</v>
      </c>
      <c r="O76" s="8">
        <f t="shared" si="6"/>
        <v>0.66132</v>
      </c>
      <c r="P76" s="8">
        <f t="shared" si="7"/>
        <v>0.99198</v>
      </c>
      <c r="Q76" s="8">
        <f t="shared" si="8"/>
        <v>0.33066</v>
      </c>
      <c r="R76" s="53"/>
      <c r="S76" s="53"/>
      <c r="T76" s="53"/>
      <c r="U76" s="53"/>
      <c r="V76" s="53"/>
      <c r="W76" s="53"/>
      <c r="X76" s="53"/>
      <c r="Y76" s="53"/>
      <c r="Z76" s="17"/>
    </row>
    <row r="77" ht="34.5" customHeight="1">
      <c r="A77" s="24" t="s">
        <v>100</v>
      </c>
      <c r="B77" s="34" t="s">
        <v>101</v>
      </c>
      <c r="C77" s="34" t="s">
        <v>102</v>
      </c>
      <c r="D77" s="34" t="s">
        <v>113</v>
      </c>
      <c r="E77" s="34">
        <v>124.0</v>
      </c>
      <c r="F77" s="35">
        <v>6.03</v>
      </c>
      <c r="G77" s="34">
        <v>3.0</v>
      </c>
      <c r="H77" s="35">
        <v>0.0</v>
      </c>
      <c r="I77" s="35">
        <v>100.0</v>
      </c>
      <c r="J77" s="36">
        <f t="shared" si="1"/>
        <v>128.17508</v>
      </c>
      <c r="K77" s="36">
        <f t="shared" si="2"/>
        <v>116.5228</v>
      </c>
      <c r="L77" s="8">
        <f t="shared" si="3"/>
        <v>1.180303248</v>
      </c>
      <c r="M77" s="8">
        <f t="shared" si="4"/>
        <v>0.3540909744</v>
      </c>
      <c r="N77" s="8">
        <f t="shared" si="5"/>
        <v>0.07081819489</v>
      </c>
      <c r="O77" s="8">
        <f t="shared" si="6"/>
        <v>0.2330456</v>
      </c>
      <c r="P77" s="8">
        <f t="shared" si="7"/>
        <v>0.3495684</v>
      </c>
      <c r="Q77" s="8">
        <f t="shared" si="8"/>
        <v>0.1165228</v>
      </c>
      <c r="R77" s="53"/>
      <c r="S77" s="53"/>
      <c r="T77" s="53"/>
      <c r="U77" s="53"/>
      <c r="V77" s="53"/>
      <c r="W77" s="53"/>
      <c r="X77" s="53"/>
      <c r="Y77" s="53"/>
      <c r="Z77" s="17"/>
    </row>
    <row r="78" ht="34.5" customHeight="1">
      <c r="A78" s="24" t="s">
        <v>100</v>
      </c>
      <c r="B78" s="34" t="s">
        <v>101</v>
      </c>
      <c r="C78" s="34" t="s">
        <v>102</v>
      </c>
      <c r="D78" s="34" t="s">
        <v>114</v>
      </c>
      <c r="E78" s="34">
        <v>1573.0</v>
      </c>
      <c r="F78" s="35">
        <v>27.13</v>
      </c>
      <c r="G78" s="34">
        <v>18.0</v>
      </c>
      <c r="H78" s="35">
        <v>45.33</v>
      </c>
      <c r="I78" s="35">
        <v>62.95</v>
      </c>
      <c r="J78" s="36">
        <f t="shared" si="1"/>
        <v>1260.86961</v>
      </c>
      <c r="K78" s="36">
        <f t="shared" si="2"/>
        <v>1146.2451</v>
      </c>
      <c r="L78" s="8">
        <f t="shared" si="3"/>
        <v>11.61074755</v>
      </c>
      <c r="M78" s="8">
        <f t="shared" si="4"/>
        <v>3.483224265</v>
      </c>
      <c r="N78" s="8">
        <f t="shared" si="5"/>
        <v>0.696644853</v>
      </c>
      <c r="O78" s="8">
        <f t="shared" si="6"/>
        <v>2.2924902</v>
      </c>
      <c r="P78" s="8">
        <f t="shared" si="7"/>
        <v>3.4387353</v>
      </c>
      <c r="Q78" s="8">
        <f t="shared" si="8"/>
        <v>1.1462451</v>
      </c>
      <c r="R78" s="53"/>
      <c r="S78" s="53"/>
      <c r="T78" s="53"/>
      <c r="U78" s="53"/>
      <c r="V78" s="53"/>
      <c r="W78" s="53"/>
      <c r="X78" s="53"/>
      <c r="Y78" s="53"/>
      <c r="Z78" s="17"/>
    </row>
    <row r="79" ht="34.5" customHeight="1">
      <c r="A79" s="24" t="s">
        <v>100</v>
      </c>
      <c r="B79" s="34" t="s">
        <v>101</v>
      </c>
      <c r="C79" s="34" t="s">
        <v>115</v>
      </c>
      <c r="D79" s="34" t="s">
        <v>116</v>
      </c>
      <c r="E79" s="34">
        <v>316.0</v>
      </c>
      <c r="F79" s="35">
        <v>7.2</v>
      </c>
      <c r="G79" s="34">
        <v>9.0</v>
      </c>
      <c r="H79" s="35">
        <v>84.93</v>
      </c>
      <c r="I79" s="35">
        <v>100.0</v>
      </c>
      <c r="J79" s="36">
        <f t="shared" si="1"/>
        <v>322.5728</v>
      </c>
      <c r="K79" s="36">
        <f t="shared" si="2"/>
        <v>293.248</v>
      </c>
      <c r="L79" s="8">
        <f t="shared" si="3"/>
        <v>2.970419239</v>
      </c>
      <c r="M79" s="8">
        <f t="shared" si="4"/>
        <v>0.8911257717</v>
      </c>
      <c r="N79" s="8">
        <f t="shared" si="5"/>
        <v>0.1782251543</v>
      </c>
      <c r="O79" s="8">
        <f t="shared" si="6"/>
        <v>0.586496</v>
      </c>
      <c r="P79" s="8">
        <f t="shared" si="7"/>
        <v>0.879744</v>
      </c>
      <c r="Q79" s="8">
        <f t="shared" si="8"/>
        <v>0.293248</v>
      </c>
      <c r="R79" s="53"/>
      <c r="S79" s="53"/>
      <c r="T79" s="53"/>
      <c r="U79" s="53"/>
      <c r="V79" s="53"/>
      <c r="W79" s="53"/>
      <c r="X79" s="53"/>
      <c r="Y79" s="53"/>
      <c r="Z79" s="17"/>
    </row>
    <row r="80" ht="34.5" customHeight="1">
      <c r="A80" s="24" t="s">
        <v>100</v>
      </c>
      <c r="B80" s="34" t="s">
        <v>101</v>
      </c>
      <c r="C80" s="34" t="s">
        <v>115</v>
      </c>
      <c r="D80" s="34" t="s">
        <v>117</v>
      </c>
      <c r="E80" s="34">
        <v>69.0</v>
      </c>
      <c r="F80" s="35">
        <v>0.37</v>
      </c>
      <c r="G80" s="34">
        <v>3.0</v>
      </c>
      <c r="H80" s="35">
        <v>100.0</v>
      </c>
      <c r="I80" s="35">
        <v>100.0</v>
      </c>
      <c r="J80" s="36">
        <f t="shared" si="1"/>
        <v>75.61917</v>
      </c>
      <c r="K80" s="36">
        <f t="shared" si="2"/>
        <v>68.7447</v>
      </c>
      <c r="L80" s="8">
        <f t="shared" si="3"/>
        <v>0.696340911</v>
      </c>
      <c r="M80" s="8">
        <f t="shared" si="4"/>
        <v>0.2089022733</v>
      </c>
      <c r="N80" s="8">
        <f t="shared" si="5"/>
        <v>0.04178045466</v>
      </c>
      <c r="O80" s="8">
        <f t="shared" si="6"/>
        <v>0.1374894</v>
      </c>
      <c r="P80" s="8">
        <f t="shared" si="7"/>
        <v>0.2062341</v>
      </c>
      <c r="Q80" s="8">
        <f t="shared" si="8"/>
        <v>0.0687447</v>
      </c>
      <c r="R80" s="53"/>
      <c r="S80" s="53"/>
      <c r="T80" s="53"/>
      <c r="U80" s="53"/>
      <c r="V80" s="53"/>
      <c r="W80" s="53"/>
      <c r="X80" s="53"/>
      <c r="Y80" s="53"/>
      <c r="Z80" s="17"/>
    </row>
    <row r="81" ht="34.5" customHeight="1">
      <c r="A81" s="24" t="s">
        <v>100</v>
      </c>
      <c r="B81" s="34" t="s">
        <v>101</v>
      </c>
      <c r="C81" s="34" t="s">
        <v>115</v>
      </c>
      <c r="D81" s="34" t="s">
        <v>118</v>
      </c>
      <c r="E81" s="34">
        <v>50.0</v>
      </c>
      <c r="F81" s="35">
        <v>4.65</v>
      </c>
      <c r="G81" s="34">
        <v>2.0</v>
      </c>
      <c r="H81" s="35">
        <v>87.25</v>
      </c>
      <c r="I81" s="35">
        <v>87.25</v>
      </c>
      <c r="J81" s="36">
        <f t="shared" si="1"/>
        <v>52.4425</v>
      </c>
      <c r="K81" s="36">
        <f t="shared" si="2"/>
        <v>47.675</v>
      </c>
      <c r="L81" s="8">
        <f t="shared" si="3"/>
        <v>0.4829179985</v>
      </c>
      <c r="M81" s="8">
        <f t="shared" si="4"/>
        <v>0.1448753995</v>
      </c>
      <c r="N81" s="8">
        <f t="shared" si="5"/>
        <v>0.02897507991</v>
      </c>
      <c r="O81" s="8">
        <f t="shared" si="6"/>
        <v>0.09535</v>
      </c>
      <c r="P81" s="8">
        <f t="shared" si="7"/>
        <v>0.143025</v>
      </c>
      <c r="Q81" s="8">
        <f t="shared" si="8"/>
        <v>0.047675</v>
      </c>
      <c r="R81" s="53"/>
      <c r="S81" s="53"/>
      <c r="T81" s="53"/>
      <c r="U81" s="53"/>
      <c r="V81" s="53"/>
      <c r="W81" s="53"/>
      <c r="X81" s="53"/>
      <c r="Y81" s="53"/>
      <c r="Z81" s="17"/>
    </row>
    <row r="82" ht="34.5" customHeight="1">
      <c r="A82" s="24" t="s">
        <v>100</v>
      </c>
      <c r="B82" s="34" t="s">
        <v>101</v>
      </c>
      <c r="C82" s="34" t="s">
        <v>115</v>
      </c>
      <c r="D82" s="34" t="s">
        <v>119</v>
      </c>
      <c r="E82" s="34">
        <v>297.0</v>
      </c>
      <c r="F82" s="35">
        <v>3.05</v>
      </c>
      <c r="G82" s="34">
        <v>6.0</v>
      </c>
      <c r="H82" s="35">
        <v>52.07</v>
      </c>
      <c r="I82" s="35">
        <v>77.72</v>
      </c>
      <c r="J82" s="36">
        <f t="shared" si="1"/>
        <v>316.73565</v>
      </c>
      <c r="K82" s="36">
        <f t="shared" si="2"/>
        <v>287.9415</v>
      </c>
      <c r="L82" s="8">
        <f t="shared" si="3"/>
        <v>2.916667705</v>
      </c>
      <c r="M82" s="8">
        <f t="shared" si="4"/>
        <v>0.8750003116</v>
      </c>
      <c r="N82" s="8">
        <f t="shared" si="5"/>
        <v>0.1750000623</v>
      </c>
      <c r="O82" s="8">
        <f t="shared" si="6"/>
        <v>0.575883</v>
      </c>
      <c r="P82" s="8">
        <f t="shared" si="7"/>
        <v>0.8638245</v>
      </c>
      <c r="Q82" s="8">
        <f t="shared" si="8"/>
        <v>0.2879415</v>
      </c>
      <c r="R82" s="53"/>
      <c r="S82" s="53"/>
      <c r="T82" s="53"/>
      <c r="U82" s="53"/>
      <c r="V82" s="53"/>
      <c r="W82" s="53"/>
      <c r="X82" s="53"/>
      <c r="Y82" s="53"/>
      <c r="Z82" s="17"/>
    </row>
    <row r="83" ht="34.5" customHeight="1">
      <c r="A83" s="24" t="s">
        <v>100</v>
      </c>
      <c r="B83" s="34" t="s">
        <v>101</v>
      </c>
      <c r="C83" s="34" t="s">
        <v>115</v>
      </c>
      <c r="D83" s="34" t="s">
        <v>120</v>
      </c>
      <c r="E83" s="34">
        <v>180.0</v>
      </c>
      <c r="F83" s="35">
        <v>1.57</v>
      </c>
      <c r="G83" s="34">
        <v>7.0</v>
      </c>
      <c r="H83" s="35">
        <v>100.0</v>
      </c>
      <c r="I83" s="35">
        <v>100.0</v>
      </c>
      <c r="J83" s="36">
        <f t="shared" si="1"/>
        <v>194.8914</v>
      </c>
      <c r="K83" s="36">
        <f t="shared" si="2"/>
        <v>177.174</v>
      </c>
      <c r="L83" s="8">
        <f t="shared" si="3"/>
        <v>1.794662055</v>
      </c>
      <c r="M83" s="8">
        <f t="shared" si="4"/>
        <v>0.5383986164</v>
      </c>
      <c r="N83" s="8">
        <f t="shared" si="5"/>
        <v>0.1076797233</v>
      </c>
      <c r="O83" s="8">
        <f t="shared" si="6"/>
        <v>0.354348</v>
      </c>
      <c r="P83" s="8">
        <f t="shared" si="7"/>
        <v>0.531522</v>
      </c>
      <c r="Q83" s="8">
        <f t="shared" si="8"/>
        <v>0.177174</v>
      </c>
      <c r="R83" s="53"/>
      <c r="S83" s="53"/>
      <c r="T83" s="53"/>
      <c r="U83" s="53"/>
      <c r="V83" s="53"/>
      <c r="W83" s="53"/>
      <c r="X83" s="53"/>
      <c r="Y83" s="53"/>
      <c r="Z83" s="17"/>
    </row>
    <row r="84" ht="34.5" customHeight="1">
      <c r="A84" s="24" t="s">
        <v>100</v>
      </c>
      <c r="B84" s="34" t="s">
        <v>101</v>
      </c>
      <c r="C84" s="34" t="s">
        <v>115</v>
      </c>
      <c r="D84" s="34" t="s">
        <v>121</v>
      </c>
      <c r="E84" s="34">
        <v>230.0</v>
      </c>
      <c r="F84" s="35">
        <v>6.59</v>
      </c>
      <c r="G84" s="34">
        <v>9.0</v>
      </c>
      <c r="H84" s="35">
        <v>98.26</v>
      </c>
      <c r="I84" s="35">
        <v>98.26</v>
      </c>
      <c r="J84" s="36">
        <f t="shared" si="1"/>
        <v>236.3273</v>
      </c>
      <c r="K84" s="36">
        <f t="shared" si="2"/>
        <v>214.843</v>
      </c>
      <c r="L84" s="8">
        <f t="shared" si="3"/>
        <v>2.176225518</v>
      </c>
      <c r="M84" s="8">
        <f t="shared" si="4"/>
        <v>0.6528676553</v>
      </c>
      <c r="N84" s="8">
        <f t="shared" si="5"/>
        <v>0.1305735311</v>
      </c>
      <c r="O84" s="8">
        <f t="shared" si="6"/>
        <v>0.429686</v>
      </c>
      <c r="P84" s="8">
        <f t="shared" si="7"/>
        <v>0.644529</v>
      </c>
      <c r="Q84" s="8">
        <f t="shared" si="8"/>
        <v>0.214843</v>
      </c>
      <c r="R84" s="53"/>
      <c r="S84" s="53"/>
      <c r="T84" s="53"/>
      <c r="U84" s="53"/>
      <c r="V84" s="53"/>
      <c r="W84" s="53"/>
      <c r="X84" s="53"/>
      <c r="Y84" s="53"/>
      <c r="Z84" s="17"/>
    </row>
    <row r="85" ht="34.5" customHeight="1">
      <c r="A85" s="24" t="s">
        <v>100</v>
      </c>
      <c r="B85" s="34" t="s">
        <v>101</v>
      </c>
      <c r="C85" s="34" t="s">
        <v>115</v>
      </c>
      <c r="D85" s="34" t="s">
        <v>122</v>
      </c>
      <c r="E85" s="34">
        <v>43.0</v>
      </c>
      <c r="F85" s="35">
        <v>3.2</v>
      </c>
      <c r="G85" s="34">
        <v>1.0</v>
      </c>
      <c r="H85" s="35">
        <v>100.0</v>
      </c>
      <c r="I85" s="35">
        <v>100.0</v>
      </c>
      <c r="J85" s="36">
        <f t="shared" si="1"/>
        <v>45.7864</v>
      </c>
      <c r="K85" s="36">
        <f t="shared" si="2"/>
        <v>41.624</v>
      </c>
      <c r="L85" s="8">
        <f t="shared" si="3"/>
        <v>0.4216251446</v>
      </c>
      <c r="M85" s="8">
        <f t="shared" si="4"/>
        <v>0.1264875434</v>
      </c>
      <c r="N85" s="8">
        <f t="shared" si="5"/>
        <v>0.02529750868</v>
      </c>
      <c r="O85" s="8">
        <f t="shared" si="6"/>
        <v>0.083248</v>
      </c>
      <c r="P85" s="8">
        <f t="shared" si="7"/>
        <v>0.124872</v>
      </c>
      <c r="Q85" s="8">
        <f t="shared" si="8"/>
        <v>0.041624</v>
      </c>
      <c r="R85" s="53"/>
      <c r="S85" s="53"/>
      <c r="T85" s="53"/>
      <c r="U85" s="53"/>
      <c r="V85" s="53"/>
      <c r="W85" s="53"/>
      <c r="X85" s="53"/>
      <c r="Y85" s="53"/>
      <c r="Z85" s="17"/>
    </row>
    <row r="86" ht="34.5" customHeight="1">
      <c r="A86" s="24" t="s">
        <v>100</v>
      </c>
      <c r="B86" s="34" t="s">
        <v>101</v>
      </c>
      <c r="C86" s="34" t="s">
        <v>115</v>
      </c>
      <c r="D86" s="34" t="s">
        <v>123</v>
      </c>
      <c r="E86" s="34">
        <v>1309.0</v>
      </c>
      <c r="F86" s="35">
        <v>17.91</v>
      </c>
      <c r="G86" s="34">
        <v>21.0</v>
      </c>
      <c r="H86" s="35">
        <v>43.88</v>
      </c>
      <c r="I86" s="35">
        <v>56.6</v>
      </c>
      <c r="J86" s="36">
        <f t="shared" si="1"/>
        <v>1182.01391</v>
      </c>
      <c r="K86" s="36">
        <f t="shared" si="2"/>
        <v>1074.5581</v>
      </c>
      <c r="L86" s="8">
        <f t="shared" si="3"/>
        <v>10.88460298</v>
      </c>
      <c r="M86" s="8">
        <f t="shared" si="4"/>
        <v>3.265380893</v>
      </c>
      <c r="N86" s="8">
        <f t="shared" si="5"/>
        <v>0.6530761786</v>
      </c>
      <c r="O86" s="8">
        <f t="shared" si="6"/>
        <v>2.1491162</v>
      </c>
      <c r="P86" s="8">
        <f t="shared" si="7"/>
        <v>3.2236743</v>
      </c>
      <c r="Q86" s="8">
        <f t="shared" si="8"/>
        <v>1.0745581</v>
      </c>
      <c r="R86" s="53"/>
      <c r="S86" s="53"/>
      <c r="T86" s="53"/>
      <c r="U86" s="53"/>
      <c r="V86" s="53"/>
      <c r="W86" s="53"/>
      <c r="X86" s="53"/>
      <c r="Y86" s="53"/>
      <c r="Z86" s="17"/>
    </row>
    <row r="87" ht="34.5" customHeight="1">
      <c r="A87" s="24" t="s">
        <v>100</v>
      </c>
      <c r="B87" s="34" t="s">
        <v>101</v>
      </c>
      <c r="C87" s="34" t="s">
        <v>115</v>
      </c>
      <c r="D87" s="34" t="s">
        <v>124</v>
      </c>
      <c r="E87" s="34">
        <v>62.0</v>
      </c>
      <c r="F87" s="35">
        <v>2.63</v>
      </c>
      <c r="G87" s="34">
        <v>2.0</v>
      </c>
      <c r="H87" s="35">
        <v>81.35</v>
      </c>
      <c r="I87" s="35">
        <v>81.35</v>
      </c>
      <c r="J87" s="36">
        <f t="shared" si="1"/>
        <v>66.40634</v>
      </c>
      <c r="K87" s="36">
        <f t="shared" si="2"/>
        <v>60.3694</v>
      </c>
      <c r="L87" s="8">
        <f t="shared" si="3"/>
        <v>0.6115043486</v>
      </c>
      <c r="M87" s="8">
        <f t="shared" si="4"/>
        <v>0.1834513046</v>
      </c>
      <c r="N87" s="8">
        <f t="shared" si="5"/>
        <v>0.03669026091</v>
      </c>
      <c r="O87" s="8">
        <f t="shared" si="6"/>
        <v>0.1207388</v>
      </c>
      <c r="P87" s="8">
        <f t="shared" si="7"/>
        <v>0.1811082</v>
      </c>
      <c r="Q87" s="8">
        <f t="shared" si="8"/>
        <v>0.0603694</v>
      </c>
      <c r="R87" s="53"/>
      <c r="S87" s="53"/>
      <c r="T87" s="53"/>
      <c r="U87" s="53"/>
      <c r="V87" s="53"/>
      <c r="W87" s="53"/>
      <c r="X87" s="53"/>
      <c r="Y87" s="53"/>
      <c r="Z87" s="17"/>
    </row>
    <row r="88" ht="34.5" customHeight="1">
      <c r="A88" s="24" t="s">
        <v>100</v>
      </c>
      <c r="B88" s="34" t="s">
        <v>101</v>
      </c>
      <c r="C88" s="34" t="s">
        <v>115</v>
      </c>
      <c r="D88" s="34" t="s">
        <v>125</v>
      </c>
      <c r="E88" s="34">
        <v>570.0</v>
      </c>
      <c r="F88" s="35">
        <v>8.61</v>
      </c>
      <c r="G88" s="34">
        <v>9.0</v>
      </c>
      <c r="H88" s="35">
        <v>27.33</v>
      </c>
      <c r="I88" s="35">
        <v>37.72</v>
      </c>
      <c r="J88" s="36">
        <f t="shared" si="1"/>
        <v>573.0153</v>
      </c>
      <c r="K88" s="36">
        <f t="shared" si="2"/>
        <v>520.923</v>
      </c>
      <c r="L88" s="8">
        <f t="shared" si="3"/>
        <v>5.276624909</v>
      </c>
      <c r="M88" s="8">
        <f t="shared" si="4"/>
        <v>1.582987473</v>
      </c>
      <c r="N88" s="8">
        <f t="shared" si="5"/>
        <v>0.3165974945</v>
      </c>
      <c r="O88" s="8">
        <f t="shared" si="6"/>
        <v>1.041846</v>
      </c>
      <c r="P88" s="8">
        <f t="shared" si="7"/>
        <v>1.562769</v>
      </c>
      <c r="Q88" s="8">
        <f t="shared" si="8"/>
        <v>0.520923</v>
      </c>
      <c r="R88" s="53"/>
      <c r="S88" s="53"/>
      <c r="T88" s="53"/>
      <c r="U88" s="53"/>
      <c r="V88" s="53"/>
      <c r="W88" s="53"/>
      <c r="X88" s="53"/>
      <c r="Y88" s="53"/>
      <c r="Z88" s="17"/>
    </row>
    <row r="89" ht="34.5" customHeight="1">
      <c r="A89" s="24" t="s">
        <v>100</v>
      </c>
      <c r="B89" s="34" t="s">
        <v>101</v>
      </c>
      <c r="C89" s="34" t="s">
        <v>115</v>
      </c>
      <c r="D89" s="34" t="s">
        <v>126</v>
      </c>
      <c r="E89" s="34">
        <v>119.0</v>
      </c>
      <c r="F89" s="35">
        <v>9.61</v>
      </c>
      <c r="G89" s="34">
        <v>4.0</v>
      </c>
      <c r="H89" s="35">
        <v>100.0</v>
      </c>
      <c r="I89" s="35">
        <v>100.0</v>
      </c>
      <c r="J89" s="36">
        <f t="shared" si="1"/>
        <v>118.32051</v>
      </c>
      <c r="K89" s="36">
        <f t="shared" si="2"/>
        <v>107.5641</v>
      </c>
      <c r="L89" s="8">
        <f t="shared" si="3"/>
        <v>1.089557208</v>
      </c>
      <c r="M89" s="8">
        <f t="shared" si="4"/>
        <v>0.3268671623</v>
      </c>
      <c r="N89" s="8">
        <f t="shared" si="5"/>
        <v>0.06537343247</v>
      </c>
      <c r="O89" s="8">
        <f t="shared" si="6"/>
        <v>0.2151282</v>
      </c>
      <c r="P89" s="8">
        <f t="shared" si="7"/>
        <v>0.3226923</v>
      </c>
      <c r="Q89" s="8">
        <f t="shared" si="8"/>
        <v>0.1075641</v>
      </c>
      <c r="R89" s="53"/>
      <c r="S89" s="53"/>
      <c r="T89" s="53"/>
      <c r="U89" s="53"/>
      <c r="V89" s="53"/>
      <c r="W89" s="53"/>
      <c r="X89" s="53"/>
      <c r="Y89" s="53"/>
      <c r="Z89" s="17"/>
    </row>
    <row r="90" ht="34.5" customHeight="1">
      <c r="A90" s="24" t="s">
        <v>100</v>
      </c>
      <c r="B90" s="34" t="s">
        <v>101</v>
      </c>
      <c r="C90" s="34" t="s">
        <v>115</v>
      </c>
      <c r="D90" s="34" t="s">
        <v>127</v>
      </c>
      <c r="E90" s="34">
        <v>34.0</v>
      </c>
      <c r="F90" s="35">
        <v>5.87</v>
      </c>
      <c r="G90" s="34">
        <v>2.0</v>
      </c>
      <c r="H90" s="35">
        <v>100.0</v>
      </c>
      <c r="I90" s="35">
        <v>100.0</v>
      </c>
      <c r="J90" s="36">
        <f t="shared" si="1"/>
        <v>35.20462</v>
      </c>
      <c r="K90" s="36">
        <f t="shared" si="2"/>
        <v>32.0042</v>
      </c>
      <c r="L90" s="8">
        <f t="shared" si="3"/>
        <v>0.3241825738</v>
      </c>
      <c r="M90" s="8">
        <f t="shared" si="4"/>
        <v>0.09725477215</v>
      </c>
      <c r="N90" s="8">
        <f t="shared" si="5"/>
        <v>0.01945095443</v>
      </c>
      <c r="O90" s="8">
        <f t="shared" si="6"/>
        <v>0.0640084</v>
      </c>
      <c r="P90" s="8">
        <f t="shared" si="7"/>
        <v>0.0960126</v>
      </c>
      <c r="Q90" s="8">
        <f t="shared" si="8"/>
        <v>0.0320042</v>
      </c>
      <c r="R90" s="53"/>
      <c r="S90" s="53"/>
      <c r="T90" s="53"/>
      <c r="U90" s="53"/>
      <c r="V90" s="53"/>
      <c r="W90" s="53"/>
      <c r="X90" s="53"/>
      <c r="Y90" s="53"/>
      <c r="Z90" s="17"/>
    </row>
    <row r="91" ht="34.5" customHeight="1">
      <c r="A91" s="24" t="s">
        <v>100</v>
      </c>
      <c r="B91" s="34" t="s">
        <v>101</v>
      </c>
      <c r="C91" s="34" t="s">
        <v>115</v>
      </c>
      <c r="D91" s="34" t="s">
        <v>128</v>
      </c>
      <c r="E91" s="34">
        <v>230.0</v>
      </c>
      <c r="F91" s="35">
        <v>2.95</v>
      </c>
      <c r="G91" s="34">
        <v>5.0</v>
      </c>
      <c r="H91" s="35">
        <v>83.92</v>
      </c>
      <c r="I91" s="35">
        <v>83.92</v>
      </c>
      <c r="J91" s="36">
        <f t="shared" si="1"/>
        <v>245.5365</v>
      </c>
      <c r="K91" s="36">
        <f t="shared" si="2"/>
        <v>223.215</v>
      </c>
      <c r="L91" s="8">
        <f t="shared" si="3"/>
        <v>2.261028653</v>
      </c>
      <c r="M91" s="8">
        <f t="shared" si="4"/>
        <v>0.6783085959</v>
      </c>
      <c r="N91" s="8">
        <f t="shared" si="5"/>
        <v>0.1356617192</v>
      </c>
      <c r="O91" s="8">
        <f t="shared" si="6"/>
        <v>0.44643</v>
      </c>
      <c r="P91" s="8">
        <f t="shared" si="7"/>
        <v>0.669645</v>
      </c>
      <c r="Q91" s="8">
        <f t="shared" si="8"/>
        <v>0.223215</v>
      </c>
      <c r="R91" s="53"/>
      <c r="S91" s="53"/>
      <c r="T91" s="53"/>
      <c r="U91" s="53"/>
      <c r="V91" s="53"/>
      <c r="W91" s="53"/>
      <c r="X91" s="53"/>
      <c r="Y91" s="53"/>
      <c r="Z91" s="17"/>
    </row>
    <row r="92" ht="34.5" customHeight="1">
      <c r="A92" s="24" t="s">
        <v>100</v>
      </c>
      <c r="B92" s="34" t="s">
        <v>101</v>
      </c>
      <c r="C92" s="34" t="s">
        <v>115</v>
      </c>
      <c r="D92" s="34" t="s">
        <v>129</v>
      </c>
      <c r="E92" s="34">
        <v>73.0</v>
      </c>
      <c r="F92" s="35">
        <v>2.36</v>
      </c>
      <c r="G92" s="34">
        <v>1.0</v>
      </c>
      <c r="H92" s="35">
        <v>100.0</v>
      </c>
      <c r="I92" s="35">
        <v>100.0</v>
      </c>
      <c r="J92" s="36">
        <f t="shared" si="1"/>
        <v>78.40492</v>
      </c>
      <c r="K92" s="36">
        <f t="shared" si="2"/>
        <v>71.2772</v>
      </c>
      <c r="L92" s="8">
        <f t="shared" si="3"/>
        <v>0.7219935556</v>
      </c>
      <c r="M92" s="8">
        <f t="shared" si="4"/>
        <v>0.2165980667</v>
      </c>
      <c r="N92" s="8">
        <f t="shared" si="5"/>
        <v>0.04331961333</v>
      </c>
      <c r="O92" s="8">
        <f t="shared" si="6"/>
        <v>0.1425544</v>
      </c>
      <c r="P92" s="8">
        <f t="shared" si="7"/>
        <v>0.2138316</v>
      </c>
      <c r="Q92" s="8">
        <f t="shared" si="8"/>
        <v>0.0712772</v>
      </c>
      <c r="R92" s="53"/>
      <c r="S92" s="53"/>
      <c r="T92" s="53"/>
      <c r="U92" s="53"/>
      <c r="V92" s="53"/>
      <c r="W92" s="53"/>
      <c r="X92" s="53"/>
      <c r="Y92" s="53"/>
      <c r="Z92" s="17"/>
    </row>
    <row r="93" ht="34.5" customHeight="1">
      <c r="A93" s="24" t="s">
        <v>100</v>
      </c>
      <c r="B93" s="34" t="s">
        <v>101</v>
      </c>
      <c r="C93" s="34" t="s">
        <v>115</v>
      </c>
      <c r="D93" s="34" t="s">
        <v>130</v>
      </c>
      <c r="E93" s="34">
        <v>80.0</v>
      </c>
      <c r="F93" s="35">
        <v>13.37</v>
      </c>
      <c r="G93" s="34">
        <v>3.0</v>
      </c>
      <c r="H93" s="35">
        <v>100.0</v>
      </c>
      <c r="I93" s="35">
        <v>100.0</v>
      </c>
      <c r="J93" s="36">
        <f t="shared" si="1"/>
        <v>76.2344</v>
      </c>
      <c r="K93" s="36">
        <f t="shared" si="2"/>
        <v>69.304</v>
      </c>
      <c r="L93" s="8">
        <f t="shared" si="3"/>
        <v>0.7020062709</v>
      </c>
      <c r="M93" s="8">
        <f t="shared" si="4"/>
        <v>0.2106018813</v>
      </c>
      <c r="N93" s="8">
        <f t="shared" si="5"/>
        <v>0.04212037626</v>
      </c>
      <c r="O93" s="8">
        <f t="shared" si="6"/>
        <v>0.138608</v>
      </c>
      <c r="P93" s="8">
        <f t="shared" si="7"/>
        <v>0.207912</v>
      </c>
      <c r="Q93" s="8">
        <f t="shared" si="8"/>
        <v>0.069304</v>
      </c>
      <c r="R93" s="53"/>
      <c r="S93" s="53"/>
      <c r="T93" s="53"/>
      <c r="U93" s="53"/>
      <c r="V93" s="53"/>
      <c r="W93" s="53"/>
      <c r="X93" s="53"/>
      <c r="Y93" s="53"/>
      <c r="Z93" s="17"/>
    </row>
    <row r="94" ht="34.5" customHeight="1">
      <c r="A94" s="24" t="s">
        <v>100</v>
      </c>
      <c r="B94" s="34" t="s">
        <v>101</v>
      </c>
      <c r="C94" s="34" t="s">
        <v>101</v>
      </c>
      <c r="D94" s="34" t="s">
        <v>131</v>
      </c>
      <c r="E94" s="34">
        <v>174.0</v>
      </c>
      <c r="F94" s="35">
        <v>45.74</v>
      </c>
      <c r="G94" s="34">
        <v>1.0</v>
      </c>
      <c r="H94" s="35">
        <v>0.0</v>
      </c>
      <c r="I94" s="35">
        <v>28.67</v>
      </c>
      <c r="J94" s="36">
        <f t="shared" si="1"/>
        <v>103.85364</v>
      </c>
      <c r="K94" s="36">
        <f t="shared" si="2"/>
        <v>94.4124</v>
      </c>
      <c r="L94" s="8">
        <f t="shared" si="3"/>
        <v>0.9563386941</v>
      </c>
      <c r="M94" s="8">
        <f t="shared" si="4"/>
        <v>0.2869016082</v>
      </c>
      <c r="N94" s="8">
        <f t="shared" si="5"/>
        <v>0.05738032164</v>
      </c>
      <c r="O94" s="8">
        <f t="shared" si="6"/>
        <v>0.1888248</v>
      </c>
      <c r="P94" s="8">
        <f t="shared" si="7"/>
        <v>0.2832372</v>
      </c>
      <c r="Q94" s="8">
        <f t="shared" si="8"/>
        <v>0.0944124</v>
      </c>
      <c r="R94" s="53"/>
      <c r="S94" s="53"/>
      <c r="T94" s="53"/>
      <c r="U94" s="53"/>
      <c r="V94" s="53"/>
      <c r="W94" s="53"/>
      <c r="X94" s="53"/>
      <c r="Y94" s="53"/>
      <c r="Z94" s="17"/>
    </row>
    <row r="95" ht="34.5" customHeight="1">
      <c r="A95" s="24" t="s">
        <v>100</v>
      </c>
      <c r="B95" s="34" t="s">
        <v>101</v>
      </c>
      <c r="C95" s="34" t="s">
        <v>101</v>
      </c>
      <c r="D95" s="34" t="s">
        <v>132</v>
      </c>
      <c r="E95" s="34">
        <v>331.0</v>
      </c>
      <c r="F95" s="35">
        <v>23.26</v>
      </c>
      <c r="G95" s="34">
        <v>3.0</v>
      </c>
      <c r="H95" s="35">
        <v>0.0</v>
      </c>
      <c r="I95" s="35">
        <v>22.13</v>
      </c>
      <c r="J95" s="36">
        <f t="shared" si="1"/>
        <v>279.41034</v>
      </c>
      <c r="K95" s="36">
        <f t="shared" si="2"/>
        <v>254.0094</v>
      </c>
      <c r="L95" s="8">
        <f t="shared" si="3"/>
        <v>2.572956708</v>
      </c>
      <c r="M95" s="8">
        <f t="shared" si="4"/>
        <v>0.7718870123</v>
      </c>
      <c r="N95" s="8">
        <f t="shared" si="5"/>
        <v>0.1543774025</v>
      </c>
      <c r="O95" s="8">
        <f t="shared" si="6"/>
        <v>0.5080188</v>
      </c>
      <c r="P95" s="8">
        <f t="shared" si="7"/>
        <v>0.7620282</v>
      </c>
      <c r="Q95" s="8">
        <f t="shared" si="8"/>
        <v>0.2540094</v>
      </c>
      <c r="R95" s="53"/>
      <c r="S95" s="53"/>
      <c r="T95" s="53"/>
      <c r="U95" s="53"/>
      <c r="V95" s="53"/>
      <c r="W95" s="53"/>
      <c r="X95" s="53"/>
      <c r="Y95" s="53"/>
      <c r="Z95" s="17"/>
    </row>
    <row r="96" ht="34.5" customHeight="1">
      <c r="A96" s="24" t="s">
        <v>100</v>
      </c>
      <c r="B96" s="34" t="s">
        <v>101</v>
      </c>
      <c r="C96" s="34" t="s">
        <v>101</v>
      </c>
      <c r="D96" s="34" t="s">
        <v>133</v>
      </c>
      <c r="E96" s="34">
        <v>378.0</v>
      </c>
      <c r="F96" s="35">
        <v>27.89</v>
      </c>
      <c r="G96" s="34">
        <v>8.0</v>
      </c>
      <c r="H96" s="35">
        <v>40.41</v>
      </c>
      <c r="I96" s="35">
        <v>40.41</v>
      </c>
      <c r="J96" s="36">
        <f t="shared" si="1"/>
        <v>299.83338</v>
      </c>
      <c r="K96" s="36">
        <f t="shared" si="2"/>
        <v>272.5758</v>
      </c>
      <c r="L96" s="8">
        <f t="shared" si="3"/>
        <v>2.761022753</v>
      </c>
      <c r="M96" s="8">
        <f t="shared" si="4"/>
        <v>0.828306826</v>
      </c>
      <c r="N96" s="8">
        <f t="shared" si="5"/>
        <v>0.1656613652</v>
      </c>
      <c r="O96" s="8">
        <f t="shared" si="6"/>
        <v>0.5451516</v>
      </c>
      <c r="P96" s="8">
        <f t="shared" si="7"/>
        <v>0.8177274</v>
      </c>
      <c r="Q96" s="8">
        <f t="shared" si="8"/>
        <v>0.2725758</v>
      </c>
      <c r="R96" s="53"/>
      <c r="S96" s="53"/>
      <c r="T96" s="53"/>
      <c r="U96" s="53"/>
      <c r="V96" s="53"/>
      <c r="W96" s="53"/>
      <c r="X96" s="53"/>
      <c r="Y96" s="53"/>
      <c r="Z96" s="17"/>
    </row>
    <row r="97" ht="34.5" customHeight="1">
      <c r="A97" s="24" t="s">
        <v>100</v>
      </c>
      <c r="B97" s="34" t="s">
        <v>101</v>
      </c>
      <c r="C97" s="34" t="s">
        <v>101</v>
      </c>
      <c r="D97" s="34" t="s">
        <v>134</v>
      </c>
      <c r="E97" s="34">
        <v>810.0</v>
      </c>
      <c r="F97" s="35">
        <v>30.76</v>
      </c>
      <c r="G97" s="34">
        <v>7.0</v>
      </c>
      <c r="H97" s="35">
        <v>5.66</v>
      </c>
      <c r="I97" s="35">
        <v>42.54</v>
      </c>
      <c r="J97" s="36">
        <f t="shared" si="1"/>
        <v>616.9284</v>
      </c>
      <c r="K97" s="36">
        <f t="shared" si="2"/>
        <v>560.844</v>
      </c>
      <c r="L97" s="8">
        <f t="shared" si="3"/>
        <v>5.680999726</v>
      </c>
      <c r="M97" s="8">
        <f t="shared" si="4"/>
        <v>1.704299918</v>
      </c>
      <c r="N97" s="8">
        <f t="shared" si="5"/>
        <v>0.3408599836</v>
      </c>
      <c r="O97" s="8">
        <f t="shared" si="6"/>
        <v>1.121688</v>
      </c>
      <c r="P97" s="8">
        <f t="shared" si="7"/>
        <v>1.682532</v>
      </c>
      <c r="Q97" s="8">
        <f t="shared" si="8"/>
        <v>0.560844</v>
      </c>
      <c r="R97" s="53"/>
      <c r="S97" s="53"/>
      <c r="T97" s="53"/>
      <c r="U97" s="53"/>
      <c r="V97" s="53"/>
      <c r="W97" s="53"/>
      <c r="X97" s="53"/>
      <c r="Y97" s="53"/>
      <c r="Z97" s="17"/>
    </row>
    <row r="98" ht="34.5" customHeight="1">
      <c r="A98" s="24" t="s">
        <v>100</v>
      </c>
      <c r="B98" s="34" t="s">
        <v>101</v>
      </c>
      <c r="C98" s="34" t="s">
        <v>101</v>
      </c>
      <c r="D98" s="34" t="s">
        <v>135</v>
      </c>
      <c r="E98" s="34">
        <v>276.0</v>
      </c>
      <c r="F98" s="35">
        <v>10.75</v>
      </c>
      <c r="G98" s="34">
        <v>4.0</v>
      </c>
      <c r="H98" s="35">
        <v>0.0</v>
      </c>
      <c r="I98" s="35">
        <v>19.27</v>
      </c>
      <c r="J98" s="36">
        <f t="shared" si="1"/>
        <v>270.963</v>
      </c>
      <c r="K98" s="36">
        <f t="shared" si="2"/>
        <v>246.33</v>
      </c>
      <c r="L98" s="8">
        <f t="shared" si="3"/>
        <v>2.495169178</v>
      </c>
      <c r="M98" s="8">
        <f t="shared" si="4"/>
        <v>0.7485507534</v>
      </c>
      <c r="N98" s="8">
        <f t="shared" si="5"/>
        <v>0.1497101507</v>
      </c>
      <c r="O98" s="8">
        <f t="shared" si="6"/>
        <v>0.49266</v>
      </c>
      <c r="P98" s="8">
        <f t="shared" si="7"/>
        <v>0.73899</v>
      </c>
      <c r="Q98" s="8">
        <f t="shared" si="8"/>
        <v>0.24633</v>
      </c>
      <c r="R98" s="53"/>
      <c r="S98" s="53"/>
      <c r="T98" s="53"/>
      <c r="U98" s="53"/>
      <c r="V98" s="53"/>
      <c r="W98" s="53"/>
      <c r="X98" s="53"/>
      <c r="Y98" s="53"/>
      <c r="Z98" s="17"/>
    </row>
    <row r="99" ht="34.5" customHeight="1">
      <c r="A99" s="24" t="s">
        <v>100</v>
      </c>
      <c r="B99" s="34" t="s">
        <v>101</v>
      </c>
      <c r="C99" s="34" t="s">
        <v>101</v>
      </c>
      <c r="D99" s="34" t="s">
        <v>136</v>
      </c>
      <c r="E99" s="34">
        <v>940.0</v>
      </c>
      <c r="F99" s="35">
        <v>16.1</v>
      </c>
      <c r="G99" s="34">
        <v>16.0</v>
      </c>
      <c r="H99" s="35">
        <v>26.24</v>
      </c>
      <c r="I99" s="35">
        <v>51.19</v>
      </c>
      <c r="J99" s="36">
        <f t="shared" si="1"/>
        <v>867.526</v>
      </c>
      <c r="K99" s="36">
        <f t="shared" si="2"/>
        <v>788.66</v>
      </c>
      <c r="L99" s="8">
        <f t="shared" si="3"/>
        <v>7.988633638</v>
      </c>
      <c r="M99" s="8">
        <f t="shared" si="4"/>
        <v>2.396590091</v>
      </c>
      <c r="N99" s="8">
        <f t="shared" si="5"/>
        <v>0.4793180183</v>
      </c>
      <c r="O99" s="8">
        <f t="shared" si="6"/>
        <v>1.57732</v>
      </c>
      <c r="P99" s="8">
        <f t="shared" si="7"/>
        <v>2.36598</v>
      </c>
      <c r="Q99" s="8">
        <f t="shared" si="8"/>
        <v>0.78866</v>
      </c>
      <c r="R99" s="53"/>
      <c r="S99" s="53"/>
      <c r="T99" s="53"/>
      <c r="U99" s="53"/>
      <c r="V99" s="53"/>
      <c r="W99" s="53"/>
      <c r="X99" s="53"/>
      <c r="Y99" s="53"/>
      <c r="Z99" s="17"/>
    </row>
    <row r="100" ht="34.5" customHeight="1">
      <c r="A100" s="24" t="s">
        <v>100</v>
      </c>
      <c r="B100" s="34" t="s">
        <v>101</v>
      </c>
      <c r="C100" s="34" t="s">
        <v>101</v>
      </c>
      <c r="D100" s="34" t="s">
        <v>137</v>
      </c>
      <c r="E100" s="34">
        <v>324.0</v>
      </c>
      <c r="F100" s="35">
        <v>15.31</v>
      </c>
      <c r="G100" s="34">
        <v>5.0</v>
      </c>
      <c r="H100" s="35">
        <v>27.87</v>
      </c>
      <c r="I100" s="35">
        <v>50.09</v>
      </c>
      <c r="J100" s="36">
        <f t="shared" si="1"/>
        <v>301.83516</v>
      </c>
      <c r="K100" s="36">
        <f t="shared" si="2"/>
        <v>274.3956</v>
      </c>
      <c r="L100" s="8">
        <f t="shared" si="3"/>
        <v>2.779456192</v>
      </c>
      <c r="M100" s="8">
        <f t="shared" si="4"/>
        <v>0.8338368575</v>
      </c>
      <c r="N100" s="8">
        <f t="shared" si="5"/>
        <v>0.1667673715</v>
      </c>
      <c r="O100" s="8">
        <f t="shared" si="6"/>
        <v>0.5487912</v>
      </c>
      <c r="P100" s="8">
        <f t="shared" si="7"/>
        <v>0.8231868</v>
      </c>
      <c r="Q100" s="8">
        <f t="shared" si="8"/>
        <v>0.2743956</v>
      </c>
      <c r="R100" s="53"/>
      <c r="S100" s="53"/>
      <c r="T100" s="53"/>
      <c r="U100" s="53"/>
      <c r="V100" s="53"/>
      <c r="W100" s="53"/>
      <c r="X100" s="53"/>
      <c r="Y100" s="53"/>
      <c r="Z100" s="17"/>
    </row>
    <row r="101" ht="34.5" customHeight="1">
      <c r="A101" s="24" t="s">
        <v>100</v>
      </c>
      <c r="B101" s="34" t="s">
        <v>101</v>
      </c>
      <c r="C101" s="34" t="s">
        <v>101</v>
      </c>
      <c r="D101" s="34" t="s">
        <v>138</v>
      </c>
      <c r="E101" s="34">
        <v>2013.0</v>
      </c>
      <c r="F101" s="35">
        <v>40.49</v>
      </c>
      <c r="G101" s="34">
        <v>17.0</v>
      </c>
      <c r="H101" s="35">
        <v>0.0</v>
      </c>
      <c r="I101" s="35">
        <v>39.96</v>
      </c>
      <c r="J101" s="36">
        <f t="shared" si="1"/>
        <v>1317.72993</v>
      </c>
      <c r="K101" s="36">
        <f t="shared" si="2"/>
        <v>1197.9363</v>
      </c>
      <c r="L101" s="8">
        <f t="shared" si="3"/>
        <v>12.13434715</v>
      </c>
      <c r="M101" s="8">
        <f t="shared" si="4"/>
        <v>3.640304145</v>
      </c>
      <c r="N101" s="8">
        <f t="shared" si="5"/>
        <v>0.7280608289</v>
      </c>
      <c r="O101" s="8">
        <f t="shared" si="6"/>
        <v>2.3958726</v>
      </c>
      <c r="P101" s="8">
        <f t="shared" si="7"/>
        <v>3.5938089</v>
      </c>
      <c r="Q101" s="8">
        <f t="shared" si="8"/>
        <v>1.1979363</v>
      </c>
      <c r="R101" s="53"/>
      <c r="S101" s="53"/>
      <c r="T101" s="53"/>
      <c r="U101" s="53"/>
      <c r="V101" s="53"/>
      <c r="W101" s="53"/>
      <c r="X101" s="53"/>
      <c r="Y101" s="53"/>
      <c r="Z101" s="17"/>
    </row>
    <row r="102" ht="34.5" customHeight="1">
      <c r="A102" s="24" t="s">
        <v>100</v>
      </c>
      <c r="B102" s="34" t="s">
        <v>101</v>
      </c>
      <c r="C102" s="34" t="s">
        <v>101</v>
      </c>
      <c r="D102" s="34" t="s">
        <v>139</v>
      </c>
      <c r="E102" s="34">
        <v>35.0</v>
      </c>
      <c r="F102" s="35">
        <v>32.36</v>
      </c>
      <c r="G102" s="34">
        <v>1.0</v>
      </c>
      <c r="H102" s="35">
        <v>0.0</v>
      </c>
      <c r="I102" s="35">
        <v>89.1</v>
      </c>
      <c r="J102" s="36">
        <f t="shared" si="1"/>
        <v>26.0414</v>
      </c>
      <c r="K102" s="36">
        <f t="shared" si="2"/>
        <v>23.674</v>
      </c>
      <c r="L102" s="8">
        <f t="shared" si="3"/>
        <v>0.2398028463</v>
      </c>
      <c r="M102" s="8">
        <f t="shared" si="4"/>
        <v>0.07194085388</v>
      </c>
      <c r="N102" s="8">
        <f t="shared" si="5"/>
        <v>0.01438817078</v>
      </c>
      <c r="O102" s="8">
        <f t="shared" si="6"/>
        <v>0.047348</v>
      </c>
      <c r="P102" s="8">
        <f t="shared" si="7"/>
        <v>0.071022</v>
      </c>
      <c r="Q102" s="8">
        <f t="shared" si="8"/>
        <v>0.023674</v>
      </c>
      <c r="R102" s="53"/>
      <c r="S102" s="53"/>
      <c r="T102" s="53"/>
      <c r="U102" s="53"/>
      <c r="V102" s="53"/>
      <c r="W102" s="53"/>
      <c r="X102" s="53"/>
      <c r="Y102" s="53"/>
      <c r="Z102" s="17"/>
    </row>
    <row r="103" ht="34.5" customHeight="1">
      <c r="A103" s="24" t="s">
        <v>100</v>
      </c>
      <c r="B103" s="34" t="s">
        <v>101</v>
      </c>
      <c r="C103" s="34" t="s">
        <v>101</v>
      </c>
      <c r="D103" s="34" t="s">
        <v>140</v>
      </c>
      <c r="E103" s="34">
        <v>628.0</v>
      </c>
      <c r="F103" s="35">
        <v>40.68</v>
      </c>
      <c r="G103" s="34">
        <v>12.0</v>
      </c>
      <c r="H103" s="35">
        <v>21.95</v>
      </c>
      <c r="I103" s="35">
        <v>46.19</v>
      </c>
      <c r="J103" s="36">
        <f t="shared" si="1"/>
        <v>409.78256</v>
      </c>
      <c r="K103" s="36">
        <f t="shared" si="2"/>
        <v>372.5296</v>
      </c>
      <c r="L103" s="8">
        <f t="shared" si="3"/>
        <v>3.773492371</v>
      </c>
      <c r="M103" s="8">
        <f t="shared" si="4"/>
        <v>1.132047711</v>
      </c>
      <c r="N103" s="8">
        <f t="shared" si="5"/>
        <v>0.2264095423</v>
      </c>
      <c r="O103" s="8">
        <f t="shared" si="6"/>
        <v>0.7450592</v>
      </c>
      <c r="P103" s="8">
        <f t="shared" si="7"/>
        <v>1.1175888</v>
      </c>
      <c r="Q103" s="8">
        <f t="shared" si="8"/>
        <v>0.3725296</v>
      </c>
      <c r="R103" s="53"/>
      <c r="S103" s="53"/>
      <c r="T103" s="53"/>
      <c r="U103" s="53"/>
      <c r="V103" s="53"/>
      <c r="W103" s="53"/>
      <c r="X103" s="53"/>
      <c r="Y103" s="53"/>
      <c r="Z103" s="17"/>
    </row>
    <row r="104" ht="34.5" customHeight="1">
      <c r="A104" s="24" t="s">
        <v>100</v>
      </c>
      <c r="B104" s="34" t="s">
        <v>101</v>
      </c>
      <c r="C104" s="34" t="s">
        <v>101</v>
      </c>
      <c r="D104" s="34" t="s">
        <v>141</v>
      </c>
      <c r="E104" s="34">
        <v>633.0</v>
      </c>
      <c r="F104" s="35">
        <v>13.44</v>
      </c>
      <c r="G104" s="34">
        <v>6.0</v>
      </c>
      <c r="H104" s="35">
        <v>18.7</v>
      </c>
      <c r="I104" s="35">
        <v>30.9</v>
      </c>
      <c r="J104" s="36">
        <f t="shared" si="1"/>
        <v>602.71728</v>
      </c>
      <c r="K104" s="36">
        <f t="shared" si="2"/>
        <v>547.9248</v>
      </c>
      <c r="L104" s="8">
        <f t="shared" si="3"/>
        <v>5.550136292</v>
      </c>
      <c r="M104" s="8">
        <f t="shared" si="4"/>
        <v>1.665040888</v>
      </c>
      <c r="N104" s="8">
        <f t="shared" si="5"/>
        <v>0.3330081775</v>
      </c>
      <c r="O104" s="8">
        <f t="shared" si="6"/>
        <v>1.0958496</v>
      </c>
      <c r="P104" s="8">
        <f t="shared" si="7"/>
        <v>1.6437744</v>
      </c>
      <c r="Q104" s="8">
        <f t="shared" si="8"/>
        <v>0.5479248</v>
      </c>
      <c r="R104" s="53"/>
      <c r="S104" s="53"/>
      <c r="T104" s="53"/>
      <c r="U104" s="53"/>
      <c r="V104" s="53"/>
      <c r="W104" s="53"/>
      <c r="X104" s="53"/>
      <c r="Y104" s="53"/>
      <c r="Z104" s="17"/>
    </row>
    <row r="105" ht="34.5" customHeight="1">
      <c r="A105" s="24" t="s">
        <v>100</v>
      </c>
      <c r="B105" s="34" t="s">
        <v>101</v>
      </c>
      <c r="C105" s="34" t="s">
        <v>101</v>
      </c>
      <c r="D105" s="34" t="s">
        <v>142</v>
      </c>
      <c r="E105" s="34">
        <v>402.0</v>
      </c>
      <c r="F105" s="35">
        <v>12.28</v>
      </c>
      <c r="G105" s="34">
        <v>6.0</v>
      </c>
      <c r="H105" s="35">
        <v>47.28</v>
      </c>
      <c r="I105" s="35">
        <v>71.95</v>
      </c>
      <c r="J105" s="36">
        <f t="shared" si="1"/>
        <v>387.89784</v>
      </c>
      <c r="K105" s="36">
        <f t="shared" si="2"/>
        <v>352.6344</v>
      </c>
      <c r="L105" s="8">
        <f t="shared" si="3"/>
        <v>3.571966411</v>
      </c>
      <c r="M105" s="8">
        <f t="shared" si="4"/>
        <v>1.071589923</v>
      </c>
      <c r="N105" s="8">
        <f t="shared" si="5"/>
        <v>0.2143179847</v>
      </c>
      <c r="O105" s="8">
        <f t="shared" si="6"/>
        <v>0.7052688</v>
      </c>
      <c r="P105" s="8">
        <f t="shared" si="7"/>
        <v>1.0579032</v>
      </c>
      <c r="Q105" s="8">
        <f t="shared" si="8"/>
        <v>0.3526344</v>
      </c>
      <c r="R105" s="53"/>
      <c r="S105" s="53"/>
      <c r="T105" s="53"/>
      <c r="U105" s="53"/>
      <c r="V105" s="53"/>
      <c r="W105" s="53"/>
      <c r="X105" s="53"/>
      <c r="Y105" s="53"/>
      <c r="Z105" s="17"/>
    </row>
    <row r="106" ht="34.5" customHeight="1">
      <c r="A106" s="24" t="s">
        <v>100</v>
      </c>
      <c r="B106" s="34" t="s">
        <v>101</v>
      </c>
      <c r="C106" s="34" t="s">
        <v>101</v>
      </c>
      <c r="D106" s="34" t="s">
        <v>143</v>
      </c>
      <c r="E106" s="34">
        <v>563.0</v>
      </c>
      <c r="F106" s="35">
        <v>26.03</v>
      </c>
      <c r="G106" s="34">
        <v>8.0</v>
      </c>
      <c r="H106" s="35">
        <v>64.97</v>
      </c>
      <c r="I106" s="35">
        <v>81.92</v>
      </c>
      <c r="J106" s="36">
        <f t="shared" si="1"/>
        <v>458.09621</v>
      </c>
      <c r="K106" s="36">
        <f t="shared" si="2"/>
        <v>416.4511</v>
      </c>
      <c r="L106" s="8">
        <f t="shared" si="3"/>
        <v>4.218389757</v>
      </c>
      <c r="M106" s="8">
        <f t="shared" si="4"/>
        <v>1.265516927</v>
      </c>
      <c r="N106" s="8">
        <f t="shared" si="5"/>
        <v>0.2531033854</v>
      </c>
      <c r="O106" s="8">
        <f t="shared" si="6"/>
        <v>0.8329022</v>
      </c>
      <c r="P106" s="8">
        <f t="shared" si="7"/>
        <v>1.2493533</v>
      </c>
      <c r="Q106" s="8">
        <f t="shared" si="8"/>
        <v>0.4164511</v>
      </c>
      <c r="R106" s="53"/>
      <c r="S106" s="53"/>
      <c r="T106" s="53"/>
      <c r="U106" s="53"/>
      <c r="V106" s="53"/>
      <c r="W106" s="53"/>
      <c r="X106" s="53"/>
      <c r="Y106" s="53"/>
      <c r="Z106" s="17"/>
    </row>
    <row r="107" ht="34.5" customHeight="1">
      <c r="A107" s="24" t="s">
        <v>100</v>
      </c>
      <c r="B107" s="34" t="s">
        <v>101</v>
      </c>
      <c r="C107" s="34" t="s">
        <v>101</v>
      </c>
      <c r="D107" s="34" t="s">
        <v>144</v>
      </c>
      <c r="E107" s="34">
        <v>1632.0</v>
      </c>
      <c r="F107" s="35">
        <v>38.73</v>
      </c>
      <c r="G107" s="34">
        <v>10.0</v>
      </c>
      <c r="H107" s="35">
        <v>5.81</v>
      </c>
      <c r="I107" s="35">
        <v>15.93</v>
      </c>
      <c r="J107" s="36">
        <f t="shared" si="1"/>
        <v>1099.91904</v>
      </c>
      <c r="K107" s="36">
        <f t="shared" si="2"/>
        <v>999.9264</v>
      </c>
      <c r="L107" s="8">
        <f t="shared" si="3"/>
        <v>10.12863043</v>
      </c>
      <c r="M107" s="8">
        <f t="shared" si="4"/>
        <v>3.038589129</v>
      </c>
      <c r="N107" s="8">
        <f t="shared" si="5"/>
        <v>0.6077178258</v>
      </c>
      <c r="O107" s="8">
        <f t="shared" si="6"/>
        <v>1.9998528</v>
      </c>
      <c r="P107" s="8">
        <f t="shared" si="7"/>
        <v>2.9997792</v>
      </c>
      <c r="Q107" s="8">
        <f t="shared" si="8"/>
        <v>0.9999264</v>
      </c>
      <c r="R107" s="53"/>
      <c r="S107" s="53"/>
      <c r="T107" s="53"/>
      <c r="U107" s="53"/>
      <c r="V107" s="53"/>
      <c r="W107" s="53"/>
      <c r="X107" s="53"/>
      <c r="Y107" s="53"/>
      <c r="Z107" s="17"/>
    </row>
    <row r="108" ht="34.5" customHeight="1">
      <c r="A108" s="24" t="s">
        <v>100</v>
      </c>
      <c r="B108" s="34" t="s">
        <v>101</v>
      </c>
      <c r="C108" s="34" t="s">
        <v>101</v>
      </c>
      <c r="D108" s="34" t="s">
        <v>145</v>
      </c>
      <c r="E108" s="34">
        <v>520.0</v>
      </c>
      <c r="F108" s="35">
        <v>23.17</v>
      </c>
      <c r="G108" s="34">
        <v>10.0</v>
      </c>
      <c r="H108" s="35">
        <v>75.95</v>
      </c>
      <c r="I108" s="35">
        <v>75.95</v>
      </c>
      <c r="J108" s="36">
        <f t="shared" si="1"/>
        <v>439.4676</v>
      </c>
      <c r="K108" s="36">
        <f t="shared" si="2"/>
        <v>399.516</v>
      </c>
      <c r="L108" s="8">
        <f t="shared" si="3"/>
        <v>4.046847763</v>
      </c>
      <c r="M108" s="8">
        <f t="shared" si="4"/>
        <v>1.214054329</v>
      </c>
      <c r="N108" s="8">
        <f t="shared" si="5"/>
        <v>0.2428108658</v>
      </c>
      <c r="O108" s="8">
        <f t="shared" si="6"/>
        <v>0.799032</v>
      </c>
      <c r="P108" s="8">
        <f t="shared" si="7"/>
        <v>1.198548</v>
      </c>
      <c r="Q108" s="8">
        <f t="shared" si="8"/>
        <v>0.399516</v>
      </c>
      <c r="R108" s="53"/>
      <c r="S108" s="53"/>
      <c r="T108" s="53"/>
      <c r="U108" s="53"/>
      <c r="V108" s="53"/>
      <c r="W108" s="53"/>
      <c r="X108" s="53"/>
      <c r="Y108" s="53"/>
      <c r="Z108" s="17"/>
    </row>
    <row r="109" ht="34.5" customHeight="1">
      <c r="A109" s="24" t="s">
        <v>100</v>
      </c>
      <c r="B109" s="34" t="s">
        <v>101</v>
      </c>
      <c r="C109" s="34" t="s">
        <v>101</v>
      </c>
      <c r="D109" s="34" t="s">
        <v>146</v>
      </c>
      <c r="E109" s="34">
        <v>869.0</v>
      </c>
      <c r="F109" s="35">
        <v>32.61</v>
      </c>
      <c r="G109" s="34">
        <v>11.0</v>
      </c>
      <c r="H109" s="35">
        <v>26.53</v>
      </c>
      <c r="I109" s="35">
        <v>49.21</v>
      </c>
      <c r="J109" s="36">
        <f t="shared" si="1"/>
        <v>644.18101</v>
      </c>
      <c r="K109" s="36">
        <f t="shared" si="2"/>
        <v>585.6191</v>
      </c>
      <c r="L109" s="8">
        <f t="shared" si="3"/>
        <v>5.931956028</v>
      </c>
      <c r="M109" s="8">
        <f t="shared" si="4"/>
        <v>1.779586808</v>
      </c>
      <c r="N109" s="8">
        <f t="shared" si="5"/>
        <v>0.3559173617</v>
      </c>
      <c r="O109" s="8">
        <f t="shared" si="6"/>
        <v>1.1712382</v>
      </c>
      <c r="P109" s="8">
        <f t="shared" si="7"/>
        <v>1.7568573</v>
      </c>
      <c r="Q109" s="8">
        <f t="shared" si="8"/>
        <v>0.5856191</v>
      </c>
      <c r="R109" s="53"/>
      <c r="S109" s="53"/>
      <c r="T109" s="53"/>
      <c r="U109" s="53"/>
      <c r="V109" s="53"/>
      <c r="W109" s="53"/>
      <c r="X109" s="53"/>
      <c r="Y109" s="53"/>
      <c r="Z109" s="17"/>
    </row>
    <row r="110" ht="34.5" customHeight="1">
      <c r="A110" s="24" t="s">
        <v>100</v>
      </c>
      <c r="B110" s="34" t="s">
        <v>101</v>
      </c>
      <c r="C110" s="34" t="s">
        <v>101</v>
      </c>
      <c r="D110" s="34" t="s">
        <v>101</v>
      </c>
      <c r="E110" s="34">
        <v>8749.0</v>
      </c>
      <c r="F110" s="35">
        <v>47.23</v>
      </c>
      <c r="G110" s="34">
        <v>15.0</v>
      </c>
      <c r="H110" s="35">
        <v>18.28</v>
      </c>
      <c r="I110" s="35">
        <v>49.49</v>
      </c>
      <c r="J110" s="36">
        <f t="shared" si="1"/>
        <v>5078.53203</v>
      </c>
      <c r="K110" s="36">
        <f t="shared" si="2"/>
        <v>4616.8473</v>
      </c>
      <c r="L110" s="8">
        <f t="shared" si="3"/>
        <v>46.76578201</v>
      </c>
      <c r="M110" s="8">
        <f t="shared" si="4"/>
        <v>14.0297346</v>
      </c>
      <c r="N110" s="8">
        <f t="shared" si="5"/>
        <v>2.805946921</v>
      </c>
      <c r="O110" s="8">
        <f t="shared" si="6"/>
        <v>9.2336946</v>
      </c>
      <c r="P110" s="8">
        <f t="shared" si="7"/>
        <v>13.8505419</v>
      </c>
      <c r="Q110" s="8">
        <f t="shared" si="8"/>
        <v>4.6168473</v>
      </c>
      <c r="R110" s="53"/>
      <c r="S110" s="53"/>
      <c r="T110" s="53"/>
      <c r="U110" s="53"/>
      <c r="V110" s="53"/>
      <c r="W110" s="53"/>
      <c r="X110" s="53"/>
      <c r="Y110" s="53"/>
      <c r="Z110" s="17"/>
    </row>
    <row r="111" ht="34.5" customHeight="1">
      <c r="A111" s="24" t="s">
        <v>100</v>
      </c>
      <c r="B111" s="34" t="s">
        <v>101</v>
      </c>
      <c r="C111" s="34" t="s">
        <v>101</v>
      </c>
      <c r="D111" s="34" t="s">
        <v>147</v>
      </c>
      <c r="E111" s="34">
        <v>90.0</v>
      </c>
      <c r="F111" s="35">
        <v>6.31</v>
      </c>
      <c r="G111" s="34">
        <v>2.0</v>
      </c>
      <c r="H111" s="35">
        <v>88.38</v>
      </c>
      <c r="I111" s="35">
        <v>100.0</v>
      </c>
      <c r="J111" s="36">
        <f t="shared" si="1"/>
        <v>92.7531</v>
      </c>
      <c r="K111" s="36">
        <f t="shared" si="2"/>
        <v>84.321</v>
      </c>
      <c r="L111" s="8">
        <f t="shared" si="3"/>
        <v>0.8541191096</v>
      </c>
      <c r="M111" s="8">
        <f t="shared" si="4"/>
        <v>0.2562357329</v>
      </c>
      <c r="N111" s="8">
        <f t="shared" si="5"/>
        <v>0.05124714658</v>
      </c>
      <c r="O111" s="8">
        <f t="shared" si="6"/>
        <v>0.168642</v>
      </c>
      <c r="P111" s="8">
        <f t="shared" si="7"/>
        <v>0.252963</v>
      </c>
      <c r="Q111" s="8">
        <f t="shared" si="8"/>
        <v>0.084321</v>
      </c>
      <c r="R111" s="53"/>
      <c r="S111" s="53"/>
      <c r="T111" s="53"/>
      <c r="U111" s="53"/>
      <c r="V111" s="53"/>
      <c r="W111" s="53"/>
      <c r="X111" s="53"/>
      <c r="Y111" s="53"/>
      <c r="Z111" s="17"/>
    </row>
    <row r="112" ht="34.5" customHeight="1">
      <c r="A112" s="24" t="s">
        <v>100</v>
      </c>
      <c r="B112" s="34" t="s">
        <v>101</v>
      </c>
      <c r="C112" s="34" t="s">
        <v>101</v>
      </c>
      <c r="D112" s="34" t="s">
        <v>148</v>
      </c>
      <c r="E112" s="34">
        <v>427.0</v>
      </c>
      <c r="F112" s="35">
        <v>39.6</v>
      </c>
      <c r="G112" s="34">
        <v>7.0</v>
      </c>
      <c r="H112" s="35">
        <v>24.6</v>
      </c>
      <c r="I112" s="35">
        <v>34.79</v>
      </c>
      <c r="J112" s="36">
        <f t="shared" si="1"/>
        <v>283.6988</v>
      </c>
      <c r="K112" s="36">
        <f t="shared" si="2"/>
        <v>257.908</v>
      </c>
      <c r="L112" s="8">
        <f t="shared" si="3"/>
        <v>2.612447093</v>
      </c>
      <c r="M112" s="8">
        <f t="shared" si="4"/>
        <v>0.7837341279</v>
      </c>
      <c r="N112" s="8">
        <f t="shared" si="5"/>
        <v>0.1567468256</v>
      </c>
      <c r="O112" s="8">
        <f t="shared" si="6"/>
        <v>0.515816</v>
      </c>
      <c r="P112" s="8">
        <f t="shared" si="7"/>
        <v>0.773724</v>
      </c>
      <c r="Q112" s="8">
        <f t="shared" si="8"/>
        <v>0.257908</v>
      </c>
      <c r="R112" s="53"/>
      <c r="S112" s="53"/>
      <c r="T112" s="53"/>
      <c r="U112" s="53"/>
      <c r="V112" s="53"/>
      <c r="W112" s="53"/>
      <c r="X112" s="53"/>
      <c r="Y112" s="53"/>
      <c r="Z112" s="17"/>
    </row>
    <row r="113" ht="34.5" customHeight="1">
      <c r="A113" s="54" t="s">
        <v>100</v>
      </c>
      <c r="B113" s="38" t="s">
        <v>101</v>
      </c>
      <c r="C113" s="38" t="s">
        <v>101</v>
      </c>
      <c r="D113" s="38" t="s">
        <v>149</v>
      </c>
      <c r="E113" s="38">
        <v>1501.0</v>
      </c>
      <c r="F113" s="55">
        <v>38.88</v>
      </c>
      <c r="G113" s="38">
        <v>13.0</v>
      </c>
      <c r="H113" s="55">
        <v>14.08</v>
      </c>
      <c r="I113" s="55">
        <v>60.62</v>
      </c>
      <c r="J113" s="56">
        <f t="shared" si="1"/>
        <v>1009.15232</v>
      </c>
      <c r="K113" s="56">
        <f t="shared" si="2"/>
        <v>917.4112</v>
      </c>
      <c r="L113" s="8">
        <f t="shared" si="3"/>
        <v>9.292802947</v>
      </c>
      <c r="M113" s="8">
        <f t="shared" si="4"/>
        <v>2.787840884</v>
      </c>
      <c r="N113" s="8">
        <f t="shared" si="5"/>
        <v>0.5575681768</v>
      </c>
      <c r="O113" s="8">
        <f t="shared" si="6"/>
        <v>1.8348224</v>
      </c>
      <c r="P113" s="8">
        <f t="shared" si="7"/>
        <v>2.7522336</v>
      </c>
      <c r="Q113" s="8">
        <f t="shared" si="8"/>
        <v>0.9174112</v>
      </c>
      <c r="R113" s="53"/>
      <c r="S113" s="53"/>
      <c r="T113" s="53"/>
      <c r="U113" s="53"/>
      <c r="V113" s="53"/>
      <c r="W113" s="53"/>
      <c r="X113" s="53"/>
      <c r="Y113" s="53"/>
      <c r="Z113" s="17"/>
    </row>
    <row r="114" ht="34.5" customHeight="1">
      <c r="A114" s="54" t="s">
        <v>150</v>
      </c>
      <c r="B114" s="34" t="s">
        <v>151</v>
      </c>
      <c r="C114" s="34" t="s">
        <v>151</v>
      </c>
      <c r="D114" s="34" t="s">
        <v>152</v>
      </c>
      <c r="E114" s="34">
        <v>469.0</v>
      </c>
      <c r="F114" s="35">
        <v>23.25</v>
      </c>
      <c r="G114" s="34">
        <v>7.0</v>
      </c>
      <c r="H114" s="35">
        <v>46.35</v>
      </c>
      <c r="I114" s="35">
        <v>96.74</v>
      </c>
      <c r="J114" s="36">
        <f t="shared" si="1"/>
        <v>395.95325</v>
      </c>
      <c r="K114" s="36">
        <f t="shared" si="2"/>
        <v>359.9575</v>
      </c>
      <c r="L114" s="8">
        <f t="shared" si="3"/>
        <v>3.646144844</v>
      </c>
      <c r="M114" s="8">
        <f t="shared" si="4"/>
        <v>1.093843453</v>
      </c>
      <c r="N114" s="8">
        <f t="shared" si="5"/>
        <v>0.2187686906</v>
      </c>
      <c r="O114" s="8">
        <f t="shared" si="6"/>
        <v>0.719915</v>
      </c>
      <c r="P114" s="8">
        <f t="shared" si="7"/>
        <v>1.0798725</v>
      </c>
      <c r="Q114" s="8">
        <f t="shared" si="8"/>
        <v>0.3599575</v>
      </c>
      <c r="R114" s="53"/>
      <c r="S114" s="53"/>
      <c r="T114" s="53"/>
      <c r="U114" s="53"/>
      <c r="V114" s="53"/>
      <c r="W114" s="53"/>
      <c r="X114" s="53"/>
      <c r="Y114" s="53"/>
      <c r="Z114" s="17"/>
    </row>
    <row r="115" ht="34.5" customHeight="1">
      <c r="A115" s="54" t="s">
        <v>150</v>
      </c>
      <c r="B115" s="34" t="s">
        <v>151</v>
      </c>
      <c r="C115" s="34" t="s">
        <v>151</v>
      </c>
      <c r="D115" s="34" t="s">
        <v>153</v>
      </c>
      <c r="E115" s="34">
        <v>76.0</v>
      </c>
      <c r="F115" s="35">
        <v>12.92</v>
      </c>
      <c r="G115" s="34">
        <v>3.0</v>
      </c>
      <c r="H115" s="35">
        <v>100.0</v>
      </c>
      <c r="I115" s="35">
        <v>100.0</v>
      </c>
      <c r="J115" s="36">
        <f t="shared" si="1"/>
        <v>72.79888</v>
      </c>
      <c r="K115" s="36">
        <f t="shared" si="2"/>
        <v>66.1808</v>
      </c>
      <c r="L115" s="8">
        <f t="shared" si="3"/>
        <v>0.670370204</v>
      </c>
      <c r="M115" s="8">
        <f t="shared" si="4"/>
        <v>0.2011110612</v>
      </c>
      <c r="N115" s="8">
        <f t="shared" si="5"/>
        <v>0.04022221224</v>
      </c>
      <c r="O115" s="8">
        <f t="shared" si="6"/>
        <v>0.1323616</v>
      </c>
      <c r="P115" s="8">
        <f t="shared" si="7"/>
        <v>0.1985424</v>
      </c>
      <c r="Q115" s="8">
        <f t="shared" si="8"/>
        <v>0.0661808</v>
      </c>
      <c r="R115" s="53"/>
      <c r="S115" s="53"/>
      <c r="T115" s="53"/>
      <c r="U115" s="53"/>
      <c r="V115" s="53"/>
      <c r="W115" s="53"/>
      <c r="X115" s="53"/>
      <c r="Y115" s="53"/>
      <c r="Z115" s="17"/>
    </row>
    <row r="116" ht="34.5" customHeight="1">
      <c r="A116" s="54" t="s">
        <v>150</v>
      </c>
      <c r="B116" s="34" t="s">
        <v>151</v>
      </c>
      <c r="C116" s="34" t="s">
        <v>151</v>
      </c>
      <c r="D116" s="34" t="s">
        <v>154</v>
      </c>
      <c r="E116" s="34">
        <v>70.0</v>
      </c>
      <c r="F116" s="35">
        <v>11.75</v>
      </c>
      <c r="G116" s="34">
        <v>3.0</v>
      </c>
      <c r="H116" s="35">
        <v>63.85</v>
      </c>
      <c r="I116" s="35">
        <v>100.0</v>
      </c>
      <c r="J116" s="36">
        <f t="shared" si="1"/>
        <v>67.9525</v>
      </c>
      <c r="K116" s="36">
        <f t="shared" si="2"/>
        <v>61.775</v>
      </c>
      <c r="L116" s="8">
        <f t="shared" si="3"/>
        <v>0.6257421994</v>
      </c>
      <c r="M116" s="8">
        <f t="shared" si="4"/>
        <v>0.1877226598</v>
      </c>
      <c r="N116" s="8">
        <f t="shared" si="5"/>
        <v>0.03754453196</v>
      </c>
      <c r="O116" s="8">
        <f t="shared" si="6"/>
        <v>0.12355</v>
      </c>
      <c r="P116" s="8">
        <f t="shared" si="7"/>
        <v>0.185325</v>
      </c>
      <c r="Q116" s="8">
        <f t="shared" si="8"/>
        <v>0.061775</v>
      </c>
      <c r="R116" s="53"/>
      <c r="S116" s="53"/>
      <c r="T116" s="53"/>
      <c r="U116" s="53"/>
      <c r="V116" s="53"/>
      <c r="W116" s="53"/>
      <c r="X116" s="53"/>
      <c r="Y116" s="53"/>
      <c r="Z116" s="17"/>
    </row>
    <row r="117" ht="34.5" customHeight="1">
      <c r="A117" s="54" t="s">
        <v>150</v>
      </c>
      <c r="B117" s="34" t="s">
        <v>151</v>
      </c>
      <c r="C117" s="34" t="s">
        <v>151</v>
      </c>
      <c r="D117" s="34" t="s">
        <v>155</v>
      </c>
      <c r="E117" s="34">
        <v>17.0</v>
      </c>
      <c r="F117" s="35">
        <v>3.89</v>
      </c>
      <c r="G117" s="34">
        <v>2.0</v>
      </c>
      <c r="H117" s="35">
        <v>100.0</v>
      </c>
      <c r="I117" s="35">
        <v>100.0</v>
      </c>
      <c r="J117" s="36">
        <f t="shared" si="1"/>
        <v>17.97257</v>
      </c>
      <c r="K117" s="36">
        <f t="shared" si="2"/>
        <v>16.3387</v>
      </c>
      <c r="L117" s="8">
        <f t="shared" si="3"/>
        <v>0.1655008349</v>
      </c>
      <c r="M117" s="8">
        <f t="shared" si="4"/>
        <v>0.04965025046</v>
      </c>
      <c r="N117" s="8">
        <f t="shared" si="5"/>
        <v>0.009930050091</v>
      </c>
      <c r="O117" s="8">
        <f t="shared" si="6"/>
        <v>0.0326774</v>
      </c>
      <c r="P117" s="8">
        <f t="shared" si="7"/>
        <v>0.0490161</v>
      </c>
      <c r="Q117" s="8">
        <f t="shared" si="8"/>
        <v>0.0163387</v>
      </c>
      <c r="R117" s="53"/>
      <c r="S117" s="53"/>
      <c r="T117" s="53"/>
      <c r="U117" s="53"/>
      <c r="V117" s="53"/>
      <c r="W117" s="53"/>
      <c r="X117" s="53"/>
      <c r="Y117" s="53"/>
      <c r="Z117" s="17"/>
    </row>
    <row r="118" ht="34.5" customHeight="1">
      <c r="A118" s="54" t="s">
        <v>150</v>
      </c>
      <c r="B118" s="34" t="s">
        <v>151</v>
      </c>
      <c r="C118" s="34" t="s">
        <v>151</v>
      </c>
      <c r="D118" s="34" t="s">
        <v>151</v>
      </c>
      <c r="E118" s="34">
        <v>4218.0</v>
      </c>
      <c r="F118" s="35">
        <v>41.81</v>
      </c>
      <c r="G118" s="34">
        <v>25.0</v>
      </c>
      <c r="H118" s="35">
        <v>11.9</v>
      </c>
      <c r="I118" s="35">
        <v>44.87</v>
      </c>
      <c r="J118" s="36">
        <f t="shared" si="1"/>
        <v>2699.89962</v>
      </c>
      <c r="K118" s="36">
        <f t="shared" si="2"/>
        <v>2454.4542</v>
      </c>
      <c r="L118" s="8">
        <f t="shared" si="3"/>
        <v>24.86208935</v>
      </c>
      <c r="M118" s="8">
        <f t="shared" si="4"/>
        <v>7.458626804</v>
      </c>
      <c r="N118" s="8">
        <f t="shared" si="5"/>
        <v>1.491725361</v>
      </c>
      <c r="O118" s="8">
        <f t="shared" si="6"/>
        <v>4.9089084</v>
      </c>
      <c r="P118" s="8">
        <f t="shared" si="7"/>
        <v>7.3633626</v>
      </c>
      <c r="Q118" s="8">
        <f t="shared" si="8"/>
        <v>2.4544542</v>
      </c>
      <c r="R118" s="53"/>
      <c r="S118" s="53"/>
      <c r="T118" s="53"/>
      <c r="U118" s="53"/>
      <c r="V118" s="53"/>
      <c r="W118" s="53"/>
      <c r="X118" s="53"/>
      <c r="Y118" s="53"/>
      <c r="Z118" s="17"/>
    </row>
    <row r="119" ht="34.5" customHeight="1">
      <c r="A119" s="54" t="s">
        <v>150</v>
      </c>
      <c r="B119" s="34" t="s">
        <v>151</v>
      </c>
      <c r="C119" s="34" t="s">
        <v>151</v>
      </c>
      <c r="D119" s="34" t="s">
        <v>156</v>
      </c>
      <c r="E119" s="34">
        <v>34.0</v>
      </c>
      <c r="F119" s="35">
        <v>12.4</v>
      </c>
      <c r="G119" s="34">
        <v>1.0</v>
      </c>
      <c r="H119" s="35">
        <v>100.0</v>
      </c>
      <c r="I119" s="35">
        <v>100.0</v>
      </c>
      <c r="J119" s="36">
        <f t="shared" si="1"/>
        <v>32.7624</v>
      </c>
      <c r="K119" s="36">
        <f t="shared" si="2"/>
        <v>29.784</v>
      </c>
      <c r="L119" s="8">
        <f t="shared" si="3"/>
        <v>0.3016933333</v>
      </c>
      <c r="M119" s="8">
        <f t="shared" si="4"/>
        <v>0.090508</v>
      </c>
      <c r="N119" s="8">
        <f t="shared" si="5"/>
        <v>0.0181016</v>
      </c>
      <c r="O119" s="8">
        <f t="shared" si="6"/>
        <v>0.059568</v>
      </c>
      <c r="P119" s="8">
        <f t="shared" si="7"/>
        <v>0.089352</v>
      </c>
      <c r="Q119" s="8">
        <f t="shared" si="8"/>
        <v>0.029784</v>
      </c>
      <c r="R119" s="53"/>
      <c r="S119" s="53"/>
      <c r="T119" s="53"/>
      <c r="U119" s="53"/>
      <c r="V119" s="53"/>
      <c r="W119" s="53"/>
      <c r="X119" s="53"/>
      <c r="Y119" s="53"/>
      <c r="Z119" s="17"/>
    </row>
    <row r="120" ht="34.5" customHeight="1">
      <c r="A120" s="54" t="s">
        <v>150</v>
      </c>
      <c r="B120" s="34" t="s">
        <v>151</v>
      </c>
      <c r="C120" s="34" t="s">
        <v>151</v>
      </c>
      <c r="D120" s="34" t="s">
        <v>157</v>
      </c>
      <c r="E120" s="34">
        <v>47.0</v>
      </c>
      <c r="F120" s="35">
        <v>9.62</v>
      </c>
      <c r="G120" s="34">
        <v>2.0</v>
      </c>
      <c r="H120" s="35">
        <v>80.91</v>
      </c>
      <c r="I120" s="35">
        <v>100.0</v>
      </c>
      <c r="J120" s="36">
        <f t="shared" si="1"/>
        <v>46.72646</v>
      </c>
      <c r="K120" s="36">
        <f t="shared" si="2"/>
        <v>42.4786</v>
      </c>
      <c r="L120" s="8">
        <f t="shared" si="3"/>
        <v>0.4302817093</v>
      </c>
      <c r="M120" s="8">
        <f t="shared" si="4"/>
        <v>0.1290845128</v>
      </c>
      <c r="N120" s="8">
        <f t="shared" si="5"/>
        <v>0.02581690256</v>
      </c>
      <c r="O120" s="8">
        <f t="shared" si="6"/>
        <v>0.0849572</v>
      </c>
      <c r="P120" s="8">
        <f t="shared" si="7"/>
        <v>0.1274358</v>
      </c>
      <c r="Q120" s="8">
        <f t="shared" si="8"/>
        <v>0.0424786</v>
      </c>
      <c r="R120" s="53"/>
      <c r="S120" s="53"/>
      <c r="T120" s="53"/>
      <c r="U120" s="53"/>
      <c r="V120" s="53"/>
      <c r="W120" s="53"/>
      <c r="X120" s="53"/>
      <c r="Y120" s="53"/>
      <c r="Z120" s="17"/>
    </row>
    <row r="121" ht="34.5" customHeight="1">
      <c r="A121" s="54" t="s">
        <v>150</v>
      </c>
      <c r="B121" s="34" t="s">
        <v>151</v>
      </c>
      <c r="C121" s="34" t="s">
        <v>151</v>
      </c>
      <c r="D121" s="34" t="s">
        <v>158</v>
      </c>
      <c r="E121" s="34">
        <v>147.0</v>
      </c>
      <c r="F121" s="35">
        <v>16.16</v>
      </c>
      <c r="G121" s="34">
        <v>4.0</v>
      </c>
      <c r="H121" s="35">
        <v>83.17</v>
      </c>
      <c r="I121" s="35">
        <v>100.0</v>
      </c>
      <c r="J121" s="36">
        <f t="shared" si="1"/>
        <v>135.56928</v>
      </c>
      <c r="K121" s="36">
        <f t="shared" si="2"/>
        <v>123.2448</v>
      </c>
      <c r="L121" s="8">
        <f t="shared" si="3"/>
        <v>1.248392913</v>
      </c>
      <c r="M121" s="8">
        <f t="shared" si="4"/>
        <v>0.374517874</v>
      </c>
      <c r="N121" s="8">
        <f t="shared" si="5"/>
        <v>0.07490357479</v>
      </c>
      <c r="O121" s="8">
        <f t="shared" si="6"/>
        <v>0.2464896</v>
      </c>
      <c r="P121" s="8">
        <f t="shared" si="7"/>
        <v>0.3697344</v>
      </c>
      <c r="Q121" s="8">
        <f t="shared" si="8"/>
        <v>0.1232448</v>
      </c>
      <c r="R121" s="53"/>
      <c r="S121" s="53"/>
      <c r="T121" s="53"/>
      <c r="U121" s="53"/>
      <c r="V121" s="53"/>
      <c r="W121" s="53"/>
      <c r="X121" s="53"/>
      <c r="Y121" s="53"/>
      <c r="Z121" s="17"/>
    </row>
    <row r="122" ht="34.5" customHeight="1">
      <c r="A122" s="54" t="s">
        <v>150</v>
      </c>
      <c r="B122" s="34" t="s">
        <v>151</v>
      </c>
      <c r="C122" s="34" t="s">
        <v>151</v>
      </c>
      <c r="D122" s="34" t="s">
        <v>159</v>
      </c>
      <c r="E122" s="34">
        <v>124.0</v>
      </c>
      <c r="F122" s="35">
        <v>21.27</v>
      </c>
      <c r="G122" s="34">
        <v>4.0</v>
      </c>
      <c r="H122" s="35">
        <v>100.0</v>
      </c>
      <c r="I122" s="35">
        <v>100.0</v>
      </c>
      <c r="J122" s="36">
        <f t="shared" si="1"/>
        <v>107.38772</v>
      </c>
      <c r="K122" s="36">
        <f t="shared" si="2"/>
        <v>97.6252</v>
      </c>
      <c r="L122" s="8">
        <f t="shared" si="3"/>
        <v>0.9888823531</v>
      </c>
      <c r="M122" s="8">
        <f t="shared" si="4"/>
        <v>0.2966647059</v>
      </c>
      <c r="N122" s="8">
        <f t="shared" si="5"/>
        <v>0.05933294119</v>
      </c>
      <c r="O122" s="8">
        <f t="shared" si="6"/>
        <v>0.1952504</v>
      </c>
      <c r="P122" s="8">
        <f t="shared" si="7"/>
        <v>0.2928756</v>
      </c>
      <c r="Q122" s="8">
        <f t="shared" si="8"/>
        <v>0.0976252</v>
      </c>
      <c r="R122" s="53"/>
      <c r="S122" s="53"/>
      <c r="T122" s="53"/>
      <c r="U122" s="53"/>
      <c r="V122" s="53"/>
      <c r="W122" s="53"/>
      <c r="X122" s="53"/>
      <c r="Y122" s="53"/>
      <c r="Z122" s="17"/>
    </row>
    <row r="123" ht="34.5" customHeight="1">
      <c r="A123" s="54" t="s">
        <v>150</v>
      </c>
      <c r="B123" s="34" t="s">
        <v>151</v>
      </c>
      <c r="C123" s="34" t="s">
        <v>151</v>
      </c>
      <c r="D123" s="34" t="s">
        <v>160</v>
      </c>
      <c r="E123" s="34">
        <v>789.0</v>
      </c>
      <c r="F123" s="35">
        <v>35.81</v>
      </c>
      <c r="G123" s="34">
        <v>12.0</v>
      </c>
      <c r="H123" s="35">
        <v>60.5</v>
      </c>
      <c r="I123" s="35">
        <v>68.17</v>
      </c>
      <c r="J123" s="36">
        <f t="shared" si="1"/>
        <v>557.10501</v>
      </c>
      <c r="K123" s="36">
        <f t="shared" si="2"/>
        <v>506.4591</v>
      </c>
      <c r="L123" s="8">
        <f t="shared" si="3"/>
        <v>5.130114628</v>
      </c>
      <c r="M123" s="8">
        <f t="shared" si="4"/>
        <v>1.539034388</v>
      </c>
      <c r="N123" s="8">
        <f t="shared" si="5"/>
        <v>0.3078068777</v>
      </c>
      <c r="O123" s="8">
        <f t="shared" si="6"/>
        <v>1.0129182</v>
      </c>
      <c r="P123" s="8">
        <f t="shared" si="7"/>
        <v>1.5193773</v>
      </c>
      <c r="Q123" s="8">
        <f t="shared" si="8"/>
        <v>0.5064591</v>
      </c>
      <c r="R123" s="53"/>
      <c r="S123" s="53"/>
      <c r="T123" s="53"/>
      <c r="U123" s="53"/>
      <c r="V123" s="53"/>
      <c r="W123" s="53"/>
      <c r="X123" s="53"/>
      <c r="Y123" s="53"/>
      <c r="Z123" s="17"/>
    </row>
    <row r="124" ht="34.5" customHeight="1">
      <c r="A124" s="54" t="s">
        <v>150</v>
      </c>
      <c r="B124" s="34" t="s">
        <v>151</v>
      </c>
      <c r="C124" s="34" t="s">
        <v>151</v>
      </c>
      <c r="D124" s="34" t="s">
        <v>161</v>
      </c>
      <c r="E124" s="34">
        <v>31.0</v>
      </c>
      <c r="F124" s="35">
        <v>7.16</v>
      </c>
      <c r="G124" s="34">
        <v>1.0</v>
      </c>
      <c r="H124" s="35">
        <v>0.0</v>
      </c>
      <c r="I124" s="35">
        <v>100.0</v>
      </c>
      <c r="J124" s="36">
        <f t="shared" si="1"/>
        <v>31.65844</v>
      </c>
      <c r="K124" s="36">
        <f t="shared" si="2"/>
        <v>28.7804</v>
      </c>
      <c r="L124" s="8">
        <f t="shared" si="3"/>
        <v>0.2915274916</v>
      </c>
      <c r="M124" s="8">
        <f t="shared" si="4"/>
        <v>0.08745824749</v>
      </c>
      <c r="N124" s="8">
        <f t="shared" si="5"/>
        <v>0.0174916495</v>
      </c>
      <c r="O124" s="8">
        <f t="shared" si="6"/>
        <v>0.0575608</v>
      </c>
      <c r="P124" s="8">
        <f t="shared" si="7"/>
        <v>0.0863412</v>
      </c>
      <c r="Q124" s="8">
        <f t="shared" si="8"/>
        <v>0.0287804</v>
      </c>
      <c r="R124" s="53"/>
      <c r="S124" s="53"/>
      <c r="T124" s="53"/>
      <c r="U124" s="53"/>
      <c r="V124" s="53"/>
      <c r="W124" s="53"/>
      <c r="X124" s="53"/>
      <c r="Y124" s="53"/>
      <c r="Z124" s="17"/>
    </row>
    <row r="125" ht="34.5" customHeight="1">
      <c r="A125" s="54" t="s">
        <v>150</v>
      </c>
      <c r="B125" s="34" t="s">
        <v>151</v>
      </c>
      <c r="C125" s="34" t="s">
        <v>151</v>
      </c>
      <c r="D125" s="34" t="s">
        <v>162</v>
      </c>
      <c r="E125" s="34">
        <v>185.0</v>
      </c>
      <c r="F125" s="35">
        <v>26.45</v>
      </c>
      <c r="G125" s="34">
        <v>4.0</v>
      </c>
      <c r="H125" s="35">
        <v>80.41</v>
      </c>
      <c r="I125" s="35">
        <v>80.41</v>
      </c>
      <c r="J125" s="36">
        <f t="shared" si="1"/>
        <v>149.67425</v>
      </c>
      <c r="K125" s="36">
        <f t="shared" si="2"/>
        <v>136.0675</v>
      </c>
      <c r="L125" s="8">
        <f t="shared" si="3"/>
        <v>1.378278862</v>
      </c>
      <c r="M125" s="8">
        <f t="shared" si="4"/>
        <v>0.4134836587</v>
      </c>
      <c r="N125" s="8">
        <f t="shared" si="5"/>
        <v>0.08269673174</v>
      </c>
      <c r="O125" s="8">
        <f t="shared" si="6"/>
        <v>0.272135</v>
      </c>
      <c r="P125" s="8">
        <f t="shared" si="7"/>
        <v>0.4082025</v>
      </c>
      <c r="Q125" s="8">
        <f t="shared" si="8"/>
        <v>0.1360675</v>
      </c>
      <c r="R125" s="53"/>
      <c r="S125" s="53"/>
      <c r="T125" s="53"/>
      <c r="U125" s="53"/>
      <c r="V125" s="53"/>
      <c r="W125" s="53"/>
      <c r="X125" s="53"/>
      <c r="Y125" s="53"/>
      <c r="Z125" s="17"/>
    </row>
    <row r="126" ht="34.5" customHeight="1">
      <c r="A126" s="54" t="s">
        <v>150</v>
      </c>
      <c r="B126" s="34" t="s">
        <v>151</v>
      </c>
      <c r="C126" s="34" t="s">
        <v>151</v>
      </c>
      <c r="D126" s="34" t="s">
        <v>163</v>
      </c>
      <c r="E126" s="34">
        <v>27.0</v>
      </c>
      <c r="F126" s="35">
        <v>7.51</v>
      </c>
      <c r="G126" s="34">
        <v>1.0</v>
      </c>
      <c r="H126" s="35">
        <v>100.0</v>
      </c>
      <c r="I126" s="35">
        <v>100.0</v>
      </c>
      <c r="J126" s="36">
        <f t="shared" si="1"/>
        <v>27.46953</v>
      </c>
      <c r="K126" s="36">
        <f t="shared" si="2"/>
        <v>24.9723</v>
      </c>
      <c r="L126" s="8">
        <f t="shared" si="3"/>
        <v>0.2529538151</v>
      </c>
      <c r="M126" s="8">
        <f t="shared" si="4"/>
        <v>0.07588614452</v>
      </c>
      <c r="N126" s="8">
        <f t="shared" si="5"/>
        <v>0.0151772289</v>
      </c>
      <c r="O126" s="8">
        <f t="shared" si="6"/>
        <v>0.0499446</v>
      </c>
      <c r="P126" s="8">
        <f t="shared" si="7"/>
        <v>0.0749169</v>
      </c>
      <c r="Q126" s="8">
        <f t="shared" si="8"/>
        <v>0.0249723</v>
      </c>
      <c r="R126" s="53"/>
      <c r="S126" s="53"/>
      <c r="T126" s="53"/>
      <c r="U126" s="53"/>
      <c r="V126" s="53"/>
      <c r="W126" s="53"/>
      <c r="X126" s="53"/>
      <c r="Y126" s="53"/>
      <c r="Z126" s="17"/>
    </row>
    <row r="127" ht="34.5" customHeight="1">
      <c r="A127" s="54" t="s">
        <v>150</v>
      </c>
      <c r="B127" s="34" t="s">
        <v>151</v>
      </c>
      <c r="C127" s="34" t="s">
        <v>151</v>
      </c>
      <c r="D127" s="34" t="s">
        <v>164</v>
      </c>
      <c r="E127" s="34">
        <v>539.0</v>
      </c>
      <c r="F127" s="35">
        <v>31.83</v>
      </c>
      <c r="G127" s="34">
        <v>12.0</v>
      </c>
      <c r="H127" s="35">
        <v>66.51</v>
      </c>
      <c r="I127" s="35">
        <v>94.78</v>
      </c>
      <c r="J127" s="36">
        <f t="shared" si="1"/>
        <v>404.17993</v>
      </c>
      <c r="K127" s="36">
        <f t="shared" si="2"/>
        <v>367.4363</v>
      </c>
      <c r="L127" s="8">
        <f t="shared" si="3"/>
        <v>3.721900421</v>
      </c>
      <c r="M127" s="8">
        <f t="shared" si="4"/>
        <v>1.116570126</v>
      </c>
      <c r="N127" s="8">
        <f t="shared" si="5"/>
        <v>0.2233140253</v>
      </c>
      <c r="O127" s="8">
        <f t="shared" si="6"/>
        <v>0.7348726</v>
      </c>
      <c r="P127" s="8">
        <f t="shared" si="7"/>
        <v>1.1023089</v>
      </c>
      <c r="Q127" s="8">
        <f t="shared" si="8"/>
        <v>0.3674363</v>
      </c>
      <c r="R127" s="53"/>
      <c r="S127" s="53"/>
      <c r="T127" s="53"/>
      <c r="U127" s="53"/>
      <c r="V127" s="53"/>
      <c r="W127" s="53"/>
      <c r="X127" s="53"/>
      <c r="Y127" s="53"/>
      <c r="Z127" s="17"/>
    </row>
    <row r="128" ht="34.5" customHeight="1">
      <c r="A128" s="54" t="s">
        <v>150</v>
      </c>
      <c r="B128" s="34" t="s">
        <v>151</v>
      </c>
      <c r="C128" s="34" t="s">
        <v>151</v>
      </c>
      <c r="D128" s="34" t="s">
        <v>165</v>
      </c>
      <c r="E128" s="34">
        <v>181.0</v>
      </c>
      <c r="F128" s="35">
        <v>19.73</v>
      </c>
      <c r="G128" s="34">
        <v>7.0</v>
      </c>
      <c r="H128" s="35">
        <v>27.07</v>
      </c>
      <c r="I128" s="35">
        <v>27.07</v>
      </c>
      <c r="J128" s="36">
        <f t="shared" si="1"/>
        <v>159.81757</v>
      </c>
      <c r="K128" s="36">
        <f t="shared" si="2"/>
        <v>145.2887</v>
      </c>
      <c r="L128" s="8">
        <f t="shared" si="3"/>
        <v>1.471683864</v>
      </c>
      <c r="M128" s="8">
        <f t="shared" si="4"/>
        <v>0.4415051591</v>
      </c>
      <c r="N128" s="8">
        <f t="shared" si="5"/>
        <v>0.08830103183</v>
      </c>
      <c r="O128" s="8">
        <f t="shared" si="6"/>
        <v>0.2905774</v>
      </c>
      <c r="P128" s="8">
        <f t="shared" si="7"/>
        <v>0.4358661</v>
      </c>
      <c r="Q128" s="8">
        <f t="shared" si="8"/>
        <v>0.1452887</v>
      </c>
      <c r="R128" s="53"/>
      <c r="S128" s="53"/>
      <c r="T128" s="53"/>
      <c r="U128" s="53"/>
      <c r="V128" s="53"/>
      <c r="W128" s="53"/>
      <c r="X128" s="53"/>
      <c r="Y128" s="53"/>
      <c r="Z128" s="17"/>
    </row>
    <row r="129" ht="34.5" customHeight="1">
      <c r="A129" s="54" t="s">
        <v>150</v>
      </c>
      <c r="B129" s="34" t="s">
        <v>151</v>
      </c>
      <c r="C129" s="34" t="s">
        <v>151</v>
      </c>
      <c r="D129" s="34" t="s">
        <v>166</v>
      </c>
      <c r="E129" s="34">
        <v>155.0</v>
      </c>
      <c r="F129" s="35">
        <v>26.27</v>
      </c>
      <c r="G129" s="34">
        <v>4.0</v>
      </c>
      <c r="H129" s="35">
        <v>75.9</v>
      </c>
      <c r="I129" s="35">
        <v>97.9</v>
      </c>
      <c r="J129" s="36">
        <f t="shared" si="1"/>
        <v>125.70965</v>
      </c>
      <c r="K129" s="36">
        <f t="shared" si="2"/>
        <v>114.2815</v>
      </c>
      <c r="L129" s="8">
        <f t="shared" si="3"/>
        <v>1.157600278</v>
      </c>
      <c r="M129" s="8">
        <f t="shared" si="4"/>
        <v>0.3472800833</v>
      </c>
      <c r="N129" s="8">
        <f t="shared" si="5"/>
        <v>0.06945601667</v>
      </c>
      <c r="O129" s="8">
        <f t="shared" si="6"/>
        <v>0.228563</v>
      </c>
      <c r="P129" s="8">
        <f t="shared" si="7"/>
        <v>0.3428445</v>
      </c>
      <c r="Q129" s="8">
        <f t="shared" si="8"/>
        <v>0.1142815</v>
      </c>
      <c r="R129" s="53"/>
      <c r="S129" s="53"/>
      <c r="T129" s="53"/>
      <c r="U129" s="53"/>
      <c r="V129" s="53"/>
      <c r="W129" s="53"/>
      <c r="X129" s="53"/>
      <c r="Y129" s="53"/>
      <c r="Z129" s="17"/>
    </row>
    <row r="130" ht="34.5" customHeight="1">
      <c r="A130" s="54" t="s">
        <v>150</v>
      </c>
      <c r="B130" s="34" t="s">
        <v>151</v>
      </c>
      <c r="C130" s="34" t="s">
        <v>151</v>
      </c>
      <c r="D130" s="34" t="s">
        <v>167</v>
      </c>
      <c r="E130" s="34">
        <v>38.0</v>
      </c>
      <c r="F130" s="35">
        <v>12.47</v>
      </c>
      <c r="G130" s="34">
        <v>2.0</v>
      </c>
      <c r="H130" s="35">
        <v>100.0</v>
      </c>
      <c r="I130" s="35">
        <v>100.0</v>
      </c>
      <c r="J130" s="36">
        <f t="shared" si="1"/>
        <v>36.58754</v>
      </c>
      <c r="K130" s="36">
        <f t="shared" si="2"/>
        <v>33.2614</v>
      </c>
      <c r="L130" s="8">
        <f t="shared" si="3"/>
        <v>0.3369172253</v>
      </c>
      <c r="M130" s="8">
        <f t="shared" si="4"/>
        <v>0.1010751676</v>
      </c>
      <c r="N130" s="8">
        <f t="shared" si="5"/>
        <v>0.02021503352</v>
      </c>
      <c r="O130" s="8">
        <f t="shared" si="6"/>
        <v>0.0665228</v>
      </c>
      <c r="P130" s="8">
        <f t="shared" si="7"/>
        <v>0.0997842</v>
      </c>
      <c r="Q130" s="8">
        <f t="shared" si="8"/>
        <v>0.0332614</v>
      </c>
      <c r="R130" s="53"/>
      <c r="S130" s="53"/>
      <c r="T130" s="53"/>
      <c r="U130" s="53"/>
      <c r="V130" s="53"/>
      <c r="W130" s="53"/>
      <c r="X130" s="53"/>
      <c r="Y130" s="53"/>
      <c r="Z130" s="17"/>
    </row>
    <row r="131" ht="34.5" customHeight="1">
      <c r="A131" s="54" t="s">
        <v>150</v>
      </c>
      <c r="B131" s="34" t="s">
        <v>151</v>
      </c>
      <c r="C131" s="34" t="s">
        <v>151</v>
      </c>
      <c r="D131" s="34" t="s">
        <v>168</v>
      </c>
      <c r="E131" s="34">
        <v>77.0</v>
      </c>
      <c r="F131" s="35">
        <v>13.22</v>
      </c>
      <c r="G131" s="34">
        <v>2.0</v>
      </c>
      <c r="H131" s="35">
        <v>35.86</v>
      </c>
      <c r="I131" s="35">
        <v>67.04</v>
      </c>
      <c r="J131" s="36">
        <f t="shared" si="1"/>
        <v>73.50266</v>
      </c>
      <c r="K131" s="36">
        <f t="shared" si="2"/>
        <v>66.8206</v>
      </c>
      <c r="L131" s="8">
        <f t="shared" si="3"/>
        <v>0.6768509787</v>
      </c>
      <c r="M131" s="8">
        <f t="shared" si="4"/>
        <v>0.2030552936</v>
      </c>
      <c r="N131" s="8">
        <f t="shared" si="5"/>
        <v>0.04061105872</v>
      </c>
      <c r="O131" s="8">
        <f t="shared" si="6"/>
        <v>0.1336412</v>
      </c>
      <c r="P131" s="8">
        <f t="shared" si="7"/>
        <v>0.2004618</v>
      </c>
      <c r="Q131" s="8">
        <f t="shared" si="8"/>
        <v>0.0668206</v>
      </c>
      <c r="R131" s="53"/>
      <c r="S131" s="53"/>
      <c r="T131" s="53"/>
      <c r="U131" s="53"/>
      <c r="V131" s="53"/>
      <c r="W131" s="53"/>
      <c r="X131" s="53"/>
      <c r="Y131" s="53"/>
      <c r="Z131" s="17"/>
    </row>
    <row r="132" ht="34.5" customHeight="1">
      <c r="A132" s="54" t="s">
        <v>150</v>
      </c>
      <c r="B132" s="34" t="s">
        <v>151</v>
      </c>
      <c r="C132" s="34" t="s">
        <v>169</v>
      </c>
      <c r="D132" s="34" t="s">
        <v>170</v>
      </c>
      <c r="E132" s="34">
        <v>373.0</v>
      </c>
      <c r="F132" s="35">
        <v>15.65</v>
      </c>
      <c r="G132" s="34">
        <v>4.0</v>
      </c>
      <c r="H132" s="35">
        <v>19.57</v>
      </c>
      <c r="I132" s="35">
        <v>31.05</v>
      </c>
      <c r="J132" s="36">
        <f t="shared" si="1"/>
        <v>346.08805</v>
      </c>
      <c r="K132" s="36">
        <f t="shared" si="2"/>
        <v>314.6255</v>
      </c>
      <c r="L132" s="8">
        <f t="shared" si="3"/>
        <v>3.186959973</v>
      </c>
      <c r="M132" s="8">
        <f t="shared" si="4"/>
        <v>0.956087992</v>
      </c>
      <c r="N132" s="8">
        <f t="shared" si="5"/>
        <v>0.1912175984</v>
      </c>
      <c r="O132" s="8">
        <f t="shared" si="6"/>
        <v>0.629251</v>
      </c>
      <c r="P132" s="8">
        <f t="shared" si="7"/>
        <v>0.9438765</v>
      </c>
      <c r="Q132" s="8">
        <f t="shared" si="8"/>
        <v>0.3146255</v>
      </c>
      <c r="R132" s="53"/>
      <c r="S132" s="53"/>
      <c r="T132" s="53"/>
      <c r="U132" s="53"/>
      <c r="V132" s="53"/>
      <c r="W132" s="53"/>
      <c r="X132" s="53"/>
      <c r="Y132" s="53"/>
      <c r="Z132" s="17"/>
    </row>
    <row r="133" ht="34.5" customHeight="1">
      <c r="A133" s="54" t="s">
        <v>150</v>
      </c>
      <c r="B133" s="34" t="s">
        <v>151</v>
      </c>
      <c r="C133" s="34" t="s">
        <v>169</v>
      </c>
      <c r="D133" s="34" t="s">
        <v>171</v>
      </c>
      <c r="E133" s="34">
        <v>275.0</v>
      </c>
      <c r="F133" s="35">
        <v>25.33</v>
      </c>
      <c r="G133" s="34">
        <v>3.0</v>
      </c>
      <c r="H133" s="35">
        <v>19.1</v>
      </c>
      <c r="I133" s="35">
        <v>49.49</v>
      </c>
      <c r="J133" s="36">
        <f t="shared" si="1"/>
        <v>225.87675</v>
      </c>
      <c r="K133" s="36">
        <f t="shared" si="2"/>
        <v>205.3425</v>
      </c>
      <c r="L133" s="8">
        <f t="shared" si="3"/>
        <v>2.079991381</v>
      </c>
      <c r="M133" s="8">
        <f t="shared" si="4"/>
        <v>0.6239974144</v>
      </c>
      <c r="N133" s="8">
        <f t="shared" si="5"/>
        <v>0.1247994829</v>
      </c>
      <c r="O133" s="8">
        <f t="shared" si="6"/>
        <v>0.410685</v>
      </c>
      <c r="P133" s="8">
        <f t="shared" si="7"/>
        <v>0.6160275</v>
      </c>
      <c r="Q133" s="8">
        <f t="shared" si="8"/>
        <v>0.2053425</v>
      </c>
      <c r="R133" s="53"/>
      <c r="S133" s="53"/>
      <c r="T133" s="53"/>
      <c r="U133" s="53"/>
      <c r="V133" s="53"/>
      <c r="W133" s="53"/>
      <c r="X133" s="53"/>
      <c r="Y133" s="53"/>
      <c r="Z133" s="17"/>
    </row>
    <row r="134" ht="34.5" customHeight="1">
      <c r="A134" s="54" t="s">
        <v>150</v>
      </c>
      <c r="B134" s="34" t="s">
        <v>151</v>
      </c>
      <c r="C134" s="34" t="s">
        <v>169</v>
      </c>
      <c r="D134" s="34" t="s">
        <v>172</v>
      </c>
      <c r="E134" s="34">
        <v>122.0</v>
      </c>
      <c r="F134" s="35">
        <v>16.68</v>
      </c>
      <c r="G134" s="34">
        <v>3.0</v>
      </c>
      <c r="H134" s="35">
        <v>0.0</v>
      </c>
      <c r="I134" s="35">
        <v>24.33</v>
      </c>
      <c r="J134" s="36">
        <f t="shared" si="1"/>
        <v>111.81544</v>
      </c>
      <c r="K134" s="36">
        <f t="shared" si="2"/>
        <v>101.6504</v>
      </c>
      <c r="L134" s="8">
        <f t="shared" si="3"/>
        <v>1.029655117</v>
      </c>
      <c r="M134" s="8">
        <f t="shared" si="4"/>
        <v>0.3088965352</v>
      </c>
      <c r="N134" s="8">
        <f t="shared" si="5"/>
        <v>0.06177930703</v>
      </c>
      <c r="O134" s="8">
        <f t="shared" si="6"/>
        <v>0.2033008</v>
      </c>
      <c r="P134" s="8">
        <f t="shared" si="7"/>
        <v>0.3049512</v>
      </c>
      <c r="Q134" s="8">
        <f t="shared" si="8"/>
        <v>0.1016504</v>
      </c>
      <c r="R134" s="53"/>
      <c r="S134" s="53"/>
      <c r="T134" s="53"/>
      <c r="U134" s="53"/>
      <c r="V134" s="53"/>
      <c r="W134" s="53"/>
      <c r="X134" s="53"/>
      <c r="Y134" s="53"/>
      <c r="Z134" s="17"/>
    </row>
    <row r="135" ht="34.5" customHeight="1">
      <c r="A135" s="54" t="s">
        <v>150</v>
      </c>
      <c r="B135" s="34" t="s">
        <v>151</v>
      </c>
      <c r="C135" s="34" t="s">
        <v>169</v>
      </c>
      <c r="D135" s="34" t="s">
        <v>173</v>
      </c>
      <c r="E135" s="34">
        <v>58.0</v>
      </c>
      <c r="F135" s="35">
        <v>11.04</v>
      </c>
      <c r="G135" s="34">
        <v>2.0</v>
      </c>
      <c r="H135" s="35">
        <v>100.0</v>
      </c>
      <c r="I135" s="35">
        <v>100.0</v>
      </c>
      <c r="J135" s="36">
        <f t="shared" si="1"/>
        <v>56.75648</v>
      </c>
      <c r="K135" s="36">
        <f t="shared" si="2"/>
        <v>51.5968</v>
      </c>
      <c r="L135" s="8">
        <f t="shared" si="3"/>
        <v>0.5226433851</v>
      </c>
      <c r="M135" s="8">
        <f t="shared" si="4"/>
        <v>0.1567930155</v>
      </c>
      <c r="N135" s="8">
        <f t="shared" si="5"/>
        <v>0.03135860311</v>
      </c>
      <c r="O135" s="8">
        <f t="shared" si="6"/>
        <v>0.1031936</v>
      </c>
      <c r="P135" s="8">
        <f t="shared" si="7"/>
        <v>0.1547904</v>
      </c>
      <c r="Q135" s="8">
        <f t="shared" si="8"/>
        <v>0.0515968</v>
      </c>
      <c r="R135" s="53"/>
      <c r="S135" s="53"/>
      <c r="T135" s="53"/>
      <c r="U135" s="53"/>
      <c r="V135" s="53"/>
      <c r="W135" s="53"/>
      <c r="X135" s="53"/>
      <c r="Y135" s="53"/>
      <c r="Z135" s="17"/>
    </row>
    <row r="136" ht="34.5" customHeight="1">
      <c r="A136" s="54" t="s">
        <v>150</v>
      </c>
      <c r="B136" s="34" t="s">
        <v>151</v>
      </c>
      <c r="C136" s="34" t="s">
        <v>169</v>
      </c>
      <c r="D136" s="34" t="s">
        <v>174</v>
      </c>
      <c r="E136" s="34">
        <v>273.0</v>
      </c>
      <c r="F136" s="35">
        <v>16.83</v>
      </c>
      <c r="G136" s="34">
        <v>4.0</v>
      </c>
      <c r="H136" s="35">
        <v>28.28</v>
      </c>
      <c r="I136" s="35">
        <v>49.79</v>
      </c>
      <c r="J136" s="36">
        <f t="shared" si="1"/>
        <v>249.75951</v>
      </c>
      <c r="K136" s="36">
        <f t="shared" si="2"/>
        <v>227.0541</v>
      </c>
      <c r="L136" s="8">
        <f t="shared" si="3"/>
        <v>2.29991634</v>
      </c>
      <c r="M136" s="8">
        <f t="shared" si="4"/>
        <v>0.6899749021</v>
      </c>
      <c r="N136" s="8">
        <f t="shared" si="5"/>
        <v>0.1379949804</v>
      </c>
      <c r="O136" s="8">
        <f t="shared" si="6"/>
        <v>0.4541082</v>
      </c>
      <c r="P136" s="8">
        <f t="shared" si="7"/>
        <v>0.6811623</v>
      </c>
      <c r="Q136" s="8">
        <f t="shared" si="8"/>
        <v>0.2270541</v>
      </c>
      <c r="R136" s="53"/>
      <c r="S136" s="53"/>
      <c r="T136" s="53"/>
      <c r="U136" s="53"/>
      <c r="V136" s="53"/>
      <c r="W136" s="53"/>
      <c r="X136" s="53"/>
      <c r="Y136" s="53"/>
      <c r="Z136" s="17"/>
    </row>
    <row r="137" ht="34.5" customHeight="1">
      <c r="A137" s="54" t="s">
        <v>150</v>
      </c>
      <c r="B137" s="34" t="s">
        <v>151</v>
      </c>
      <c r="C137" s="34" t="s">
        <v>169</v>
      </c>
      <c r="D137" s="34" t="s">
        <v>175</v>
      </c>
      <c r="E137" s="34">
        <v>285.0</v>
      </c>
      <c r="F137" s="35">
        <v>15.88</v>
      </c>
      <c r="G137" s="34">
        <v>4.0</v>
      </c>
      <c r="H137" s="35">
        <v>25.26</v>
      </c>
      <c r="I137" s="35">
        <v>47.23</v>
      </c>
      <c r="J137" s="36">
        <f t="shared" si="1"/>
        <v>263.7162</v>
      </c>
      <c r="K137" s="36">
        <f t="shared" si="2"/>
        <v>239.742</v>
      </c>
      <c r="L137" s="8">
        <f t="shared" si="3"/>
        <v>2.428436849</v>
      </c>
      <c r="M137" s="8">
        <f t="shared" si="4"/>
        <v>0.7285310548</v>
      </c>
      <c r="N137" s="8">
        <f t="shared" si="5"/>
        <v>0.145706211</v>
      </c>
      <c r="O137" s="8">
        <f t="shared" si="6"/>
        <v>0.479484</v>
      </c>
      <c r="P137" s="8">
        <f t="shared" si="7"/>
        <v>0.719226</v>
      </c>
      <c r="Q137" s="8">
        <f t="shared" si="8"/>
        <v>0.239742</v>
      </c>
      <c r="R137" s="53"/>
      <c r="S137" s="53"/>
      <c r="T137" s="53"/>
      <c r="U137" s="53"/>
      <c r="V137" s="53"/>
      <c r="W137" s="53"/>
      <c r="X137" s="53"/>
      <c r="Y137" s="53"/>
      <c r="Z137" s="17"/>
    </row>
    <row r="138" ht="34.5" customHeight="1">
      <c r="A138" s="54" t="s">
        <v>150</v>
      </c>
      <c r="B138" s="34" t="s">
        <v>151</v>
      </c>
      <c r="C138" s="34" t="s">
        <v>169</v>
      </c>
      <c r="D138" s="34" t="s">
        <v>176</v>
      </c>
      <c r="E138" s="34">
        <v>227.0</v>
      </c>
      <c r="F138" s="35">
        <v>22.67</v>
      </c>
      <c r="G138" s="34">
        <v>4.0</v>
      </c>
      <c r="H138" s="35">
        <v>27.96</v>
      </c>
      <c r="I138" s="35">
        <v>82.68</v>
      </c>
      <c r="J138" s="36">
        <f t="shared" si="1"/>
        <v>193.09301</v>
      </c>
      <c r="K138" s="36">
        <f t="shared" si="2"/>
        <v>175.5391</v>
      </c>
      <c r="L138" s="8">
        <f t="shared" si="3"/>
        <v>1.778101538</v>
      </c>
      <c r="M138" s="8">
        <f t="shared" si="4"/>
        <v>0.5334304614</v>
      </c>
      <c r="N138" s="8">
        <f t="shared" si="5"/>
        <v>0.1066860923</v>
      </c>
      <c r="O138" s="8">
        <f t="shared" si="6"/>
        <v>0.3510782</v>
      </c>
      <c r="P138" s="8">
        <f t="shared" si="7"/>
        <v>0.5266173</v>
      </c>
      <c r="Q138" s="8">
        <f t="shared" si="8"/>
        <v>0.1755391</v>
      </c>
      <c r="R138" s="53"/>
      <c r="S138" s="53"/>
      <c r="T138" s="53"/>
      <c r="U138" s="53"/>
      <c r="V138" s="53"/>
      <c r="W138" s="53"/>
      <c r="X138" s="53"/>
      <c r="Y138" s="53"/>
      <c r="Z138" s="17"/>
    </row>
    <row r="139" ht="34.5" customHeight="1">
      <c r="A139" s="54" t="s">
        <v>150</v>
      </c>
      <c r="B139" s="34" t="s">
        <v>151</v>
      </c>
      <c r="C139" s="34" t="s">
        <v>169</v>
      </c>
      <c r="D139" s="34" t="s">
        <v>177</v>
      </c>
      <c r="E139" s="34">
        <v>46.0</v>
      </c>
      <c r="F139" s="35">
        <v>6.55</v>
      </c>
      <c r="G139" s="34">
        <v>1.0</v>
      </c>
      <c r="H139" s="35">
        <v>89.96</v>
      </c>
      <c r="I139" s="35">
        <v>89.96</v>
      </c>
      <c r="J139" s="36">
        <f t="shared" si="1"/>
        <v>47.2857</v>
      </c>
      <c r="K139" s="36">
        <f t="shared" si="2"/>
        <v>42.987</v>
      </c>
      <c r="L139" s="8">
        <f t="shared" si="3"/>
        <v>0.435431484</v>
      </c>
      <c r="M139" s="8">
        <f t="shared" si="4"/>
        <v>0.1306294452</v>
      </c>
      <c r="N139" s="8">
        <f t="shared" si="5"/>
        <v>0.02612588904</v>
      </c>
      <c r="O139" s="8">
        <f t="shared" si="6"/>
        <v>0.085974</v>
      </c>
      <c r="P139" s="8">
        <f t="shared" si="7"/>
        <v>0.128961</v>
      </c>
      <c r="Q139" s="8">
        <f t="shared" si="8"/>
        <v>0.042987</v>
      </c>
      <c r="R139" s="53"/>
      <c r="S139" s="53"/>
      <c r="T139" s="53"/>
      <c r="U139" s="53"/>
      <c r="V139" s="53"/>
      <c r="W139" s="53"/>
      <c r="X139" s="53"/>
      <c r="Y139" s="53"/>
      <c r="Z139" s="17"/>
    </row>
    <row r="140" ht="34.5" customHeight="1">
      <c r="A140" s="54" t="s">
        <v>150</v>
      </c>
      <c r="B140" s="34" t="s">
        <v>151</v>
      </c>
      <c r="C140" s="34" t="s">
        <v>169</v>
      </c>
      <c r="D140" s="34" t="s">
        <v>178</v>
      </c>
      <c r="E140" s="34">
        <v>187.0</v>
      </c>
      <c r="F140" s="35">
        <v>7.41</v>
      </c>
      <c r="G140" s="34">
        <v>3.0</v>
      </c>
      <c r="H140" s="35">
        <v>24.66</v>
      </c>
      <c r="I140" s="35">
        <v>46.1</v>
      </c>
      <c r="J140" s="36">
        <f t="shared" si="1"/>
        <v>190.45763</v>
      </c>
      <c r="K140" s="36">
        <f t="shared" si="2"/>
        <v>173.1433</v>
      </c>
      <c r="L140" s="8">
        <f t="shared" si="3"/>
        <v>1.753833579</v>
      </c>
      <c r="M140" s="8">
        <f t="shared" si="4"/>
        <v>0.5261500737</v>
      </c>
      <c r="N140" s="8">
        <f t="shared" si="5"/>
        <v>0.1052300147</v>
      </c>
      <c r="O140" s="8">
        <f t="shared" si="6"/>
        <v>0.3462866</v>
      </c>
      <c r="P140" s="8">
        <f t="shared" si="7"/>
        <v>0.5194299</v>
      </c>
      <c r="Q140" s="8">
        <f t="shared" si="8"/>
        <v>0.1731433</v>
      </c>
      <c r="R140" s="53"/>
      <c r="S140" s="53"/>
      <c r="T140" s="53"/>
      <c r="U140" s="53"/>
      <c r="V140" s="53"/>
      <c r="W140" s="53"/>
      <c r="X140" s="53"/>
      <c r="Y140" s="53"/>
      <c r="Z140" s="17"/>
    </row>
    <row r="141" ht="34.5" customHeight="1">
      <c r="A141" s="54" t="s">
        <v>150</v>
      </c>
      <c r="B141" s="34" t="s">
        <v>151</v>
      </c>
      <c r="C141" s="34" t="s">
        <v>169</v>
      </c>
      <c r="D141" s="34" t="s">
        <v>169</v>
      </c>
      <c r="E141" s="34">
        <v>1504.0</v>
      </c>
      <c r="F141" s="35">
        <v>19.99</v>
      </c>
      <c r="G141" s="34">
        <v>18.0</v>
      </c>
      <c r="H141" s="35">
        <v>22.96</v>
      </c>
      <c r="I141" s="35">
        <v>45.64</v>
      </c>
      <c r="J141" s="36">
        <f t="shared" si="1"/>
        <v>1323.68544</v>
      </c>
      <c r="K141" s="36">
        <f t="shared" si="2"/>
        <v>1203.3504</v>
      </c>
      <c r="L141" s="8">
        <f t="shared" si="3"/>
        <v>12.1891886</v>
      </c>
      <c r="M141" s="8">
        <f t="shared" si="4"/>
        <v>3.656756581</v>
      </c>
      <c r="N141" s="8">
        <f t="shared" si="5"/>
        <v>0.7313513162</v>
      </c>
      <c r="O141" s="8">
        <f t="shared" si="6"/>
        <v>2.4067008</v>
      </c>
      <c r="P141" s="8">
        <f t="shared" si="7"/>
        <v>3.6100512</v>
      </c>
      <c r="Q141" s="8">
        <f t="shared" si="8"/>
        <v>1.2033504</v>
      </c>
      <c r="R141" s="53"/>
      <c r="S141" s="53"/>
      <c r="T141" s="53"/>
      <c r="U141" s="53"/>
      <c r="V141" s="53"/>
      <c r="W141" s="53"/>
      <c r="X141" s="53"/>
      <c r="Y141" s="53"/>
      <c r="Z141" s="17"/>
    </row>
    <row r="142" ht="34.5" customHeight="1">
      <c r="A142" s="54" t="s">
        <v>150</v>
      </c>
      <c r="B142" s="34" t="s">
        <v>151</v>
      </c>
      <c r="C142" s="34" t="s">
        <v>169</v>
      </c>
      <c r="D142" s="34" t="s">
        <v>179</v>
      </c>
      <c r="E142" s="34">
        <v>118.0</v>
      </c>
      <c r="F142" s="35">
        <v>10.98</v>
      </c>
      <c r="G142" s="34">
        <v>3.0</v>
      </c>
      <c r="H142" s="35">
        <v>80.18</v>
      </c>
      <c r="I142" s="35">
        <v>80.18</v>
      </c>
      <c r="J142" s="36">
        <f t="shared" si="1"/>
        <v>115.54796</v>
      </c>
      <c r="K142" s="36">
        <f t="shared" si="2"/>
        <v>105.0436</v>
      </c>
      <c r="L142" s="8">
        <f t="shared" si="3"/>
        <v>1.064026116</v>
      </c>
      <c r="M142" s="8">
        <f t="shared" si="4"/>
        <v>0.3192078347</v>
      </c>
      <c r="N142" s="8">
        <f t="shared" si="5"/>
        <v>0.06384156694</v>
      </c>
      <c r="O142" s="8">
        <f t="shared" si="6"/>
        <v>0.2100872</v>
      </c>
      <c r="P142" s="8">
        <f t="shared" si="7"/>
        <v>0.3151308</v>
      </c>
      <c r="Q142" s="8">
        <f t="shared" si="8"/>
        <v>0.1050436</v>
      </c>
      <c r="R142" s="53"/>
      <c r="S142" s="53"/>
      <c r="T142" s="53"/>
      <c r="U142" s="53"/>
      <c r="V142" s="53"/>
      <c r="W142" s="53"/>
      <c r="X142" s="53"/>
      <c r="Y142" s="53"/>
      <c r="Z142" s="17"/>
    </row>
    <row r="143" ht="34.5" customHeight="1">
      <c r="A143" s="54" t="s">
        <v>150</v>
      </c>
      <c r="B143" s="34" t="s">
        <v>151</v>
      </c>
      <c r="C143" s="34" t="s">
        <v>169</v>
      </c>
      <c r="D143" s="34" t="s">
        <v>180</v>
      </c>
      <c r="E143" s="34">
        <v>82.0</v>
      </c>
      <c r="F143" s="35">
        <v>11.04</v>
      </c>
      <c r="G143" s="34">
        <v>2.0</v>
      </c>
      <c r="H143" s="35">
        <v>68.93</v>
      </c>
      <c r="I143" s="35">
        <v>100.0</v>
      </c>
      <c r="J143" s="36">
        <f t="shared" si="1"/>
        <v>80.24192</v>
      </c>
      <c r="K143" s="36">
        <f t="shared" si="2"/>
        <v>72.9472</v>
      </c>
      <c r="L143" s="8">
        <f t="shared" si="3"/>
        <v>0.7389096134</v>
      </c>
      <c r="M143" s="8">
        <f t="shared" si="4"/>
        <v>0.221672884</v>
      </c>
      <c r="N143" s="8">
        <f t="shared" si="5"/>
        <v>0.0443345768</v>
      </c>
      <c r="O143" s="8">
        <f t="shared" si="6"/>
        <v>0.1458944</v>
      </c>
      <c r="P143" s="8">
        <f t="shared" si="7"/>
        <v>0.2188416</v>
      </c>
      <c r="Q143" s="8">
        <f t="shared" si="8"/>
        <v>0.0729472</v>
      </c>
      <c r="R143" s="53"/>
      <c r="S143" s="53"/>
      <c r="T143" s="53"/>
      <c r="U143" s="53"/>
      <c r="V143" s="53"/>
      <c r="W143" s="53"/>
      <c r="X143" s="53"/>
      <c r="Y143" s="53"/>
      <c r="Z143" s="17"/>
    </row>
    <row r="144" ht="34.5" customHeight="1">
      <c r="A144" s="54" t="s">
        <v>150</v>
      </c>
      <c r="B144" s="34" t="s">
        <v>151</v>
      </c>
      <c r="C144" s="34" t="s">
        <v>181</v>
      </c>
      <c r="D144" s="34" t="s">
        <v>182</v>
      </c>
      <c r="E144" s="34">
        <v>180.0</v>
      </c>
      <c r="F144" s="35">
        <v>21.07</v>
      </c>
      <c r="G144" s="34">
        <v>7.0</v>
      </c>
      <c r="H144" s="35">
        <v>58.25</v>
      </c>
      <c r="I144" s="35">
        <v>100.0</v>
      </c>
      <c r="J144" s="36">
        <f t="shared" si="1"/>
        <v>156.2814</v>
      </c>
      <c r="K144" s="36">
        <f t="shared" si="2"/>
        <v>142.074</v>
      </c>
      <c r="L144" s="8">
        <f t="shared" si="3"/>
        <v>1.439120959</v>
      </c>
      <c r="M144" s="8">
        <f t="shared" si="4"/>
        <v>0.4317362877</v>
      </c>
      <c r="N144" s="8">
        <f t="shared" si="5"/>
        <v>0.08634725753</v>
      </c>
      <c r="O144" s="8">
        <f t="shared" si="6"/>
        <v>0.284148</v>
      </c>
      <c r="P144" s="8">
        <f t="shared" si="7"/>
        <v>0.426222</v>
      </c>
      <c r="Q144" s="8">
        <f t="shared" si="8"/>
        <v>0.142074</v>
      </c>
      <c r="R144" s="53"/>
      <c r="S144" s="53"/>
      <c r="T144" s="53"/>
      <c r="U144" s="53"/>
      <c r="V144" s="53"/>
      <c r="W144" s="53"/>
      <c r="X144" s="53"/>
      <c r="Y144" s="53"/>
      <c r="Z144" s="17"/>
    </row>
    <row r="145" ht="34.5" customHeight="1">
      <c r="A145" s="54" t="s">
        <v>150</v>
      </c>
      <c r="B145" s="34" t="s">
        <v>151</v>
      </c>
      <c r="C145" s="34" t="s">
        <v>181</v>
      </c>
      <c r="D145" s="34" t="s">
        <v>183</v>
      </c>
      <c r="E145" s="34">
        <v>74.0</v>
      </c>
      <c r="F145" s="35">
        <v>17.62</v>
      </c>
      <c r="G145" s="34">
        <v>4.0</v>
      </c>
      <c r="H145" s="35">
        <v>30.24</v>
      </c>
      <c r="I145" s="35">
        <v>100.0</v>
      </c>
      <c r="J145" s="36">
        <f t="shared" si="1"/>
        <v>67.05732</v>
      </c>
      <c r="K145" s="36">
        <f t="shared" si="2"/>
        <v>60.9612</v>
      </c>
      <c r="L145" s="8">
        <f t="shared" si="3"/>
        <v>0.6174989132</v>
      </c>
      <c r="M145" s="8">
        <f t="shared" si="4"/>
        <v>0.185249674</v>
      </c>
      <c r="N145" s="8">
        <f t="shared" si="5"/>
        <v>0.03704993479</v>
      </c>
      <c r="O145" s="8">
        <f t="shared" si="6"/>
        <v>0.1219224</v>
      </c>
      <c r="P145" s="8">
        <f t="shared" si="7"/>
        <v>0.1828836</v>
      </c>
      <c r="Q145" s="8">
        <f t="shared" si="8"/>
        <v>0.0609612</v>
      </c>
      <c r="R145" s="53"/>
      <c r="S145" s="53"/>
      <c r="T145" s="53"/>
      <c r="U145" s="53"/>
      <c r="V145" s="53"/>
      <c r="W145" s="53"/>
      <c r="X145" s="53"/>
      <c r="Y145" s="53"/>
      <c r="Z145" s="17"/>
    </row>
    <row r="146" ht="34.5" customHeight="1">
      <c r="A146" s="54" t="s">
        <v>150</v>
      </c>
      <c r="B146" s="34" t="s">
        <v>151</v>
      </c>
      <c r="C146" s="34" t="s">
        <v>181</v>
      </c>
      <c r="D146" s="34" t="s">
        <v>184</v>
      </c>
      <c r="E146" s="34">
        <v>153.0</v>
      </c>
      <c r="F146" s="35">
        <v>28.05</v>
      </c>
      <c r="G146" s="34">
        <v>3.0</v>
      </c>
      <c r="H146" s="35">
        <v>56.71</v>
      </c>
      <c r="I146" s="35">
        <v>81.36</v>
      </c>
      <c r="J146" s="36">
        <f t="shared" si="1"/>
        <v>121.09185</v>
      </c>
      <c r="K146" s="36">
        <f t="shared" si="2"/>
        <v>110.0835</v>
      </c>
      <c r="L146" s="8">
        <f t="shared" si="3"/>
        <v>1.115077158</v>
      </c>
      <c r="M146" s="8">
        <f t="shared" si="4"/>
        <v>0.3345231473</v>
      </c>
      <c r="N146" s="8">
        <f t="shared" si="5"/>
        <v>0.06690462945</v>
      </c>
      <c r="O146" s="8">
        <f t="shared" si="6"/>
        <v>0.220167</v>
      </c>
      <c r="P146" s="8">
        <f t="shared" si="7"/>
        <v>0.3302505</v>
      </c>
      <c r="Q146" s="8">
        <f t="shared" si="8"/>
        <v>0.1100835</v>
      </c>
      <c r="R146" s="53"/>
      <c r="S146" s="53"/>
      <c r="T146" s="53"/>
      <c r="U146" s="53"/>
      <c r="V146" s="53"/>
      <c r="W146" s="53"/>
      <c r="X146" s="53"/>
      <c r="Y146" s="53"/>
      <c r="Z146" s="17"/>
    </row>
    <row r="147" ht="34.5" customHeight="1">
      <c r="A147" s="54" t="s">
        <v>150</v>
      </c>
      <c r="B147" s="34" t="s">
        <v>151</v>
      </c>
      <c r="C147" s="34" t="s">
        <v>181</v>
      </c>
      <c r="D147" s="34" t="s">
        <v>181</v>
      </c>
      <c r="E147" s="34">
        <v>838.0</v>
      </c>
      <c r="F147" s="35">
        <v>42.91</v>
      </c>
      <c r="G147" s="34">
        <v>13.0</v>
      </c>
      <c r="H147" s="35">
        <v>26.53</v>
      </c>
      <c r="I147" s="35">
        <v>71.91</v>
      </c>
      <c r="J147" s="36">
        <f t="shared" si="1"/>
        <v>526.25562</v>
      </c>
      <c r="K147" s="36">
        <f t="shared" si="2"/>
        <v>478.4142</v>
      </c>
      <c r="L147" s="8">
        <f t="shared" si="3"/>
        <v>4.846037292</v>
      </c>
      <c r="M147" s="8">
        <f t="shared" si="4"/>
        <v>1.453811188</v>
      </c>
      <c r="N147" s="8">
        <f t="shared" si="5"/>
        <v>0.2907622375</v>
      </c>
      <c r="O147" s="8">
        <f t="shared" si="6"/>
        <v>0.9568284</v>
      </c>
      <c r="P147" s="8">
        <f t="shared" si="7"/>
        <v>1.4352426</v>
      </c>
      <c r="Q147" s="8">
        <f t="shared" si="8"/>
        <v>0.4784142</v>
      </c>
      <c r="R147" s="53"/>
      <c r="S147" s="53"/>
      <c r="T147" s="53"/>
      <c r="U147" s="53"/>
      <c r="V147" s="53"/>
      <c r="W147" s="53"/>
      <c r="X147" s="53"/>
      <c r="Y147" s="53"/>
      <c r="Z147" s="17"/>
    </row>
    <row r="148" ht="34.5" customHeight="1">
      <c r="A148" s="54" t="s">
        <v>150</v>
      </c>
      <c r="B148" s="34" t="s">
        <v>151</v>
      </c>
      <c r="C148" s="34" t="s">
        <v>181</v>
      </c>
      <c r="D148" s="34" t="s">
        <v>185</v>
      </c>
      <c r="E148" s="34">
        <v>39.0</v>
      </c>
      <c r="F148" s="35">
        <v>19.23</v>
      </c>
      <c r="G148" s="34">
        <v>1.0</v>
      </c>
      <c r="H148" s="35">
        <v>100.0</v>
      </c>
      <c r="I148" s="35">
        <v>100.0</v>
      </c>
      <c r="J148" s="36">
        <f t="shared" si="1"/>
        <v>34.65033</v>
      </c>
      <c r="K148" s="36">
        <f t="shared" si="2"/>
        <v>31.5003</v>
      </c>
      <c r="L148" s="8">
        <f t="shared" si="3"/>
        <v>0.3190783813</v>
      </c>
      <c r="M148" s="8">
        <f t="shared" si="4"/>
        <v>0.09572351438</v>
      </c>
      <c r="N148" s="8">
        <f t="shared" si="5"/>
        <v>0.01914470288</v>
      </c>
      <c r="O148" s="8">
        <f t="shared" si="6"/>
        <v>0.0630006</v>
      </c>
      <c r="P148" s="8">
        <f t="shared" si="7"/>
        <v>0.0945009</v>
      </c>
      <c r="Q148" s="8">
        <f t="shared" si="8"/>
        <v>0.0315003</v>
      </c>
      <c r="R148" s="53"/>
      <c r="S148" s="53"/>
      <c r="T148" s="53"/>
      <c r="U148" s="53"/>
      <c r="V148" s="53"/>
      <c r="W148" s="53"/>
      <c r="X148" s="53"/>
      <c r="Y148" s="53"/>
      <c r="Z148" s="17"/>
    </row>
    <row r="149" ht="34.5" customHeight="1">
      <c r="A149" s="54" t="s">
        <v>150</v>
      </c>
      <c r="B149" s="34" t="s">
        <v>151</v>
      </c>
      <c r="C149" s="34" t="s">
        <v>181</v>
      </c>
      <c r="D149" s="34" t="s">
        <v>186</v>
      </c>
      <c r="E149" s="34">
        <v>361.0</v>
      </c>
      <c r="F149" s="35">
        <v>20.41</v>
      </c>
      <c r="G149" s="34">
        <v>8.0</v>
      </c>
      <c r="H149" s="35">
        <v>51.2</v>
      </c>
      <c r="I149" s="35">
        <v>88.3</v>
      </c>
      <c r="J149" s="36">
        <f t="shared" si="1"/>
        <v>316.05189</v>
      </c>
      <c r="K149" s="36">
        <f t="shared" si="2"/>
        <v>287.3199</v>
      </c>
      <c r="L149" s="8">
        <f t="shared" si="3"/>
        <v>2.910371285</v>
      </c>
      <c r="M149" s="8">
        <f t="shared" si="4"/>
        <v>0.8731113856</v>
      </c>
      <c r="N149" s="8">
        <f t="shared" si="5"/>
        <v>0.1746222771</v>
      </c>
      <c r="O149" s="8">
        <f t="shared" si="6"/>
        <v>0.5746398</v>
      </c>
      <c r="P149" s="8">
        <f t="shared" si="7"/>
        <v>0.8619597</v>
      </c>
      <c r="Q149" s="8">
        <f t="shared" si="8"/>
        <v>0.2873199</v>
      </c>
      <c r="R149" s="53"/>
      <c r="S149" s="53"/>
      <c r="T149" s="53"/>
      <c r="U149" s="53"/>
      <c r="V149" s="53"/>
      <c r="W149" s="53"/>
      <c r="X149" s="53"/>
      <c r="Y149" s="53"/>
      <c r="Z149" s="17"/>
    </row>
    <row r="150" ht="34.5" customHeight="1">
      <c r="A150" s="54" t="s">
        <v>150</v>
      </c>
      <c r="B150" s="34" t="s">
        <v>151</v>
      </c>
      <c r="C150" s="34" t="s">
        <v>181</v>
      </c>
      <c r="D150" s="34" t="s">
        <v>187</v>
      </c>
      <c r="E150" s="34">
        <v>53.0</v>
      </c>
      <c r="F150" s="35">
        <v>22.55</v>
      </c>
      <c r="G150" s="34">
        <v>3.0</v>
      </c>
      <c r="H150" s="35">
        <v>61.72</v>
      </c>
      <c r="I150" s="35">
        <v>100.0</v>
      </c>
      <c r="J150" s="36">
        <f t="shared" si="1"/>
        <v>45.15335</v>
      </c>
      <c r="K150" s="36">
        <f t="shared" si="2"/>
        <v>41.0485</v>
      </c>
      <c r="L150" s="8">
        <f t="shared" si="3"/>
        <v>0.4157956887</v>
      </c>
      <c r="M150" s="8">
        <f t="shared" si="4"/>
        <v>0.1247387066</v>
      </c>
      <c r="N150" s="8">
        <f t="shared" si="5"/>
        <v>0.02494774132</v>
      </c>
      <c r="O150" s="8">
        <f t="shared" si="6"/>
        <v>0.082097</v>
      </c>
      <c r="P150" s="8">
        <f t="shared" si="7"/>
        <v>0.1231455</v>
      </c>
      <c r="Q150" s="8">
        <f t="shared" si="8"/>
        <v>0.0410485</v>
      </c>
      <c r="R150" s="53"/>
      <c r="S150" s="53"/>
      <c r="T150" s="53"/>
      <c r="U150" s="53"/>
      <c r="V150" s="53"/>
      <c r="W150" s="53"/>
      <c r="X150" s="53"/>
      <c r="Y150" s="53"/>
      <c r="Z150" s="17"/>
    </row>
    <row r="151" ht="34.5" customHeight="1">
      <c r="A151" s="54" t="s">
        <v>150</v>
      </c>
      <c r="B151" s="34" t="s">
        <v>151</v>
      </c>
      <c r="C151" s="34" t="s">
        <v>181</v>
      </c>
      <c r="D151" s="34" t="s">
        <v>188</v>
      </c>
      <c r="E151" s="34">
        <v>15.0</v>
      </c>
      <c r="F151" s="35">
        <v>12.91</v>
      </c>
      <c r="G151" s="34">
        <v>1.0</v>
      </c>
      <c r="H151" s="35">
        <v>100.0</v>
      </c>
      <c r="I151" s="35">
        <v>100.0</v>
      </c>
      <c r="J151" s="36">
        <f t="shared" si="1"/>
        <v>14.36985</v>
      </c>
      <c r="K151" s="36">
        <f t="shared" si="2"/>
        <v>13.0635</v>
      </c>
      <c r="L151" s="8">
        <f t="shared" si="3"/>
        <v>0.1323251027</v>
      </c>
      <c r="M151" s="8">
        <f t="shared" si="4"/>
        <v>0.03969753082</v>
      </c>
      <c r="N151" s="8">
        <f t="shared" si="5"/>
        <v>0.007939506164</v>
      </c>
      <c r="O151" s="8">
        <f t="shared" si="6"/>
        <v>0.026127</v>
      </c>
      <c r="P151" s="8">
        <f t="shared" si="7"/>
        <v>0.0391905</v>
      </c>
      <c r="Q151" s="8">
        <f t="shared" si="8"/>
        <v>0.0130635</v>
      </c>
      <c r="R151" s="53"/>
      <c r="S151" s="53"/>
      <c r="T151" s="53"/>
      <c r="U151" s="53"/>
      <c r="V151" s="53"/>
      <c r="W151" s="53"/>
      <c r="X151" s="53"/>
      <c r="Y151" s="53"/>
      <c r="Z151" s="17"/>
    </row>
    <row r="152" ht="34.5" customHeight="1">
      <c r="A152" s="54" t="s">
        <v>150</v>
      </c>
      <c r="B152" s="34" t="s">
        <v>151</v>
      </c>
      <c r="C152" s="34" t="s">
        <v>189</v>
      </c>
      <c r="D152" s="34" t="s">
        <v>190</v>
      </c>
      <c r="E152" s="34">
        <v>69.0</v>
      </c>
      <c r="F152" s="35">
        <v>7.51</v>
      </c>
      <c r="G152" s="34">
        <v>3.0</v>
      </c>
      <c r="H152" s="35">
        <v>51.31</v>
      </c>
      <c r="I152" s="35">
        <v>100.0</v>
      </c>
      <c r="J152" s="36">
        <f t="shared" si="1"/>
        <v>70.19991</v>
      </c>
      <c r="K152" s="36">
        <f t="shared" si="2"/>
        <v>63.8181</v>
      </c>
      <c r="L152" s="8">
        <f t="shared" si="3"/>
        <v>0.6464375274</v>
      </c>
      <c r="M152" s="8">
        <f t="shared" si="4"/>
        <v>0.1939312582</v>
      </c>
      <c r="N152" s="8">
        <f t="shared" si="5"/>
        <v>0.03878625164</v>
      </c>
      <c r="O152" s="8">
        <f t="shared" si="6"/>
        <v>0.1276362</v>
      </c>
      <c r="P152" s="8">
        <f t="shared" si="7"/>
        <v>0.1914543</v>
      </c>
      <c r="Q152" s="8">
        <f t="shared" si="8"/>
        <v>0.0638181</v>
      </c>
      <c r="R152" s="53"/>
      <c r="S152" s="53"/>
      <c r="T152" s="53"/>
      <c r="U152" s="53"/>
      <c r="V152" s="53"/>
      <c r="W152" s="53"/>
      <c r="X152" s="53"/>
      <c r="Y152" s="53"/>
      <c r="Z152" s="17"/>
    </row>
    <row r="153" ht="34.5" customHeight="1">
      <c r="A153" s="54" t="s">
        <v>150</v>
      </c>
      <c r="B153" s="34" t="s">
        <v>151</v>
      </c>
      <c r="C153" s="34" t="s">
        <v>189</v>
      </c>
      <c r="D153" s="34" t="s">
        <v>191</v>
      </c>
      <c r="E153" s="34">
        <v>127.0</v>
      </c>
      <c r="F153" s="35">
        <v>26.63</v>
      </c>
      <c r="G153" s="34">
        <v>3.0</v>
      </c>
      <c r="H153" s="35">
        <v>93.0</v>
      </c>
      <c r="I153" s="35">
        <v>93.0</v>
      </c>
      <c r="J153" s="36">
        <f t="shared" si="1"/>
        <v>102.49789</v>
      </c>
      <c r="K153" s="36">
        <f t="shared" si="2"/>
        <v>93.1799</v>
      </c>
      <c r="L153" s="8">
        <f t="shared" si="3"/>
        <v>0.9438542382</v>
      </c>
      <c r="M153" s="8">
        <f t="shared" si="4"/>
        <v>0.2831562715</v>
      </c>
      <c r="N153" s="8">
        <f t="shared" si="5"/>
        <v>0.05663125429</v>
      </c>
      <c r="O153" s="8">
        <f t="shared" si="6"/>
        <v>0.1863598</v>
      </c>
      <c r="P153" s="8">
        <f t="shared" si="7"/>
        <v>0.2795397</v>
      </c>
      <c r="Q153" s="8">
        <f t="shared" si="8"/>
        <v>0.0931799</v>
      </c>
      <c r="R153" s="53"/>
      <c r="S153" s="53"/>
      <c r="T153" s="53"/>
      <c r="U153" s="53"/>
      <c r="V153" s="53"/>
      <c r="W153" s="53"/>
      <c r="X153" s="53"/>
      <c r="Y153" s="53"/>
      <c r="Z153" s="17"/>
    </row>
    <row r="154" ht="34.5" customHeight="1">
      <c r="A154" s="54" t="s">
        <v>150</v>
      </c>
      <c r="B154" s="34" t="s">
        <v>151</v>
      </c>
      <c r="C154" s="34" t="s">
        <v>189</v>
      </c>
      <c r="D154" s="34" t="s">
        <v>192</v>
      </c>
      <c r="E154" s="34">
        <v>129.0</v>
      </c>
      <c r="F154" s="35">
        <v>9.93</v>
      </c>
      <c r="G154" s="34">
        <v>4.0</v>
      </c>
      <c r="H154" s="35">
        <v>0.0</v>
      </c>
      <c r="I154" s="35">
        <v>59.59</v>
      </c>
      <c r="J154" s="36">
        <f t="shared" si="1"/>
        <v>127.80933</v>
      </c>
      <c r="K154" s="36">
        <f t="shared" si="2"/>
        <v>116.1903</v>
      </c>
      <c r="L154" s="8">
        <f t="shared" si="3"/>
        <v>1.176935231</v>
      </c>
      <c r="M154" s="8">
        <f t="shared" si="4"/>
        <v>0.3530805692</v>
      </c>
      <c r="N154" s="8">
        <f t="shared" si="5"/>
        <v>0.07061611384</v>
      </c>
      <c r="O154" s="8">
        <f t="shared" si="6"/>
        <v>0.2323806</v>
      </c>
      <c r="P154" s="8">
        <f t="shared" si="7"/>
        <v>0.3485709</v>
      </c>
      <c r="Q154" s="8">
        <f t="shared" si="8"/>
        <v>0.1161903</v>
      </c>
      <c r="R154" s="53"/>
      <c r="S154" s="53"/>
      <c r="T154" s="53"/>
      <c r="U154" s="53"/>
      <c r="V154" s="53"/>
      <c r="W154" s="53"/>
      <c r="X154" s="53"/>
      <c r="Y154" s="53"/>
      <c r="Z154" s="17"/>
    </row>
    <row r="155" ht="34.5" customHeight="1">
      <c r="A155" s="54" t="s">
        <v>150</v>
      </c>
      <c r="B155" s="34" t="s">
        <v>151</v>
      </c>
      <c r="C155" s="34" t="s">
        <v>189</v>
      </c>
      <c r="D155" s="34" t="s">
        <v>193</v>
      </c>
      <c r="E155" s="34">
        <v>1559.0</v>
      </c>
      <c r="F155" s="35">
        <v>29.17</v>
      </c>
      <c r="G155" s="34">
        <v>22.0</v>
      </c>
      <c r="H155" s="35">
        <v>40.03</v>
      </c>
      <c r="I155" s="35">
        <v>54.37</v>
      </c>
      <c r="J155" s="36">
        <f t="shared" si="1"/>
        <v>1214.66367</v>
      </c>
      <c r="K155" s="36">
        <f t="shared" si="2"/>
        <v>1104.2397</v>
      </c>
      <c r="L155" s="8">
        <f t="shared" si="3"/>
        <v>11.18525906</v>
      </c>
      <c r="M155" s="8">
        <f t="shared" si="4"/>
        <v>3.355577718</v>
      </c>
      <c r="N155" s="8">
        <f t="shared" si="5"/>
        <v>0.6711155437</v>
      </c>
      <c r="O155" s="8">
        <f t="shared" si="6"/>
        <v>2.2084794</v>
      </c>
      <c r="P155" s="8">
        <f t="shared" si="7"/>
        <v>3.3127191</v>
      </c>
      <c r="Q155" s="8">
        <f t="shared" si="8"/>
        <v>1.1042397</v>
      </c>
      <c r="R155" s="53"/>
      <c r="S155" s="53"/>
      <c r="T155" s="53"/>
      <c r="U155" s="53"/>
      <c r="V155" s="53"/>
      <c r="W155" s="53"/>
      <c r="X155" s="53"/>
      <c r="Y155" s="53"/>
      <c r="Z155" s="17"/>
    </row>
    <row r="156" ht="34.5" customHeight="1">
      <c r="A156" s="54" t="s">
        <v>150</v>
      </c>
      <c r="B156" s="34" t="s">
        <v>151</v>
      </c>
      <c r="C156" s="34" t="s">
        <v>189</v>
      </c>
      <c r="D156" s="34" t="s">
        <v>194</v>
      </c>
      <c r="E156" s="34">
        <v>187.0</v>
      </c>
      <c r="F156" s="35">
        <v>7.7</v>
      </c>
      <c r="G156" s="34">
        <v>6.0</v>
      </c>
      <c r="H156" s="35">
        <v>38.56</v>
      </c>
      <c r="I156" s="35">
        <v>38.56</v>
      </c>
      <c r="J156" s="36">
        <f t="shared" si="1"/>
        <v>189.8611</v>
      </c>
      <c r="K156" s="36">
        <f t="shared" si="2"/>
        <v>172.601</v>
      </c>
      <c r="L156" s="8">
        <f t="shared" si="3"/>
        <v>1.748340419</v>
      </c>
      <c r="M156" s="8">
        <f t="shared" si="4"/>
        <v>0.5245021256</v>
      </c>
      <c r="N156" s="8">
        <f t="shared" si="5"/>
        <v>0.1049004251</v>
      </c>
      <c r="O156" s="8">
        <f t="shared" si="6"/>
        <v>0.345202</v>
      </c>
      <c r="P156" s="8">
        <f t="shared" si="7"/>
        <v>0.517803</v>
      </c>
      <c r="Q156" s="8">
        <f t="shared" si="8"/>
        <v>0.172601</v>
      </c>
      <c r="R156" s="53"/>
      <c r="S156" s="53"/>
      <c r="T156" s="53"/>
      <c r="U156" s="53"/>
      <c r="V156" s="53"/>
      <c r="W156" s="53"/>
      <c r="X156" s="53"/>
      <c r="Y156" s="53"/>
      <c r="Z156" s="17"/>
    </row>
    <row r="157" ht="34.5" customHeight="1">
      <c r="A157" s="54" t="s">
        <v>150</v>
      </c>
      <c r="B157" s="34" t="s">
        <v>151</v>
      </c>
      <c r="C157" s="34" t="s">
        <v>189</v>
      </c>
      <c r="D157" s="34" t="s">
        <v>195</v>
      </c>
      <c r="E157" s="34">
        <v>226.0</v>
      </c>
      <c r="F157" s="35">
        <v>22.63</v>
      </c>
      <c r="G157" s="34">
        <v>3.0</v>
      </c>
      <c r="H157" s="35">
        <v>0.0</v>
      </c>
      <c r="I157" s="35">
        <v>72.47</v>
      </c>
      <c r="J157" s="36">
        <f t="shared" si="1"/>
        <v>192.34182</v>
      </c>
      <c r="K157" s="36">
        <f t="shared" si="2"/>
        <v>174.8562</v>
      </c>
      <c r="L157" s="8">
        <f t="shared" si="3"/>
        <v>1.771184187</v>
      </c>
      <c r="M157" s="8">
        <f t="shared" si="4"/>
        <v>0.5313552562</v>
      </c>
      <c r="N157" s="8">
        <f t="shared" si="5"/>
        <v>0.1062710512</v>
      </c>
      <c r="O157" s="8">
        <f t="shared" si="6"/>
        <v>0.3497124</v>
      </c>
      <c r="P157" s="8">
        <f t="shared" si="7"/>
        <v>0.5245686</v>
      </c>
      <c r="Q157" s="8">
        <f t="shared" si="8"/>
        <v>0.1748562</v>
      </c>
      <c r="R157" s="53"/>
      <c r="S157" s="53"/>
      <c r="T157" s="53"/>
      <c r="U157" s="53"/>
      <c r="V157" s="53"/>
      <c r="W157" s="53"/>
      <c r="X157" s="53"/>
      <c r="Y157" s="53"/>
      <c r="Z157" s="17"/>
    </row>
    <row r="158" ht="34.5" customHeight="1">
      <c r="A158" s="54" t="s">
        <v>150</v>
      </c>
      <c r="B158" s="34" t="s">
        <v>151</v>
      </c>
      <c r="C158" s="34" t="s">
        <v>189</v>
      </c>
      <c r="D158" s="34" t="s">
        <v>196</v>
      </c>
      <c r="E158" s="34">
        <v>317.0</v>
      </c>
      <c r="F158" s="35">
        <v>26.06</v>
      </c>
      <c r="G158" s="34">
        <v>6.0</v>
      </c>
      <c r="H158" s="35">
        <v>48.39</v>
      </c>
      <c r="I158" s="35">
        <v>79.96</v>
      </c>
      <c r="J158" s="36">
        <f t="shared" si="1"/>
        <v>257.82878</v>
      </c>
      <c r="K158" s="36">
        <f t="shared" si="2"/>
        <v>234.3898</v>
      </c>
      <c r="L158" s="8">
        <f t="shared" si="3"/>
        <v>2.374222403</v>
      </c>
      <c r="M158" s="8">
        <f t="shared" si="4"/>
        <v>0.712266721</v>
      </c>
      <c r="N158" s="8">
        <f t="shared" si="5"/>
        <v>0.1424533442</v>
      </c>
      <c r="O158" s="8">
        <f t="shared" si="6"/>
        <v>0.4687796</v>
      </c>
      <c r="P158" s="8">
        <f t="shared" si="7"/>
        <v>0.7031694</v>
      </c>
      <c r="Q158" s="8">
        <f t="shared" si="8"/>
        <v>0.2343898</v>
      </c>
      <c r="R158" s="53"/>
      <c r="S158" s="53"/>
      <c r="T158" s="53"/>
      <c r="U158" s="53"/>
      <c r="V158" s="53"/>
      <c r="W158" s="53"/>
      <c r="X158" s="53"/>
      <c r="Y158" s="53"/>
      <c r="Z158" s="17"/>
    </row>
    <row r="159" ht="34.5" customHeight="1">
      <c r="A159" s="54" t="s">
        <v>150</v>
      </c>
      <c r="B159" s="34" t="s">
        <v>151</v>
      </c>
      <c r="C159" s="34" t="s">
        <v>189</v>
      </c>
      <c r="D159" s="34" t="s">
        <v>197</v>
      </c>
      <c r="E159" s="34">
        <v>92.0</v>
      </c>
      <c r="F159" s="35">
        <v>14.32</v>
      </c>
      <c r="G159" s="34">
        <v>1.0</v>
      </c>
      <c r="H159" s="35">
        <v>0.0</v>
      </c>
      <c r="I159" s="35">
        <v>100.0</v>
      </c>
      <c r="J159" s="36">
        <f t="shared" si="1"/>
        <v>86.70816</v>
      </c>
      <c r="K159" s="36">
        <f t="shared" si="2"/>
        <v>78.8256</v>
      </c>
      <c r="L159" s="8">
        <f t="shared" si="3"/>
        <v>0.798454137</v>
      </c>
      <c r="M159" s="8">
        <f t="shared" si="4"/>
        <v>0.2395362411</v>
      </c>
      <c r="N159" s="8">
        <f t="shared" si="5"/>
        <v>0.04790724822</v>
      </c>
      <c r="O159" s="8">
        <f t="shared" si="6"/>
        <v>0.1576512</v>
      </c>
      <c r="P159" s="8">
        <f t="shared" si="7"/>
        <v>0.2364768</v>
      </c>
      <c r="Q159" s="8">
        <f t="shared" si="8"/>
        <v>0.0788256</v>
      </c>
      <c r="R159" s="53"/>
      <c r="S159" s="53"/>
      <c r="T159" s="53"/>
      <c r="U159" s="53"/>
      <c r="V159" s="53"/>
      <c r="W159" s="53"/>
      <c r="X159" s="53"/>
      <c r="Y159" s="53"/>
      <c r="Z159" s="17"/>
    </row>
    <row r="160" ht="34.5" customHeight="1">
      <c r="A160" s="54" t="s">
        <v>150</v>
      </c>
      <c r="B160" s="34" t="s">
        <v>151</v>
      </c>
      <c r="C160" s="34" t="s">
        <v>189</v>
      </c>
      <c r="D160" s="34" t="s">
        <v>198</v>
      </c>
      <c r="E160" s="34">
        <v>75.0</v>
      </c>
      <c r="F160" s="35">
        <v>6.69</v>
      </c>
      <c r="G160" s="34">
        <v>4.0</v>
      </c>
      <c r="H160" s="35">
        <v>100.0</v>
      </c>
      <c r="I160" s="35">
        <v>100.0</v>
      </c>
      <c r="J160" s="36">
        <f t="shared" si="1"/>
        <v>76.98075</v>
      </c>
      <c r="K160" s="36">
        <f t="shared" si="2"/>
        <v>69.9825</v>
      </c>
      <c r="L160" s="8">
        <f t="shared" si="3"/>
        <v>0.7088790525</v>
      </c>
      <c r="M160" s="8">
        <f t="shared" si="4"/>
        <v>0.2126637158</v>
      </c>
      <c r="N160" s="8">
        <f t="shared" si="5"/>
        <v>0.04253274315</v>
      </c>
      <c r="O160" s="8">
        <f t="shared" si="6"/>
        <v>0.139965</v>
      </c>
      <c r="P160" s="8">
        <f t="shared" si="7"/>
        <v>0.2099475</v>
      </c>
      <c r="Q160" s="8">
        <f t="shared" si="8"/>
        <v>0.0699825</v>
      </c>
      <c r="R160" s="53"/>
      <c r="S160" s="53"/>
      <c r="T160" s="53"/>
      <c r="U160" s="53"/>
      <c r="V160" s="53"/>
      <c r="W160" s="53"/>
      <c r="X160" s="53"/>
      <c r="Y160" s="53"/>
      <c r="Z160" s="17"/>
    </row>
    <row r="161" ht="34.5" customHeight="1">
      <c r="A161" s="54" t="s">
        <v>150</v>
      </c>
      <c r="B161" s="34" t="s">
        <v>151</v>
      </c>
      <c r="C161" s="34" t="s">
        <v>189</v>
      </c>
      <c r="D161" s="34" t="s">
        <v>199</v>
      </c>
      <c r="E161" s="34">
        <v>90.0</v>
      </c>
      <c r="F161" s="35">
        <v>6.45</v>
      </c>
      <c r="G161" s="34">
        <v>3.0</v>
      </c>
      <c r="H161" s="35">
        <v>100.0</v>
      </c>
      <c r="I161" s="35">
        <v>100.0</v>
      </c>
      <c r="J161" s="36">
        <f t="shared" si="1"/>
        <v>92.6145</v>
      </c>
      <c r="K161" s="36">
        <f t="shared" si="2"/>
        <v>84.195</v>
      </c>
      <c r="L161" s="8">
        <f t="shared" si="3"/>
        <v>0.8528428082</v>
      </c>
      <c r="M161" s="8">
        <f t="shared" si="4"/>
        <v>0.2558528425</v>
      </c>
      <c r="N161" s="8">
        <f t="shared" si="5"/>
        <v>0.05117056849</v>
      </c>
      <c r="O161" s="8">
        <f t="shared" si="6"/>
        <v>0.16839</v>
      </c>
      <c r="P161" s="8">
        <f t="shared" si="7"/>
        <v>0.252585</v>
      </c>
      <c r="Q161" s="8">
        <f t="shared" si="8"/>
        <v>0.084195</v>
      </c>
      <c r="R161" s="53"/>
      <c r="S161" s="53"/>
      <c r="T161" s="53"/>
      <c r="U161" s="53"/>
      <c r="V161" s="53"/>
      <c r="W161" s="53"/>
      <c r="X161" s="53"/>
      <c r="Y161" s="53"/>
      <c r="Z161" s="17"/>
    </row>
    <row r="162" ht="34.5" customHeight="1">
      <c r="A162" s="54" t="s">
        <v>150</v>
      </c>
      <c r="B162" s="34" t="s">
        <v>151</v>
      </c>
      <c r="C162" s="34" t="s">
        <v>189</v>
      </c>
      <c r="D162" s="34" t="s">
        <v>200</v>
      </c>
      <c r="E162" s="34">
        <v>80.0</v>
      </c>
      <c r="F162" s="35">
        <v>11.94</v>
      </c>
      <c r="G162" s="34">
        <v>1.0</v>
      </c>
      <c r="H162" s="35">
        <v>65.58</v>
      </c>
      <c r="I162" s="35">
        <v>100.0</v>
      </c>
      <c r="J162" s="36">
        <f t="shared" si="1"/>
        <v>77.4928</v>
      </c>
      <c r="K162" s="36">
        <f t="shared" si="2"/>
        <v>70.448</v>
      </c>
      <c r="L162" s="8">
        <f t="shared" si="3"/>
        <v>0.713594277</v>
      </c>
      <c r="M162" s="8">
        <f t="shared" si="4"/>
        <v>0.2140782831</v>
      </c>
      <c r="N162" s="8">
        <f t="shared" si="5"/>
        <v>0.04281565662</v>
      </c>
      <c r="O162" s="8">
        <f t="shared" si="6"/>
        <v>0.140896</v>
      </c>
      <c r="P162" s="8">
        <f t="shared" si="7"/>
        <v>0.211344</v>
      </c>
      <c r="Q162" s="8">
        <f t="shared" si="8"/>
        <v>0.070448</v>
      </c>
      <c r="R162" s="53"/>
      <c r="S162" s="53"/>
      <c r="T162" s="53"/>
      <c r="U162" s="53"/>
      <c r="V162" s="53"/>
      <c r="W162" s="53"/>
      <c r="X162" s="53"/>
      <c r="Y162" s="53"/>
      <c r="Z162" s="17"/>
    </row>
    <row r="163" ht="34.5" customHeight="1">
      <c r="A163" s="54" t="s">
        <v>150</v>
      </c>
      <c r="B163" s="34" t="s">
        <v>151</v>
      </c>
      <c r="C163" s="34" t="s">
        <v>189</v>
      </c>
      <c r="D163" s="34" t="s">
        <v>201</v>
      </c>
      <c r="E163" s="34">
        <v>397.0</v>
      </c>
      <c r="F163" s="35">
        <v>28.36</v>
      </c>
      <c r="G163" s="34">
        <v>7.0</v>
      </c>
      <c r="H163" s="35">
        <v>50.54</v>
      </c>
      <c r="I163" s="35">
        <v>83.51</v>
      </c>
      <c r="J163" s="36">
        <f t="shared" si="1"/>
        <v>312.85188</v>
      </c>
      <c r="K163" s="36">
        <f t="shared" si="2"/>
        <v>284.4108</v>
      </c>
      <c r="L163" s="8">
        <f t="shared" si="3"/>
        <v>2.880903918</v>
      </c>
      <c r="M163" s="8">
        <f t="shared" si="4"/>
        <v>0.8642711753</v>
      </c>
      <c r="N163" s="8">
        <f t="shared" si="5"/>
        <v>0.1728542351</v>
      </c>
      <c r="O163" s="8">
        <f t="shared" si="6"/>
        <v>0.5688216</v>
      </c>
      <c r="P163" s="8">
        <f t="shared" si="7"/>
        <v>0.8532324</v>
      </c>
      <c r="Q163" s="8">
        <f t="shared" si="8"/>
        <v>0.2844108</v>
      </c>
      <c r="R163" s="53"/>
      <c r="S163" s="53"/>
      <c r="T163" s="53"/>
      <c r="U163" s="53"/>
      <c r="V163" s="53"/>
      <c r="W163" s="53"/>
      <c r="X163" s="53"/>
      <c r="Y163" s="53"/>
      <c r="Z163" s="17"/>
    </row>
    <row r="164" ht="34.5" customHeight="1">
      <c r="A164" s="54" t="s">
        <v>150</v>
      </c>
      <c r="B164" s="34" t="s">
        <v>151</v>
      </c>
      <c r="C164" s="34" t="s">
        <v>189</v>
      </c>
      <c r="D164" s="34" t="s">
        <v>202</v>
      </c>
      <c r="E164" s="34">
        <v>22.0</v>
      </c>
      <c r="F164" s="35">
        <v>4.79</v>
      </c>
      <c r="G164" s="34">
        <v>1.0</v>
      </c>
      <c r="H164" s="35">
        <v>0.0</v>
      </c>
      <c r="I164" s="35">
        <v>100.0</v>
      </c>
      <c r="J164" s="36">
        <f t="shared" si="1"/>
        <v>23.04082</v>
      </c>
      <c r="K164" s="36">
        <f t="shared" si="2"/>
        <v>20.9462</v>
      </c>
      <c r="L164" s="8">
        <f t="shared" si="3"/>
        <v>0.2121719346</v>
      </c>
      <c r="M164" s="8">
        <f t="shared" si="4"/>
        <v>0.06365158037</v>
      </c>
      <c r="N164" s="8">
        <f t="shared" si="5"/>
        <v>0.01273031607</v>
      </c>
      <c r="O164" s="8">
        <f t="shared" si="6"/>
        <v>0.0418924</v>
      </c>
      <c r="P164" s="8">
        <f t="shared" si="7"/>
        <v>0.0628386</v>
      </c>
      <c r="Q164" s="8">
        <f t="shared" si="8"/>
        <v>0.0209462</v>
      </c>
      <c r="R164" s="53"/>
      <c r="S164" s="53"/>
      <c r="T164" s="53"/>
      <c r="U164" s="53"/>
      <c r="V164" s="53"/>
      <c r="W164" s="53"/>
      <c r="X164" s="53"/>
      <c r="Y164" s="53"/>
      <c r="Z164" s="17"/>
    </row>
    <row r="165" ht="34.5" customHeight="1">
      <c r="A165" s="54" t="s">
        <v>150</v>
      </c>
      <c r="B165" s="34" t="s">
        <v>151</v>
      </c>
      <c r="C165" s="34" t="s">
        <v>203</v>
      </c>
      <c r="D165" s="34" t="s">
        <v>204</v>
      </c>
      <c r="E165" s="34">
        <v>73.0</v>
      </c>
      <c r="F165" s="35">
        <v>11.22</v>
      </c>
      <c r="G165" s="34">
        <v>4.0</v>
      </c>
      <c r="H165" s="35">
        <v>100.0</v>
      </c>
      <c r="I165" s="35">
        <v>100.0</v>
      </c>
      <c r="J165" s="36">
        <f t="shared" si="1"/>
        <v>71.29034</v>
      </c>
      <c r="K165" s="36">
        <f t="shared" si="2"/>
        <v>64.8094</v>
      </c>
      <c r="L165" s="8">
        <f t="shared" si="3"/>
        <v>0.6564787778</v>
      </c>
      <c r="M165" s="8">
        <f t="shared" si="4"/>
        <v>0.1969436333</v>
      </c>
      <c r="N165" s="8">
        <f t="shared" si="5"/>
        <v>0.03938872667</v>
      </c>
      <c r="O165" s="8">
        <f t="shared" si="6"/>
        <v>0.1296188</v>
      </c>
      <c r="P165" s="8">
        <f t="shared" si="7"/>
        <v>0.1944282</v>
      </c>
      <c r="Q165" s="8">
        <f t="shared" si="8"/>
        <v>0.0648094</v>
      </c>
      <c r="R165" s="53"/>
      <c r="S165" s="53"/>
      <c r="T165" s="53"/>
      <c r="U165" s="53"/>
      <c r="V165" s="53"/>
      <c r="W165" s="53"/>
      <c r="X165" s="53"/>
      <c r="Y165" s="53"/>
      <c r="Z165" s="17"/>
    </row>
    <row r="166" ht="34.5" customHeight="1">
      <c r="A166" s="54" t="s">
        <v>150</v>
      </c>
      <c r="B166" s="34" t="s">
        <v>151</v>
      </c>
      <c r="C166" s="34" t="s">
        <v>203</v>
      </c>
      <c r="D166" s="34" t="s">
        <v>205</v>
      </c>
      <c r="E166" s="34">
        <v>82.0</v>
      </c>
      <c r="F166" s="35">
        <v>6.65</v>
      </c>
      <c r="G166" s="34">
        <v>1.0</v>
      </c>
      <c r="H166" s="35">
        <v>0.0</v>
      </c>
      <c r="I166" s="35">
        <v>47.19</v>
      </c>
      <c r="J166" s="36">
        <f t="shared" si="1"/>
        <v>84.2017</v>
      </c>
      <c r="K166" s="36">
        <f t="shared" si="2"/>
        <v>76.547</v>
      </c>
      <c r="L166" s="8">
        <f t="shared" si="3"/>
        <v>0.7753733409</v>
      </c>
      <c r="M166" s="8">
        <f t="shared" si="4"/>
        <v>0.2326120023</v>
      </c>
      <c r="N166" s="8">
        <f t="shared" si="5"/>
        <v>0.04652240046</v>
      </c>
      <c r="O166" s="8">
        <f t="shared" si="6"/>
        <v>0.153094</v>
      </c>
      <c r="P166" s="8">
        <f t="shared" si="7"/>
        <v>0.229641</v>
      </c>
      <c r="Q166" s="8">
        <f t="shared" si="8"/>
        <v>0.076547</v>
      </c>
      <c r="R166" s="53"/>
      <c r="S166" s="53"/>
      <c r="T166" s="53"/>
      <c r="U166" s="53"/>
      <c r="V166" s="53"/>
      <c r="W166" s="53"/>
      <c r="X166" s="53"/>
      <c r="Y166" s="53"/>
      <c r="Z166" s="17"/>
    </row>
    <row r="167" ht="34.5" customHeight="1">
      <c r="A167" s="54" t="s">
        <v>150</v>
      </c>
      <c r="B167" s="34" t="s">
        <v>151</v>
      </c>
      <c r="C167" s="34" t="s">
        <v>203</v>
      </c>
      <c r="D167" s="34" t="s">
        <v>206</v>
      </c>
      <c r="E167" s="34">
        <v>1041.0</v>
      </c>
      <c r="F167" s="35">
        <v>16.73</v>
      </c>
      <c r="G167" s="34">
        <v>17.0</v>
      </c>
      <c r="H167" s="35">
        <v>34.25</v>
      </c>
      <c r="I167" s="35">
        <v>51.13</v>
      </c>
      <c r="J167" s="36">
        <f t="shared" si="1"/>
        <v>953.52477</v>
      </c>
      <c r="K167" s="36">
        <f t="shared" si="2"/>
        <v>866.8407</v>
      </c>
      <c r="L167" s="8">
        <f t="shared" si="3"/>
        <v>8.78055534</v>
      </c>
      <c r="M167" s="8">
        <f t="shared" si="4"/>
        <v>2.634166602</v>
      </c>
      <c r="N167" s="8">
        <f t="shared" si="5"/>
        <v>0.5268333204</v>
      </c>
      <c r="O167" s="8">
        <f t="shared" si="6"/>
        <v>1.7336814</v>
      </c>
      <c r="P167" s="8">
        <f t="shared" si="7"/>
        <v>2.6005221</v>
      </c>
      <c r="Q167" s="8">
        <f t="shared" si="8"/>
        <v>0.8668407</v>
      </c>
      <c r="R167" s="53"/>
      <c r="S167" s="53"/>
      <c r="T167" s="53"/>
      <c r="U167" s="53"/>
      <c r="V167" s="53"/>
      <c r="W167" s="53"/>
      <c r="X167" s="53"/>
      <c r="Y167" s="53"/>
      <c r="Z167" s="17"/>
    </row>
    <row r="168" ht="34.5" customHeight="1">
      <c r="A168" s="54" t="s">
        <v>150</v>
      </c>
      <c r="B168" s="34" t="s">
        <v>151</v>
      </c>
      <c r="C168" s="34" t="s">
        <v>203</v>
      </c>
      <c r="D168" s="34" t="s">
        <v>207</v>
      </c>
      <c r="E168" s="34">
        <v>47.0</v>
      </c>
      <c r="F168" s="35">
        <v>0.5</v>
      </c>
      <c r="G168" s="34">
        <v>2.0</v>
      </c>
      <c r="H168" s="35">
        <v>99.45</v>
      </c>
      <c r="I168" s="35">
        <v>99.45</v>
      </c>
      <c r="J168" s="36">
        <f t="shared" si="1"/>
        <v>51.4415</v>
      </c>
      <c r="K168" s="36">
        <f t="shared" si="2"/>
        <v>46.765</v>
      </c>
      <c r="L168" s="8">
        <f t="shared" si="3"/>
        <v>0.4737002664</v>
      </c>
      <c r="M168" s="8">
        <f t="shared" si="4"/>
        <v>0.1421100799</v>
      </c>
      <c r="N168" s="8">
        <f t="shared" si="5"/>
        <v>0.02842201598</v>
      </c>
      <c r="O168" s="8">
        <f t="shared" si="6"/>
        <v>0.09353</v>
      </c>
      <c r="P168" s="8">
        <f t="shared" si="7"/>
        <v>0.140295</v>
      </c>
      <c r="Q168" s="8">
        <f t="shared" si="8"/>
        <v>0.046765</v>
      </c>
      <c r="R168" s="53"/>
      <c r="S168" s="53"/>
      <c r="T168" s="53"/>
      <c r="U168" s="53"/>
      <c r="V168" s="53"/>
      <c r="W168" s="53"/>
      <c r="X168" s="53"/>
      <c r="Y168" s="53"/>
      <c r="Z168" s="17"/>
    </row>
    <row r="169" ht="34.5" customHeight="1">
      <c r="A169" s="54" t="s">
        <v>150</v>
      </c>
      <c r="B169" s="34" t="s">
        <v>151</v>
      </c>
      <c r="C169" s="34" t="s">
        <v>203</v>
      </c>
      <c r="D169" s="34" t="s">
        <v>208</v>
      </c>
      <c r="E169" s="34">
        <v>248.0</v>
      </c>
      <c r="F169" s="35">
        <v>7.48</v>
      </c>
      <c r="G169" s="34">
        <v>7.0</v>
      </c>
      <c r="H169" s="35">
        <v>86.31</v>
      </c>
      <c r="I169" s="35">
        <v>86.31</v>
      </c>
      <c r="J169" s="36">
        <f t="shared" si="1"/>
        <v>252.39456</v>
      </c>
      <c r="K169" s="36">
        <f t="shared" si="2"/>
        <v>229.4496</v>
      </c>
      <c r="L169" s="8">
        <f t="shared" si="3"/>
        <v>2.32418126</v>
      </c>
      <c r="M169" s="8">
        <f t="shared" si="4"/>
        <v>0.6972543781</v>
      </c>
      <c r="N169" s="8">
        <f t="shared" si="5"/>
        <v>0.1394508756</v>
      </c>
      <c r="O169" s="8">
        <f t="shared" si="6"/>
        <v>0.4588992</v>
      </c>
      <c r="P169" s="8">
        <f t="shared" si="7"/>
        <v>0.6883488</v>
      </c>
      <c r="Q169" s="8">
        <f t="shared" si="8"/>
        <v>0.2294496</v>
      </c>
      <c r="R169" s="53"/>
      <c r="S169" s="53"/>
      <c r="T169" s="53"/>
      <c r="U169" s="53"/>
      <c r="V169" s="53"/>
      <c r="W169" s="53"/>
      <c r="X169" s="53"/>
      <c r="Y169" s="53"/>
      <c r="Z169" s="17"/>
    </row>
    <row r="170" ht="34.5" customHeight="1">
      <c r="A170" s="54" t="s">
        <v>150</v>
      </c>
      <c r="B170" s="34" t="s">
        <v>151</v>
      </c>
      <c r="C170" s="34" t="s">
        <v>203</v>
      </c>
      <c r="D170" s="34" t="s">
        <v>209</v>
      </c>
      <c r="E170" s="34">
        <v>44.0</v>
      </c>
      <c r="F170" s="35">
        <v>2.76</v>
      </c>
      <c r="G170" s="34">
        <v>2.0</v>
      </c>
      <c r="H170" s="35">
        <v>73.7</v>
      </c>
      <c r="I170" s="35">
        <v>73.7</v>
      </c>
      <c r="J170" s="36">
        <f t="shared" si="1"/>
        <v>47.06416</v>
      </c>
      <c r="K170" s="36">
        <f t="shared" si="2"/>
        <v>42.7856</v>
      </c>
      <c r="L170" s="8">
        <f t="shared" si="3"/>
        <v>0.4333914277</v>
      </c>
      <c r="M170" s="8">
        <f t="shared" si="4"/>
        <v>0.1300174283</v>
      </c>
      <c r="N170" s="8">
        <f t="shared" si="5"/>
        <v>0.02600348566</v>
      </c>
      <c r="O170" s="8">
        <f t="shared" si="6"/>
        <v>0.0855712</v>
      </c>
      <c r="P170" s="8">
        <f t="shared" si="7"/>
        <v>0.1283568</v>
      </c>
      <c r="Q170" s="8">
        <f t="shared" si="8"/>
        <v>0.0427856</v>
      </c>
      <c r="R170" s="53"/>
      <c r="S170" s="53"/>
      <c r="T170" s="53"/>
      <c r="U170" s="53"/>
      <c r="V170" s="53"/>
      <c r="W170" s="53"/>
      <c r="X170" s="53"/>
      <c r="Y170" s="53"/>
      <c r="Z170" s="17"/>
    </row>
    <row r="171" ht="34.5" customHeight="1">
      <c r="A171" s="54" t="s">
        <v>150</v>
      </c>
      <c r="B171" s="34" t="s">
        <v>151</v>
      </c>
      <c r="C171" s="34" t="s">
        <v>203</v>
      </c>
      <c r="D171" s="34" t="s">
        <v>210</v>
      </c>
      <c r="E171" s="34">
        <v>166.0</v>
      </c>
      <c r="F171" s="35">
        <v>3.46</v>
      </c>
      <c r="G171" s="34">
        <v>4.0</v>
      </c>
      <c r="H171" s="35">
        <v>43.03</v>
      </c>
      <c r="I171" s="35">
        <v>61.74</v>
      </c>
      <c r="J171" s="36">
        <f t="shared" si="1"/>
        <v>176.28204</v>
      </c>
      <c r="K171" s="36">
        <f t="shared" si="2"/>
        <v>160.2564</v>
      </c>
      <c r="L171" s="8">
        <f t="shared" si="3"/>
        <v>1.623297324</v>
      </c>
      <c r="M171" s="8">
        <f t="shared" si="4"/>
        <v>0.4869891973</v>
      </c>
      <c r="N171" s="8">
        <f t="shared" si="5"/>
        <v>0.09739783945</v>
      </c>
      <c r="O171" s="8">
        <f t="shared" si="6"/>
        <v>0.3205128</v>
      </c>
      <c r="P171" s="8">
        <f t="shared" si="7"/>
        <v>0.4807692</v>
      </c>
      <c r="Q171" s="8">
        <f t="shared" si="8"/>
        <v>0.1602564</v>
      </c>
      <c r="R171" s="53"/>
      <c r="S171" s="53"/>
      <c r="T171" s="53"/>
      <c r="U171" s="53"/>
      <c r="V171" s="53"/>
      <c r="W171" s="53"/>
      <c r="X171" s="53"/>
      <c r="Y171" s="53"/>
      <c r="Z171" s="17"/>
    </row>
    <row r="172" ht="34.5" customHeight="1">
      <c r="A172" s="54" t="s">
        <v>150</v>
      </c>
      <c r="B172" s="34" t="s">
        <v>151</v>
      </c>
      <c r="C172" s="34" t="s">
        <v>203</v>
      </c>
      <c r="D172" s="34" t="s">
        <v>211</v>
      </c>
      <c r="E172" s="34">
        <v>71.0</v>
      </c>
      <c r="F172" s="35">
        <v>5.87</v>
      </c>
      <c r="G172" s="34">
        <v>4.0</v>
      </c>
      <c r="H172" s="35">
        <v>74.68</v>
      </c>
      <c r="I172" s="35">
        <v>74.68</v>
      </c>
      <c r="J172" s="36">
        <f t="shared" si="1"/>
        <v>73.51553</v>
      </c>
      <c r="K172" s="36">
        <f t="shared" si="2"/>
        <v>66.8323</v>
      </c>
      <c r="L172" s="8">
        <f t="shared" si="3"/>
        <v>0.6769694924</v>
      </c>
      <c r="M172" s="8">
        <f t="shared" si="4"/>
        <v>0.2030908477</v>
      </c>
      <c r="N172" s="8">
        <f t="shared" si="5"/>
        <v>0.04061816954</v>
      </c>
      <c r="O172" s="8">
        <f t="shared" si="6"/>
        <v>0.1336646</v>
      </c>
      <c r="P172" s="8">
        <f t="shared" si="7"/>
        <v>0.2004969</v>
      </c>
      <c r="Q172" s="8">
        <f t="shared" si="8"/>
        <v>0.0668323</v>
      </c>
      <c r="R172" s="53"/>
      <c r="S172" s="53"/>
      <c r="T172" s="53"/>
      <c r="U172" s="53"/>
      <c r="V172" s="53"/>
      <c r="W172" s="53"/>
      <c r="X172" s="53"/>
      <c r="Y172" s="53"/>
      <c r="Z172" s="17"/>
    </row>
    <row r="173" ht="34.5" customHeight="1">
      <c r="A173" s="54" t="s">
        <v>150</v>
      </c>
      <c r="B173" s="34" t="s">
        <v>151</v>
      </c>
      <c r="C173" s="34" t="s">
        <v>203</v>
      </c>
      <c r="D173" s="34" t="s">
        <v>212</v>
      </c>
      <c r="E173" s="34">
        <v>273.0</v>
      </c>
      <c r="F173" s="35">
        <v>9.6</v>
      </c>
      <c r="G173" s="34">
        <v>5.0</v>
      </c>
      <c r="H173" s="35">
        <v>38.16</v>
      </c>
      <c r="I173" s="35">
        <v>60.28</v>
      </c>
      <c r="J173" s="36">
        <f t="shared" si="1"/>
        <v>271.4712</v>
      </c>
      <c r="K173" s="36">
        <f t="shared" si="2"/>
        <v>246.792</v>
      </c>
      <c r="L173" s="8">
        <f t="shared" si="3"/>
        <v>2.49984895</v>
      </c>
      <c r="M173" s="8">
        <f t="shared" si="4"/>
        <v>0.7499546849</v>
      </c>
      <c r="N173" s="8">
        <f t="shared" si="5"/>
        <v>0.149990937</v>
      </c>
      <c r="O173" s="8">
        <f t="shared" si="6"/>
        <v>0.493584</v>
      </c>
      <c r="P173" s="8">
        <f t="shared" si="7"/>
        <v>0.740376</v>
      </c>
      <c r="Q173" s="8">
        <f t="shared" si="8"/>
        <v>0.246792</v>
      </c>
      <c r="R173" s="53"/>
      <c r="S173" s="53"/>
      <c r="T173" s="53"/>
      <c r="U173" s="53"/>
      <c r="V173" s="53"/>
      <c r="W173" s="53"/>
      <c r="X173" s="53"/>
      <c r="Y173" s="53"/>
      <c r="Z173" s="17"/>
    </row>
    <row r="174" ht="34.5" customHeight="1">
      <c r="A174" s="54" t="s">
        <v>150</v>
      </c>
      <c r="B174" s="34" t="s">
        <v>151</v>
      </c>
      <c r="C174" s="34" t="s">
        <v>203</v>
      </c>
      <c r="D174" s="34" t="s">
        <v>213</v>
      </c>
      <c r="E174" s="34">
        <v>160.0</v>
      </c>
      <c r="F174" s="35">
        <v>3.29</v>
      </c>
      <c r="G174" s="34">
        <v>4.0</v>
      </c>
      <c r="H174" s="35">
        <v>68.32</v>
      </c>
      <c r="I174" s="35">
        <v>88.12</v>
      </c>
      <c r="J174" s="36">
        <f t="shared" si="1"/>
        <v>170.2096</v>
      </c>
      <c r="K174" s="36">
        <f t="shared" si="2"/>
        <v>154.736</v>
      </c>
      <c r="L174" s="8">
        <f t="shared" si="3"/>
        <v>1.567379117</v>
      </c>
      <c r="M174" s="8">
        <f t="shared" si="4"/>
        <v>0.4702137352</v>
      </c>
      <c r="N174" s="8">
        <f t="shared" si="5"/>
        <v>0.09404274703</v>
      </c>
      <c r="O174" s="8">
        <f t="shared" si="6"/>
        <v>0.309472</v>
      </c>
      <c r="P174" s="8">
        <f t="shared" si="7"/>
        <v>0.464208</v>
      </c>
      <c r="Q174" s="8">
        <f t="shared" si="8"/>
        <v>0.154736</v>
      </c>
      <c r="R174" s="53"/>
      <c r="S174" s="53"/>
      <c r="T174" s="53"/>
      <c r="U174" s="53"/>
      <c r="V174" s="53"/>
      <c r="W174" s="53"/>
      <c r="X174" s="53"/>
      <c r="Y174" s="53"/>
      <c r="Z174" s="17"/>
    </row>
    <row r="175" ht="34.5" customHeight="1">
      <c r="A175" s="54" t="s">
        <v>150</v>
      </c>
      <c r="B175" s="34" t="s">
        <v>151</v>
      </c>
      <c r="C175" s="34" t="s">
        <v>203</v>
      </c>
      <c r="D175" s="34" t="s">
        <v>214</v>
      </c>
      <c r="E175" s="34">
        <v>90.0</v>
      </c>
      <c r="F175" s="35">
        <v>7.54</v>
      </c>
      <c r="G175" s="34">
        <v>3.0</v>
      </c>
      <c r="H175" s="35">
        <v>35.04</v>
      </c>
      <c r="I175" s="35">
        <v>95.98</v>
      </c>
      <c r="J175" s="36">
        <f t="shared" si="1"/>
        <v>91.5354</v>
      </c>
      <c r="K175" s="36">
        <f t="shared" si="2"/>
        <v>83.214</v>
      </c>
      <c r="L175" s="8">
        <f t="shared" si="3"/>
        <v>0.8429058904</v>
      </c>
      <c r="M175" s="8">
        <f t="shared" si="4"/>
        <v>0.2528717671</v>
      </c>
      <c r="N175" s="8">
        <f t="shared" si="5"/>
        <v>0.05057435342</v>
      </c>
      <c r="O175" s="8">
        <f t="shared" si="6"/>
        <v>0.166428</v>
      </c>
      <c r="P175" s="8">
        <f t="shared" si="7"/>
        <v>0.249642</v>
      </c>
      <c r="Q175" s="8">
        <f t="shared" si="8"/>
        <v>0.083214</v>
      </c>
      <c r="R175" s="53"/>
      <c r="S175" s="53"/>
      <c r="T175" s="53"/>
      <c r="U175" s="53"/>
      <c r="V175" s="53"/>
      <c r="W175" s="53"/>
      <c r="X175" s="53"/>
      <c r="Y175" s="53"/>
      <c r="Z175" s="17"/>
    </row>
    <row r="176" ht="34.5" customHeight="1">
      <c r="A176" s="54" t="s">
        <v>150</v>
      </c>
      <c r="B176" s="34" t="s">
        <v>151</v>
      </c>
      <c r="C176" s="34" t="s">
        <v>203</v>
      </c>
      <c r="D176" s="34" t="s">
        <v>215</v>
      </c>
      <c r="E176" s="34">
        <v>276.0</v>
      </c>
      <c r="F176" s="35">
        <v>10.98</v>
      </c>
      <c r="G176" s="34">
        <v>4.0</v>
      </c>
      <c r="H176" s="35">
        <v>100.0</v>
      </c>
      <c r="I176" s="35">
        <v>100.0</v>
      </c>
      <c r="J176" s="36">
        <f t="shared" si="1"/>
        <v>270.26472</v>
      </c>
      <c r="K176" s="36">
        <f t="shared" si="2"/>
        <v>245.6952</v>
      </c>
      <c r="L176" s="8">
        <f t="shared" si="3"/>
        <v>2.48873905</v>
      </c>
      <c r="M176" s="8">
        <f t="shared" si="4"/>
        <v>0.7466217151</v>
      </c>
      <c r="N176" s="8">
        <f t="shared" si="5"/>
        <v>0.149324343</v>
      </c>
      <c r="O176" s="8">
        <f t="shared" si="6"/>
        <v>0.4913904</v>
      </c>
      <c r="P176" s="8">
        <f t="shared" si="7"/>
        <v>0.7370856</v>
      </c>
      <c r="Q176" s="8">
        <f t="shared" si="8"/>
        <v>0.2456952</v>
      </c>
      <c r="R176" s="53"/>
      <c r="S176" s="53"/>
      <c r="T176" s="53"/>
      <c r="U176" s="53"/>
      <c r="V176" s="53"/>
      <c r="W176" s="53"/>
      <c r="X176" s="53"/>
      <c r="Y176" s="53"/>
      <c r="Z176" s="17"/>
    </row>
    <row r="177" ht="34.5" customHeight="1">
      <c r="A177" s="54" t="s">
        <v>150</v>
      </c>
      <c r="B177" s="34" t="s">
        <v>151</v>
      </c>
      <c r="C177" s="34" t="s">
        <v>203</v>
      </c>
      <c r="D177" s="34" t="s">
        <v>216</v>
      </c>
      <c r="E177" s="34">
        <v>289.0</v>
      </c>
      <c r="F177" s="35">
        <v>11.2</v>
      </c>
      <c r="G177" s="34">
        <v>10.0</v>
      </c>
      <c r="H177" s="35">
        <v>92.6</v>
      </c>
      <c r="I177" s="35">
        <v>92.6</v>
      </c>
      <c r="J177" s="36">
        <f t="shared" si="1"/>
        <v>282.2952</v>
      </c>
      <c r="K177" s="36">
        <f t="shared" si="2"/>
        <v>256.632</v>
      </c>
      <c r="L177" s="8">
        <f t="shared" si="3"/>
        <v>2.599522009</v>
      </c>
      <c r="M177" s="8">
        <f t="shared" si="4"/>
        <v>0.7798566027</v>
      </c>
      <c r="N177" s="8">
        <f t="shared" si="5"/>
        <v>0.1559713205</v>
      </c>
      <c r="O177" s="8">
        <f t="shared" si="6"/>
        <v>0.513264</v>
      </c>
      <c r="P177" s="8">
        <f t="shared" si="7"/>
        <v>0.769896</v>
      </c>
      <c r="Q177" s="8">
        <f t="shared" si="8"/>
        <v>0.256632</v>
      </c>
      <c r="R177" s="53"/>
      <c r="S177" s="53"/>
      <c r="T177" s="53"/>
      <c r="U177" s="53"/>
      <c r="V177" s="53"/>
      <c r="W177" s="53"/>
      <c r="X177" s="53"/>
      <c r="Y177" s="53"/>
      <c r="Z177" s="17"/>
    </row>
    <row r="178" ht="34.5" customHeight="1">
      <c r="A178" s="54" t="s">
        <v>150</v>
      </c>
      <c r="B178" s="34" t="s">
        <v>151</v>
      </c>
      <c r="C178" s="34" t="s">
        <v>203</v>
      </c>
      <c r="D178" s="34" t="s">
        <v>217</v>
      </c>
      <c r="E178" s="34">
        <v>44.0</v>
      </c>
      <c r="F178" s="35">
        <v>3.72</v>
      </c>
      <c r="G178" s="34">
        <v>1.0</v>
      </c>
      <c r="H178" s="35">
        <v>94.83</v>
      </c>
      <c r="I178" s="35">
        <v>94.83</v>
      </c>
      <c r="J178" s="36">
        <f t="shared" si="1"/>
        <v>46.59952</v>
      </c>
      <c r="K178" s="36">
        <f t="shared" si="2"/>
        <v>42.3632</v>
      </c>
      <c r="L178" s="8">
        <f t="shared" si="3"/>
        <v>0.4291127793</v>
      </c>
      <c r="M178" s="8">
        <f t="shared" si="4"/>
        <v>0.1287338338</v>
      </c>
      <c r="N178" s="8">
        <f t="shared" si="5"/>
        <v>0.02574676676</v>
      </c>
      <c r="O178" s="8">
        <f t="shared" si="6"/>
        <v>0.0847264</v>
      </c>
      <c r="P178" s="8">
        <f t="shared" si="7"/>
        <v>0.1270896</v>
      </c>
      <c r="Q178" s="8">
        <f t="shared" si="8"/>
        <v>0.0423632</v>
      </c>
      <c r="R178" s="53"/>
      <c r="S178" s="53"/>
      <c r="T178" s="53"/>
      <c r="U178" s="53"/>
      <c r="V178" s="53"/>
      <c r="W178" s="53"/>
      <c r="X178" s="53"/>
      <c r="Y178" s="53"/>
      <c r="Z178" s="17"/>
    </row>
    <row r="179" ht="34.5" customHeight="1">
      <c r="A179" s="54" t="s">
        <v>150</v>
      </c>
      <c r="B179" s="34" t="s">
        <v>151</v>
      </c>
      <c r="C179" s="34" t="s">
        <v>203</v>
      </c>
      <c r="D179" s="34" t="s">
        <v>218</v>
      </c>
      <c r="E179" s="34">
        <v>183.0</v>
      </c>
      <c r="F179" s="35">
        <v>1.42</v>
      </c>
      <c r="G179" s="34">
        <v>5.0</v>
      </c>
      <c r="H179" s="35">
        <v>99.57</v>
      </c>
      <c r="I179" s="35">
        <v>100.0</v>
      </c>
      <c r="J179" s="36">
        <f t="shared" si="1"/>
        <v>198.44154</v>
      </c>
      <c r="K179" s="36">
        <f t="shared" si="2"/>
        <v>180.4014</v>
      </c>
      <c r="L179" s="8">
        <f t="shared" si="3"/>
        <v>1.827353603</v>
      </c>
      <c r="M179" s="8">
        <f t="shared" si="4"/>
        <v>0.5482060808</v>
      </c>
      <c r="N179" s="8">
        <f t="shared" si="5"/>
        <v>0.1096412162</v>
      </c>
      <c r="O179" s="8">
        <f t="shared" si="6"/>
        <v>0.3608028</v>
      </c>
      <c r="P179" s="8">
        <f t="shared" si="7"/>
        <v>0.5412042</v>
      </c>
      <c r="Q179" s="8">
        <f t="shared" si="8"/>
        <v>0.1804014</v>
      </c>
      <c r="R179" s="53"/>
      <c r="S179" s="53"/>
      <c r="T179" s="53"/>
      <c r="U179" s="53"/>
      <c r="V179" s="53"/>
      <c r="W179" s="53"/>
      <c r="X179" s="53"/>
      <c r="Y179" s="53"/>
      <c r="Z179" s="17"/>
    </row>
    <row r="180" ht="34.5" customHeight="1">
      <c r="A180" s="54" t="s">
        <v>150</v>
      </c>
      <c r="B180" s="34" t="s">
        <v>151</v>
      </c>
      <c r="C180" s="34" t="s">
        <v>203</v>
      </c>
      <c r="D180" s="34" t="s">
        <v>219</v>
      </c>
      <c r="E180" s="34">
        <v>286.0</v>
      </c>
      <c r="F180" s="35">
        <v>6.0</v>
      </c>
      <c r="G180" s="34">
        <v>6.0</v>
      </c>
      <c r="H180" s="35">
        <v>59.44</v>
      </c>
      <c r="I180" s="35">
        <v>72.36</v>
      </c>
      <c r="J180" s="36">
        <f t="shared" si="1"/>
        <v>295.724</v>
      </c>
      <c r="K180" s="36">
        <f t="shared" si="2"/>
        <v>268.84</v>
      </c>
      <c r="L180" s="8">
        <f t="shared" si="3"/>
        <v>2.723181431</v>
      </c>
      <c r="M180" s="8">
        <f t="shared" si="4"/>
        <v>0.8169544292</v>
      </c>
      <c r="N180" s="8">
        <f t="shared" si="5"/>
        <v>0.1633908858</v>
      </c>
      <c r="O180" s="8">
        <f t="shared" si="6"/>
        <v>0.53768</v>
      </c>
      <c r="P180" s="8">
        <f t="shared" si="7"/>
        <v>0.80652</v>
      </c>
      <c r="Q180" s="8">
        <f t="shared" si="8"/>
        <v>0.26884</v>
      </c>
      <c r="R180" s="53"/>
      <c r="S180" s="53"/>
      <c r="T180" s="53"/>
      <c r="U180" s="53"/>
      <c r="V180" s="53"/>
      <c r="W180" s="53"/>
      <c r="X180" s="53"/>
      <c r="Y180" s="53"/>
      <c r="Z180" s="17"/>
    </row>
    <row r="181" ht="34.5" customHeight="1">
      <c r="A181" s="54" t="s">
        <v>150</v>
      </c>
      <c r="B181" s="38" t="s">
        <v>151</v>
      </c>
      <c r="C181" s="38" t="s">
        <v>203</v>
      </c>
      <c r="D181" s="38" t="s">
        <v>220</v>
      </c>
      <c r="E181" s="34">
        <v>47.0</v>
      </c>
      <c r="F181" s="35">
        <v>1.24</v>
      </c>
      <c r="G181" s="34">
        <v>3.0</v>
      </c>
      <c r="H181" s="35">
        <v>76.13</v>
      </c>
      <c r="I181" s="35">
        <v>100.0</v>
      </c>
      <c r="J181" s="36">
        <f t="shared" si="1"/>
        <v>51.05892</v>
      </c>
      <c r="K181" s="36">
        <f t="shared" si="2"/>
        <v>46.4172</v>
      </c>
      <c r="L181" s="8">
        <f t="shared" si="3"/>
        <v>0.4701772694</v>
      </c>
      <c r="M181" s="8">
        <f t="shared" si="4"/>
        <v>0.1410531808</v>
      </c>
      <c r="N181" s="8">
        <f t="shared" si="5"/>
        <v>0.02821063616</v>
      </c>
      <c r="O181" s="8">
        <f t="shared" si="6"/>
        <v>0.0928344</v>
      </c>
      <c r="P181" s="8">
        <f t="shared" si="7"/>
        <v>0.1392516</v>
      </c>
      <c r="Q181" s="8">
        <f t="shared" si="8"/>
        <v>0.0464172</v>
      </c>
      <c r="R181" s="53"/>
      <c r="S181" s="53"/>
      <c r="T181" s="53"/>
      <c r="U181" s="53"/>
      <c r="V181" s="53"/>
      <c r="W181" s="53"/>
      <c r="X181" s="53"/>
      <c r="Y181" s="53"/>
      <c r="Z181" s="17"/>
    </row>
    <row r="182" ht="34.5" customHeight="1">
      <c r="A182" s="54" t="s">
        <v>221</v>
      </c>
      <c r="B182" s="34" t="s">
        <v>222</v>
      </c>
      <c r="C182" s="34" t="s">
        <v>223</v>
      </c>
      <c r="D182" s="34" t="s">
        <v>223</v>
      </c>
      <c r="E182" s="34">
        <v>360.0</v>
      </c>
      <c r="F182" s="35">
        <v>24.52</v>
      </c>
      <c r="G182" s="34">
        <v>8.0</v>
      </c>
      <c r="H182" s="35">
        <v>98.38</v>
      </c>
      <c r="I182" s="35">
        <v>100.0</v>
      </c>
      <c r="J182" s="36">
        <f t="shared" si="1"/>
        <v>298.9008</v>
      </c>
      <c r="K182" s="36">
        <f t="shared" si="2"/>
        <v>271.728</v>
      </c>
      <c r="L182" s="8">
        <f t="shared" si="3"/>
        <v>2.752435068</v>
      </c>
      <c r="M182" s="8">
        <f t="shared" si="4"/>
        <v>0.8257305205</v>
      </c>
      <c r="N182" s="8">
        <f t="shared" si="5"/>
        <v>0.1651461041</v>
      </c>
      <c r="O182" s="8">
        <f t="shared" si="6"/>
        <v>0.543456</v>
      </c>
      <c r="P182" s="8">
        <f t="shared" si="7"/>
        <v>0.815184</v>
      </c>
      <c r="Q182" s="8">
        <f t="shared" si="8"/>
        <v>0.271728</v>
      </c>
      <c r="R182" s="57"/>
      <c r="S182" s="57"/>
      <c r="T182" s="57"/>
      <c r="U182" s="57"/>
      <c r="V182" s="57"/>
      <c r="W182" s="57"/>
      <c r="X182" s="57"/>
      <c r="Y182" s="57"/>
      <c r="Z182" s="17"/>
    </row>
    <row r="183" ht="34.5" customHeight="1">
      <c r="A183" s="54" t="s">
        <v>221</v>
      </c>
      <c r="B183" s="34" t="s">
        <v>222</v>
      </c>
      <c r="C183" s="34" t="s">
        <v>223</v>
      </c>
      <c r="D183" s="34" t="s">
        <v>224</v>
      </c>
      <c r="E183" s="34">
        <v>109.0</v>
      </c>
      <c r="F183" s="35">
        <v>12.22</v>
      </c>
      <c r="G183" s="34">
        <v>3.0</v>
      </c>
      <c r="H183" s="35">
        <v>70.7</v>
      </c>
      <c r="I183" s="35">
        <v>94.47</v>
      </c>
      <c r="J183" s="36">
        <f t="shared" si="1"/>
        <v>105.24822</v>
      </c>
      <c r="K183" s="36">
        <f t="shared" si="2"/>
        <v>95.6802</v>
      </c>
      <c r="L183" s="8">
        <f t="shared" si="3"/>
        <v>0.9691807169</v>
      </c>
      <c r="M183" s="8">
        <f t="shared" si="4"/>
        <v>0.2907542151</v>
      </c>
      <c r="N183" s="8">
        <f t="shared" si="5"/>
        <v>0.05815084301</v>
      </c>
      <c r="O183" s="8">
        <f t="shared" si="6"/>
        <v>0.1913604</v>
      </c>
      <c r="P183" s="8">
        <f t="shared" si="7"/>
        <v>0.2870406</v>
      </c>
      <c r="Q183" s="8">
        <f t="shared" si="8"/>
        <v>0.0956802</v>
      </c>
      <c r="R183" s="57"/>
      <c r="S183" s="57"/>
      <c r="T183" s="57"/>
      <c r="U183" s="57"/>
      <c r="V183" s="57"/>
      <c r="W183" s="57"/>
      <c r="X183" s="57"/>
      <c r="Y183" s="57"/>
      <c r="Z183" s="17"/>
    </row>
    <row r="184" ht="34.5" customHeight="1">
      <c r="A184" s="54" t="s">
        <v>221</v>
      </c>
      <c r="B184" s="34" t="s">
        <v>222</v>
      </c>
      <c r="C184" s="34" t="s">
        <v>223</v>
      </c>
      <c r="D184" s="34" t="s">
        <v>225</v>
      </c>
      <c r="E184" s="34">
        <v>26.0</v>
      </c>
      <c r="F184" s="35">
        <v>8.27</v>
      </c>
      <c r="G184" s="34">
        <v>1.0</v>
      </c>
      <c r="H184" s="35">
        <v>100.0</v>
      </c>
      <c r="I184" s="35">
        <v>100.0</v>
      </c>
      <c r="J184" s="36">
        <f t="shared" si="1"/>
        <v>26.23478</v>
      </c>
      <c r="K184" s="36">
        <f t="shared" si="2"/>
        <v>23.8498</v>
      </c>
      <c r="L184" s="8">
        <f t="shared" si="3"/>
        <v>0.2415835906</v>
      </c>
      <c r="M184" s="8">
        <f t="shared" si="4"/>
        <v>0.07247507717</v>
      </c>
      <c r="N184" s="8">
        <f t="shared" si="5"/>
        <v>0.01449501543</v>
      </c>
      <c r="O184" s="8">
        <f t="shared" si="6"/>
        <v>0.0476996</v>
      </c>
      <c r="P184" s="8">
        <f t="shared" si="7"/>
        <v>0.0715494</v>
      </c>
      <c r="Q184" s="8">
        <f t="shared" si="8"/>
        <v>0.0238498</v>
      </c>
      <c r="R184" s="57"/>
      <c r="S184" s="57"/>
      <c r="T184" s="57"/>
      <c r="U184" s="57"/>
      <c r="V184" s="57"/>
      <c r="W184" s="57"/>
      <c r="X184" s="57"/>
      <c r="Y184" s="57"/>
      <c r="Z184" s="17"/>
    </row>
    <row r="185" ht="34.5" customHeight="1">
      <c r="A185" s="54" t="s">
        <v>221</v>
      </c>
      <c r="B185" s="34" t="s">
        <v>222</v>
      </c>
      <c r="C185" s="34" t="s">
        <v>223</v>
      </c>
      <c r="D185" s="34" t="s">
        <v>226</v>
      </c>
      <c r="E185" s="34">
        <v>155.0</v>
      </c>
      <c r="F185" s="35">
        <v>11.2</v>
      </c>
      <c r="G185" s="34">
        <v>4.0</v>
      </c>
      <c r="H185" s="35">
        <v>15.86</v>
      </c>
      <c r="I185" s="35">
        <v>49.11</v>
      </c>
      <c r="J185" s="36">
        <f t="shared" si="1"/>
        <v>151.404</v>
      </c>
      <c r="K185" s="36">
        <f t="shared" si="2"/>
        <v>137.64</v>
      </c>
      <c r="L185" s="8">
        <f t="shared" si="3"/>
        <v>1.394207306</v>
      </c>
      <c r="M185" s="8">
        <f t="shared" si="4"/>
        <v>0.4182621918</v>
      </c>
      <c r="N185" s="8">
        <f t="shared" si="5"/>
        <v>0.08365243836</v>
      </c>
      <c r="O185" s="8">
        <f t="shared" si="6"/>
        <v>0.27528</v>
      </c>
      <c r="P185" s="8">
        <f t="shared" si="7"/>
        <v>0.41292</v>
      </c>
      <c r="Q185" s="8">
        <f t="shared" si="8"/>
        <v>0.13764</v>
      </c>
      <c r="R185" s="57"/>
      <c r="S185" s="57"/>
      <c r="T185" s="57"/>
      <c r="U185" s="57"/>
      <c r="V185" s="57"/>
      <c r="W185" s="57"/>
      <c r="X185" s="57"/>
      <c r="Y185" s="57"/>
      <c r="Z185" s="17"/>
    </row>
    <row r="186" ht="34.5" customHeight="1">
      <c r="A186" s="54" t="s">
        <v>221</v>
      </c>
      <c r="B186" s="34" t="s">
        <v>222</v>
      </c>
      <c r="C186" s="34" t="s">
        <v>223</v>
      </c>
      <c r="D186" s="34" t="s">
        <v>227</v>
      </c>
      <c r="E186" s="34">
        <v>43.0</v>
      </c>
      <c r="F186" s="35">
        <v>7.18</v>
      </c>
      <c r="G186" s="34">
        <v>2.0</v>
      </c>
      <c r="H186" s="35">
        <v>84.48</v>
      </c>
      <c r="I186" s="35">
        <v>84.48</v>
      </c>
      <c r="J186" s="36">
        <f t="shared" si="1"/>
        <v>43.90386</v>
      </c>
      <c r="K186" s="36">
        <f t="shared" si="2"/>
        <v>39.9126</v>
      </c>
      <c r="L186" s="8">
        <f t="shared" si="3"/>
        <v>0.4042897306</v>
      </c>
      <c r="M186" s="8">
        <f t="shared" si="4"/>
        <v>0.1212869192</v>
      </c>
      <c r="N186" s="8">
        <f t="shared" si="5"/>
        <v>0.02425738384</v>
      </c>
      <c r="O186" s="8">
        <f t="shared" si="6"/>
        <v>0.0798252</v>
      </c>
      <c r="P186" s="8">
        <f t="shared" si="7"/>
        <v>0.1197378</v>
      </c>
      <c r="Q186" s="8">
        <f t="shared" si="8"/>
        <v>0.0399126</v>
      </c>
      <c r="R186" s="57"/>
      <c r="S186" s="57"/>
      <c r="T186" s="57"/>
      <c r="U186" s="57"/>
      <c r="V186" s="57"/>
      <c r="W186" s="57"/>
      <c r="X186" s="57"/>
      <c r="Y186" s="57"/>
      <c r="Z186" s="17"/>
    </row>
    <row r="187" ht="34.5" customHeight="1">
      <c r="A187" s="54" t="s">
        <v>221</v>
      </c>
      <c r="B187" s="34" t="s">
        <v>222</v>
      </c>
      <c r="C187" s="34" t="s">
        <v>223</v>
      </c>
      <c r="D187" s="34" t="s">
        <v>228</v>
      </c>
      <c r="E187" s="34">
        <v>244.0</v>
      </c>
      <c r="F187" s="35">
        <v>23.12</v>
      </c>
      <c r="G187" s="34">
        <v>9.0</v>
      </c>
      <c r="H187" s="35">
        <v>52.47</v>
      </c>
      <c r="I187" s="35">
        <v>67.79</v>
      </c>
      <c r="J187" s="36">
        <f t="shared" si="1"/>
        <v>206.34592</v>
      </c>
      <c r="K187" s="36">
        <f t="shared" si="2"/>
        <v>187.5872</v>
      </c>
      <c r="L187" s="8">
        <f t="shared" si="3"/>
        <v>1.900141272</v>
      </c>
      <c r="M187" s="8">
        <f t="shared" si="4"/>
        <v>0.5700423817</v>
      </c>
      <c r="N187" s="8">
        <f t="shared" si="5"/>
        <v>0.1140084763</v>
      </c>
      <c r="O187" s="8">
        <f t="shared" si="6"/>
        <v>0.3751744</v>
      </c>
      <c r="P187" s="8">
        <f t="shared" si="7"/>
        <v>0.5627616</v>
      </c>
      <c r="Q187" s="8">
        <f t="shared" si="8"/>
        <v>0.1875872</v>
      </c>
      <c r="R187" s="57"/>
      <c r="S187" s="57"/>
      <c r="T187" s="57"/>
      <c r="U187" s="57"/>
      <c r="V187" s="57"/>
      <c r="W187" s="57"/>
      <c r="X187" s="57"/>
      <c r="Y187" s="57"/>
      <c r="Z187" s="17"/>
    </row>
    <row r="188" ht="34.5" customHeight="1">
      <c r="A188" s="54" t="s">
        <v>221</v>
      </c>
      <c r="B188" s="34" t="s">
        <v>222</v>
      </c>
      <c r="C188" s="34" t="s">
        <v>223</v>
      </c>
      <c r="D188" s="34" t="s">
        <v>229</v>
      </c>
      <c r="E188" s="34">
        <v>92.0</v>
      </c>
      <c r="F188" s="35">
        <v>9.18</v>
      </c>
      <c r="G188" s="34">
        <v>4.0</v>
      </c>
      <c r="H188" s="35">
        <v>24.3</v>
      </c>
      <c r="I188" s="35">
        <v>45.43</v>
      </c>
      <c r="J188" s="36">
        <f t="shared" si="1"/>
        <v>91.90984</v>
      </c>
      <c r="K188" s="36">
        <f t="shared" si="2"/>
        <v>83.5544</v>
      </c>
      <c r="L188" s="8">
        <f t="shared" si="3"/>
        <v>0.84635393</v>
      </c>
      <c r="M188" s="8">
        <f t="shared" si="4"/>
        <v>0.253906179</v>
      </c>
      <c r="N188" s="8">
        <f t="shared" si="5"/>
        <v>0.0507812358</v>
      </c>
      <c r="O188" s="8">
        <f t="shared" si="6"/>
        <v>0.1671088</v>
      </c>
      <c r="P188" s="8">
        <f t="shared" si="7"/>
        <v>0.2506632</v>
      </c>
      <c r="Q188" s="8">
        <f t="shared" si="8"/>
        <v>0.0835544</v>
      </c>
      <c r="R188" s="57"/>
      <c r="S188" s="57"/>
      <c r="T188" s="57"/>
      <c r="U188" s="57"/>
      <c r="V188" s="57"/>
      <c r="W188" s="57"/>
      <c r="X188" s="57"/>
      <c r="Y188" s="57"/>
      <c r="Z188" s="17"/>
    </row>
    <row r="189" ht="34.5" customHeight="1">
      <c r="A189" s="54" t="s">
        <v>221</v>
      </c>
      <c r="B189" s="34" t="s">
        <v>222</v>
      </c>
      <c r="C189" s="34" t="s">
        <v>223</v>
      </c>
      <c r="D189" s="34" t="s">
        <v>230</v>
      </c>
      <c r="E189" s="34">
        <v>14.0</v>
      </c>
      <c r="F189" s="35">
        <v>2.22</v>
      </c>
      <c r="G189" s="34">
        <v>1.0</v>
      </c>
      <c r="H189" s="35">
        <v>84.29</v>
      </c>
      <c r="I189" s="35">
        <v>84.29</v>
      </c>
      <c r="J189" s="36">
        <f t="shared" si="1"/>
        <v>15.05812</v>
      </c>
      <c r="K189" s="36">
        <f t="shared" si="2"/>
        <v>13.6892</v>
      </c>
      <c r="L189" s="8">
        <f t="shared" si="3"/>
        <v>0.1386630533</v>
      </c>
      <c r="M189" s="8">
        <f t="shared" si="4"/>
        <v>0.04159891598</v>
      </c>
      <c r="N189" s="8">
        <f t="shared" si="5"/>
        <v>0.008319783196</v>
      </c>
      <c r="O189" s="8">
        <f t="shared" si="6"/>
        <v>0.0273784</v>
      </c>
      <c r="P189" s="8">
        <f t="shared" si="7"/>
        <v>0.0410676</v>
      </c>
      <c r="Q189" s="8">
        <f t="shared" si="8"/>
        <v>0.0136892</v>
      </c>
      <c r="R189" s="57"/>
      <c r="S189" s="57"/>
      <c r="T189" s="57"/>
      <c r="U189" s="57"/>
      <c r="V189" s="57"/>
      <c r="W189" s="57"/>
      <c r="X189" s="57"/>
      <c r="Y189" s="57"/>
      <c r="Z189" s="17"/>
    </row>
    <row r="190" ht="34.5" customHeight="1">
      <c r="A190" s="54" t="s">
        <v>221</v>
      </c>
      <c r="B190" s="34" t="s">
        <v>222</v>
      </c>
      <c r="C190" s="34" t="s">
        <v>223</v>
      </c>
      <c r="D190" s="34" t="s">
        <v>231</v>
      </c>
      <c r="E190" s="34">
        <v>24.0</v>
      </c>
      <c r="F190" s="35">
        <v>6.55</v>
      </c>
      <c r="G190" s="34">
        <v>1.0</v>
      </c>
      <c r="H190" s="35">
        <v>100.0</v>
      </c>
      <c r="I190" s="35">
        <v>100.0</v>
      </c>
      <c r="J190" s="36">
        <f t="shared" si="1"/>
        <v>24.6708</v>
      </c>
      <c r="K190" s="36">
        <f t="shared" si="2"/>
        <v>22.428</v>
      </c>
      <c r="L190" s="8">
        <f t="shared" si="3"/>
        <v>0.2271816438</v>
      </c>
      <c r="M190" s="8">
        <f t="shared" si="4"/>
        <v>0.06815449315</v>
      </c>
      <c r="N190" s="8">
        <f t="shared" si="5"/>
        <v>0.01363089863</v>
      </c>
      <c r="O190" s="8">
        <f t="shared" si="6"/>
        <v>0.044856</v>
      </c>
      <c r="P190" s="8">
        <f t="shared" si="7"/>
        <v>0.067284</v>
      </c>
      <c r="Q190" s="8">
        <f t="shared" si="8"/>
        <v>0.022428</v>
      </c>
      <c r="R190" s="57"/>
      <c r="S190" s="57"/>
      <c r="T190" s="57"/>
      <c r="U190" s="57"/>
      <c r="V190" s="57"/>
      <c r="W190" s="57"/>
      <c r="X190" s="57"/>
      <c r="Y190" s="57"/>
      <c r="Z190" s="17"/>
    </row>
    <row r="191" ht="34.5" customHeight="1">
      <c r="A191" s="54" t="s">
        <v>221</v>
      </c>
      <c r="B191" s="34" t="s">
        <v>222</v>
      </c>
      <c r="C191" s="34" t="s">
        <v>223</v>
      </c>
      <c r="D191" s="34" t="s">
        <v>232</v>
      </c>
      <c r="E191" s="34">
        <v>55.0</v>
      </c>
      <c r="F191" s="35">
        <v>10.27</v>
      </c>
      <c r="G191" s="34">
        <v>2.0</v>
      </c>
      <c r="H191" s="35">
        <v>65.09</v>
      </c>
      <c r="I191" s="35">
        <v>65.09</v>
      </c>
      <c r="J191" s="36">
        <f t="shared" si="1"/>
        <v>54.28665</v>
      </c>
      <c r="K191" s="36">
        <f t="shared" si="2"/>
        <v>49.3515</v>
      </c>
      <c r="L191" s="8">
        <f t="shared" si="3"/>
        <v>0.4998998973</v>
      </c>
      <c r="M191" s="8">
        <f t="shared" si="4"/>
        <v>0.1499699692</v>
      </c>
      <c r="N191" s="8">
        <f t="shared" si="5"/>
        <v>0.02999399384</v>
      </c>
      <c r="O191" s="8">
        <f t="shared" si="6"/>
        <v>0.098703</v>
      </c>
      <c r="P191" s="8">
        <f t="shared" si="7"/>
        <v>0.1480545</v>
      </c>
      <c r="Q191" s="8">
        <f t="shared" si="8"/>
        <v>0.0493515</v>
      </c>
      <c r="R191" s="57"/>
      <c r="S191" s="57"/>
      <c r="T191" s="57"/>
      <c r="U191" s="57"/>
      <c r="V191" s="57"/>
      <c r="W191" s="57"/>
      <c r="X191" s="57"/>
      <c r="Y191" s="57"/>
      <c r="Z191" s="17"/>
    </row>
    <row r="192" ht="34.5" customHeight="1">
      <c r="A192" s="54" t="s">
        <v>221</v>
      </c>
      <c r="B192" s="34" t="s">
        <v>222</v>
      </c>
      <c r="C192" s="34" t="s">
        <v>233</v>
      </c>
      <c r="D192" s="34" t="s">
        <v>233</v>
      </c>
      <c r="E192" s="34">
        <v>1040.0</v>
      </c>
      <c r="F192" s="35">
        <v>25.57</v>
      </c>
      <c r="G192" s="34">
        <v>20.0</v>
      </c>
      <c r="H192" s="35">
        <v>42.97</v>
      </c>
      <c r="I192" s="35">
        <v>49.37</v>
      </c>
      <c r="J192" s="36">
        <f t="shared" si="1"/>
        <v>851.4792</v>
      </c>
      <c r="K192" s="36">
        <f t="shared" si="2"/>
        <v>774.072</v>
      </c>
      <c r="L192" s="8">
        <f t="shared" si="3"/>
        <v>7.840866301</v>
      </c>
      <c r="M192" s="8">
        <f t="shared" si="4"/>
        <v>2.35225989</v>
      </c>
      <c r="N192" s="8">
        <f t="shared" si="5"/>
        <v>0.4704519781</v>
      </c>
      <c r="O192" s="8">
        <f t="shared" si="6"/>
        <v>1.548144</v>
      </c>
      <c r="P192" s="8">
        <f t="shared" si="7"/>
        <v>2.322216</v>
      </c>
      <c r="Q192" s="8">
        <f t="shared" si="8"/>
        <v>0.774072</v>
      </c>
      <c r="R192" s="57"/>
      <c r="S192" s="57"/>
      <c r="T192" s="57"/>
      <c r="U192" s="57"/>
      <c r="V192" s="57"/>
      <c r="W192" s="57"/>
      <c r="X192" s="57"/>
      <c r="Y192" s="57"/>
      <c r="Z192" s="17"/>
    </row>
    <row r="193" ht="34.5" customHeight="1">
      <c r="A193" s="54" t="s">
        <v>221</v>
      </c>
      <c r="B193" s="34" t="s">
        <v>222</v>
      </c>
      <c r="C193" s="34" t="s">
        <v>233</v>
      </c>
      <c r="D193" s="34" t="s">
        <v>234</v>
      </c>
      <c r="E193" s="34">
        <v>11.0</v>
      </c>
      <c r="F193" s="35">
        <v>18.74</v>
      </c>
      <c r="G193" s="34">
        <v>1.0</v>
      </c>
      <c r="H193" s="35">
        <v>0.0</v>
      </c>
      <c r="I193" s="35">
        <v>0.0</v>
      </c>
      <c r="J193" s="36">
        <f t="shared" si="1"/>
        <v>9.83246</v>
      </c>
      <c r="K193" s="36">
        <f t="shared" si="2"/>
        <v>8.9386</v>
      </c>
      <c r="L193" s="8">
        <f t="shared" si="3"/>
        <v>0.09054243988</v>
      </c>
      <c r="M193" s="8">
        <f t="shared" si="4"/>
        <v>0.02716273196</v>
      </c>
      <c r="N193" s="8">
        <f t="shared" si="5"/>
        <v>0.005432546393</v>
      </c>
      <c r="O193" s="8">
        <f t="shared" si="6"/>
        <v>0.0178772</v>
      </c>
      <c r="P193" s="8">
        <f t="shared" si="7"/>
        <v>0.0268158</v>
      </c>
      <c r="Q193" s="8">
        <f t="shared" si="8"/>
        <v>0.0089386</v>
      </c>
      <c r="R193" s="57"/>
      <c r="S193" s="57"/>
      <c r="T193" s="57"/>
      <c r="U193" s="57"/>
      <c r="V193" s="57"/>
      <c r="W193" s="57"/>
      <c r="X193" s="57"/>
      <c r="Y193" s="57"/>
      <c r="Z193" s="17"/>
    </row>
    <row r="194" ht="34.5" customHeight="1">
      <c r="A194" s="54" t="s">
        <v>221</v>
      </c>
      <c r="B194" s="34" t="s">
        <v>222</v>
      </c>
      <c r="C194" s="34" t="s">
        <v>233</v>
      </c>
      <c r="D194" s="34" t="s">
        <v>235</v>
      </c>
      <c r="E194" s="34">
        <v>333.0</v>
      </c>
      <c r="F194" s="35">
        <v>21.76</v>
      </c>
      <c r="G194" s="34">
        <v>4.0</v>
      </c>
      <c r="H194" s="35">
        <v>22.06</v>
      </c>
      <c r="I194" s="35">
        <v>68.09</v>
      </c>
      <c r="J194" s="36">
        <f t="shared" si="1"/>
        <v>286.59312</v>
      </c>
      <c r="K194" s="36">
        <f t="shared" si="2"/>
        <v>260.5392</v>
      </c>
      <c r="L194" s="8">
        <f t="shared" si="3"/>
        <v>2.639099507</v>
      </c>
      <c r="M194" s="8">
        <f t="shared" si="4"/>
        <v>0.7917298521</v>
      </c>
      <c r="N194" s="8">
        <f t="shared" si="5"/>
        <v>0.1583459704</v>
      </c>
      <c r="O194" s="8">
        <f t="shared" si="6"/>
        <v>0.5210784</v>
      </c>
      <c r="P194" s="8">
        <f t="shared" si="7"/>
        <v>0.7816176</v>
      </c>
      <c r="Q194" s="8">
        <f t="shared" si="8"/>
        <v>0.2605392</v>
      </c>
      <c r="R194" s="57"/>
      <c r="S194" s="57"/>
      <c r="T194" s="57"/>
      <c r="U194" s="57"/>
      <c r="V194" s="57"/>
      <c r="W194" s="57"/>
      <c r="X194" s="57"/>
      <c r="Y194" s="57"/>
      <c r="Z194" s="17"/>
    </row>
    <row r="195" ht="34.5" customHeight="1">
      <c r="A195" s="54" t="s">
        <v>221</v>
      </c>
      <c r="B195" s="34" t="s">
        <v>222</v>
      </c>
      <c r="C195" s="34" t="s">
        <v>233</v>
      </c>
      <c r="D195" s="34" t="s">
        <v>236</v>
      </c>
      <c r="E195" s="34">
        <v>22.0</v>
      </c>
      <c r="F195" s="35">
        <v>8.74</v>
      </c>
      <c r="G195" s="34">
        <v>1.0</v>
      </c>
      <c r="H195" s="35">
        <v>100.0</v>
      </c>
      <c r="I195" s="35">
        <v>100.0</v>
      </c>
      <c r="J195" s="36">
        <f t="shared" si="1"/>
        <v>22.08492</v>
      </c>
      <c r="K195" s="36">
        <f t="shared" si="2"/>
        <v>20.0772</v>
      </c>
      <c r="L195" s="8">
        <f t="shared" si="3"/>
        <v>0.2033695068</v>
      </c>
      <c r="M195" s="8">
        <f t="shared" si="4"/>
        <v>0.06101085205</v>
      </c>
      <c r="N195" s="8">
        <f t="shared" si="5"/>
        <v>0.01220217041</v>
      </c>
      <c r="O195" s="8">
        <f t="shared" si="6"/>
        <v>0.0401544</v>
      </c>
      <c r="P195" s="8">
        <f t="shared" si="7"/>
        <v>0.0602316</v>
      </c>
      <c r="Q195" s="8">
        <f t="shared" si="8"/>
        <v>0.0200772</v>
      </c>
      <c r="R195" s="57"/>
      <c r="S195" s="57"/>
      <c r="T195" s="57"/>
      <c r="U195" s="57"/>
      <c r="V195" s="57"/>
      <c r="W195" s="57"/>
      <c r="X195" s="57"/>
      <c r="Y195" s="57"/>
      <c r="Z195" s="17"/>
    </row>
    <row r="196" ht="34.5" customHeight="1">
      <c r="A196" s="54" t="s">
        <v>221</v>
      </c>
      <c r="B196" s="34" t="s">
        <v>222</v>
      </c>
      <c r="C196" s="34" t="s">
        <v>233</v>
      </c>
      <c r="D196" s="34" t="s">
        <v>237</v>
      </c>
      <c r="E196" s="34">
        <v>29.0</v>
      </c>
      <c r="F196" s="35">
        <v>5.79</v>
      </c>
      <c r="G196" s="34">
        <v>1.0</v>
      </c>
      <c r="H196" s="35">
        <v>100.0</v>
      </c>
      <c r="I196" s="35">
        <v>100.0</v>
      </c>
      <c r="J196" s="36">
        <f t="shared" si="1"/>
        <v>30.05299</v>
      </c>
      <c r="K196" s="36">
        <f t="shared" si="2"/>
        <v>27.3209</v>
      </c>
      <c r="L196" s="8">
        <f t="shared" si="3"/>
        <v>0.2767436674</v>
      </c>
      <c r="M196" s="8">
        <f t="shared" si="4"/>
        <v>0.08302310023</v>
      </c>
      <c r="N196" s="8">
        <f t="shared" si="5"/>
        <v>0.01660462005</v>
      </c>
      <c r="O196" s="8">
        <f t="shared" si="6"/>
        <v>0.0546418</v>
      </c>
      <c r="P196" s="8">
        <f t="shared" si="7"/>
        <v>0.0819627</v>
      </c>
      <c r="Q196" s="8">
        <f t="shared" si="8"/>
        <v>0.0273209</v>
      </c>
      <c r="R196" s="57"/>
      <c r="S196" s="57"/>
      <c r="T196" s="57"/>
      <c r="U196" s="57"/>
      <c r="V196" s="57"/>
      <c r="W196" s="57"/>
      <c r="X196" s="57"/>
      <c r="Y196" s="57"/>
      <c r="Z196" s="17"/>
    </row>
    <row r="197" ht="34.5" customHeight="1">
      <c r="A197" s="54" t="s">
        <v>221</v>
      </c>
      <c r="B197" s="34" t="s">
        <v>222</v>
      </c>
      <c r="C197" s="34" t="s">
        <v>233</v>
      </c>
      <c r="D197" s="34" t="s">
        <v>238</v>
      </c>
      <c r="E197" s="34">
        <v>33.0</v>
      </c>
      <c r="F197" s="35">
        <v>10.51</v>
      </c>
      <c r="G197" s="34">
        <v>1.0</v>
      </c>
      <c r="H197" s="35">
        <v>100.0</v>
      </c>
      <c r="I197" s="35">
        <v>100.0</v>
      </c>
      <c r="J197" s="36">
        <f t="shared" si="1"/>
        <v>32.48487</v>
      </c>
      <c r="K197" s="36">
        <f t="shared" si="2"/>
        <v>29.5317</v>
      </c>
      <c r="L197" s="8">
        <f t="shared" si="3"/>
        <v>0.2991376918</v>
      </c>
      <c r="M197" s="8">
        <f t="shared" si="4"/>
        <v>0.08974130753</v>
      </c>
      <c r="N197" s="8">
        <f t="shared" si="5"/>
        <v>0.01794826151</v>
      </c>
      <c r="O197" s="8">
        <f t="shared" si="6"/>
        <v>0.0590634</v>
      </c>
      <c r="P197" s="8">
        <f t="shared" si="7"/>
        <v>0.0885951</v>
      </c>
      <c r="Q197" s="8">
        <f t="shared" si="8"/>
        <v>0.0295317</v>
      </c>
      <c r="R197" s="57"/>
      <c r="S197" s="57"/>
      <c r="T197" s="57"/>
      <c r="U197" s="57"/>
      <c r="V197" s="57"/>
      <c r="W197" s="57"/>
      <c r="X197" s="57"/>
      <c r="Y197" s="57"/>
      <c r="Z197" s="17"/>
    </row>
    <row r="198" ht="34.5" customHeight="1">
      <c r="A198" s="54" t="s">
        <v>221</v>
      </c>
      <c r="B198" s="34" t="s">
        <v>222</v>
      </c>
      <c r="C198" s="34" t="s">
        <v>233</v>
      </c>
      <c r="D198" s="34" t="s">
        <v>239</v>
      </c>
      <c r="E198" s="34">
        <v>124.0</v>
      </c>
      <c r="F198" s="35">
        <v>23.93</v>
      </c>
      <c r="G198" s="34">
        <v>3.0</v>
      </c>
      <c r="H198" s="35">
        <v>49.28</v>
      </c>
      <c r="I198" s="35">
        <v>74.13</v>
      </c>
      <c r="J198" s="36">
        <f t="shared" si="1"/>
        <v>103.75948</v>
      </c>
      <c r="K198" s="36">
        <f t="shared" si="2"/>
        <v>94.3268</v>
      </c>
      <c r="L198" s="8">
        <f t="shared" si="3"/>
        <v>0.9554716195</v>
      </c>
      <c r="M198" s="8">
        <f t="shared" si="4"/>
        <v>0.2866414858</v>
      </c>
      <c r="N198" s="8">
        <f t="shared" si="5"/>
        <v>0.05732829717</v>
      </c>
      <c r="O198" s="8">
        <f t="shared" si="6"/>
        <v>0.1886536</v>
      </c>
      <c r="P198" s="8">
        <f t="shared" si="7"/>
        <v>0.2829804</v>
      </c>
      <c r="Q198" s="8">
        <f t="shared" si="8"/>
        <v>0.0943268</v>
      </c>
      <c r="R198" s="57"/>
      <c r="S198" s="57"/>
      <c r="T198" s="57"/>
      <c r="U198" s="57"/>
      <c r="V198" s="57"/>
      <c r="W198" s="57"/>
      <c r="X198" s="57"/>
      <c r="Y198" s="57"/>
      <c r="Z198" s="17"/>
    </row>
    <row r="199" ht="34.5" customHeight="1">
      <c r="A199" s="54" t="s">
        <v>221</v>
      </c>
      <c r="B199" s="34" t="s">
        <v>222</v>
      </c>
      <c r="C199" s="34" t="s">
        <v>233</v>
      </c>
      <c r="D199" s="34" t="s">
        <v>240</v>
      </c>
      <c r="E199" s="34">
        <v>221.0</v>
      </c>
      <c r="F199" s="35">
        <v>21.32</v>
      </c>
      <c r="G199" s="34">
        <v>5.0</v>
      </c>
      <c r="H199" s="35">
        <v>62.1</v>
      </c>
      <c r="I199" s="35">
        <v>85.05</v>
      </c>
      <c r="J199" s="36">
        <f t="shared" si="1"/>
        <v>191.27108</v>
      </c>
      <c r="K199" s="36">
        <f t="shared" si="2"/>
        <v>173.8828</v>
      </c>
      <c r="L199" s="8">
        <f t="shared" si="3"/>
        <v>1.761324253</v>
      </c>
      <c r="M199" s="8">
        <f t="shared" si="4"/>
        <v>0.5283972758</v>
      </c>
      <c r="N199" s="8">
        <f t="shared" si="5"/>
        <v>0.1056794552</v>
      </c>
      <c r="O199" s="8">
        <f t="shared" si="6"/>
        <v>0.3477656</v>
      </c>
      <c r="P199" s="8">
        <f t="shared" si="7"/>
        <v>0.5216484</v>
      </c>
      <c r="Q199" s="8">
        <f t="shared" si="8"/>
        <v>0.1738828</v>
      </c>
      <c r="R199" s="57"/>
      <c r="S199" s="57"/>
      <c r="T199" s="57"/>
      <c r="U199" s="57"/>
      <c r="V199" s="57"/>
      <c r="W199" s="57"/>
      <c r="X199" s="57"/>
      <c r="Y199" s="57"/>
      <c r="Z199" s="17"/>
    </row>
    <row r="200" ht="34.5" customHeight="1">
      <c r="A200" s="54" t="s">
        <v>221</v>
      </c>
      <c r="B200" s="34" t="s">
        <v>222</v>
      </c>
      <c r="C200" s="34" t="s">
        <v>233</v>
      </c>
      <c r="D200" s="34" t="s">
        <v>241</v>
      </c>
      <c r="E200" s="34">
        <v>429.0</v>
      </c>
      <c r="F200" s="35">
        <v>19.32</v>
      </c>
      <c r="G200" s="34">
        <v>10.0</v>
      </c>
      <c r="H200" s="35">
        <v>67.94</v>
      </c>
      <c r="I200" s="35">
        <v>99.64</v>
      </c>
      <c r="J200" s="36">
        <f t="shared" si="1"/>
        <v>380.72892</v>
      </c>
      <c r="K200" s="36">
        <f t="shared" si="2"/>
        <v>346.1172</v>
      </c>
      <c r="L200" s="8">
        <f t="shared" si="3"/>
        <v>3.505951242</v>
      </c>
      <c r="M200" s="8">
        <f t="shared" si="4"/>
        <v>1.051785373</v>
      </c>
      <c r="N200" s="8">
        <f t="shared" si="5"/>
        <v>0.2103570745</v>
      </c>
      <c r="O200" s="8">
        <f t="shared" si="6"/>
        <v>0.6922344</v>
      </c>
      <c r="P200" s="8">
        <f t="shared" si="7"/>
        <v>1.0383516</v>
      </c>
      <c r="Q200" s="8">
        <f t="shared" si="8"/>
        <v>0.3461172</v>
      </c>
      <c r="R200" s="57"/>
      <c r="S200" s="57"/>
      <c r="T200" s="57"/>
      <c r="U200" s="57"/>
      <c r="V200" s="57"/>
      <c r="W200" s="57"/>
      <c r="X200" s="57"/>
      <c r="Y200" s="57"/>
      <c r="Z200" s="17"/>
    </row>
    <row r="201" ht="34.5" customHeight="1">
      <c r="A201" s="54" t="s">
        <v>221</v>
      </c>
      <c r="B201" s="34" t="s">
        <v>222</v>
      </c>
      <c r="C201" s="34" t="s">
        <v>233</v>
      </c>
      <c r="D201" s="34" t="s">
        <v>242</v>
      </c>
      <c r="E201" s="34">
        <v>28.0</v>
      </c>
      <c r="F201" s="35">
        <v>13.04</v>
      </c>
      <c r="G201" s="34">
        <v>1.0</v>
      </c>
      <c r="H201" s="35">
        <v>100.0</v>
      </c>
      <c r="I201" s="35">
        <v>100.0</v>
      </c>
      <c r="J201" s="36">
        <f t="shared" si="1"/>
        <v>26.78368</v>
      </c>
      <c r="K201" s="36">
        <f t="shared" si="2"/>
        <v>24.3488</v>
      </c>
      <c r="L201" s="8">
        <f t="shared" si="3"/>
        <v>0.2466381492</v>
      </c>
      <c r="M201" s="8">
        <f t="shared" si="4"/>
        <v>0.07399144475</v>
      </c>
      <c r="N201" s="8">
        <f t="shared" si="5"/>
        <v>0.01479828895</v>
      </c>
      <c r="O201" s="8">
        <f t="shared" si="6"/>
        <v>0.0486976</v>
      </c>
      <c r="P201" s="8">
        <f t="shared" si="7"/>
        <v>0.0730464</v>
      </c>
      <c r="Q201" s="8">
        <f t="shared" si="8"/>
        <v>0.0243488</v>
      </c>
      <c r="R201" s="57"/>
      <c r="S201" s="57"/>
      <c r="T201" s="57"/>
      <c r="U201" s="57"/>
      <c r="V201" s="57"/>
      <c r="W201" s="57"/>
      <c r="X201" s="57"/>
      <c r="Y201" s="57"/>
      <c r="Z201" s="17"/>
    </row>
    <row r="202" ht="34.5" customHeight="1">
      <c r="A202" s="54" t="s">
        <v>221</v>
      </c>
      <c r="B202" s="34" t="s">
        <v>222</v>
      </c>
      <c r="C202" s="34" t="s">
        <v>233</v>
      </c>
      <c r="D202" s="34" t="s">
        <v>243</v>
      </c>
      <c r="E202" s="34">
        <v>38.0</v>
      </c>
      <c r="F202" s="35">
        <v>16.15</v>
      </c>
      <c r="G202" s="34">
        <v>1.0</v>
      </c>
      <c r="H202" s="35">
        <v>97.18</v>
      </c>
      <c r="I202" s="35">
        <v>97.18</v>
      </c>
      <c r="J202" s="36">
        <f t="shared" si="1"/>
        <v>35.0493</v>
      </c>
      <c r="K202" s="36">
        <f t="shared" si="2"/>
        <v>31.863</v>
      </c>
      <c r="L202" s="8">
        <f t="shared" si="3"/>
        <v>0.3227523059</v>
      </c>
      <c r="M202" s="8">
        <f t="shared" si="4"/>
        <v>0.09682569178</v>
      </c>
      <c r="N202" s="8">
        <f t="shared" si="5"/>
        <v>0.01936513836</v>
      </c>
      <c r="O202" s="8">
        <f t="shared" si="6"/>
        <v>0.063726</v>
      </c>
      <c r="P202" s="8">
        <f t="shared" si="7"/>
        <v>0.095589</v>
      </c>
      <c r="Q202" s="8">
        <f t="shared" si="8"/>
        <v>0.031863</v>
      </c>
      <c r="R202" s="57"/>
      <c r="S202" s="57"/>
      <c r="T202" s="57"/>
      <c r="U202" s="57"/>
      <c r="V202" s="57"/>
      <c r="W202" s="57"/>
      <c r="X202" s="57"/>
      <c r="Y202" s="57"/>
      <c r="Z202" s="17"/>
    </row>
    <row r="203" ht="34.5" customHeight="1">
      <c r="A203" s="54" t="s">
        <v>221</v>
      </c>
      <c r="B203" s="34" t="s">
        <v>222</v>
      </c>
      <c r="C203" s="34" t="s">
        <v>233</v>
      </c>
      <c r="D203" s="34" t="s">
        <v>244</v>
      </c>
      <c r="E203" s="34">
        <v>176.0</v>
      </c>
      <c r="F203" s="35">
        <v>17.64</v>
      </c>
      <c r="G203" s="34">
        <v>4.0</v>
      </c>
      <c r="H203" s="35">
        <v>92.0</v>
      </c>
      <c r="I203" s="35">
        <v>92.0</v>
      </c>
      <c r="J203" s="36">
        <f t="shared" si="1"/>
        <v>159.44896</v>
      </c>
      <c r="K203" s="36">
        <f t="shared" si="2"/>
        <v>144.9536</v>
      </c>
      <c r="L203" s="8">
        <f t="shared" si="3"/>
        <v>1.46828951</v>
      </c>
      <c r="M203" s="8">
        <f t="shared" si="4"/>
        <v>0.440486853</v>
      </c>
      <c r="N203" s="8">
        <f t="shared" si="5"/>
        <v>0.08809737059</v>
      </c>
      <c r="O203" s="8">
        <f t="shared" si="6"/>
        <v>0.2899072</v>
      </c>
      <c r="P203" s="8">
        <f t="shared" si="7"/>
        <v>0.4348608</v>
      </c>
      <c r="Q203" s="8">
        <f t="shared" si="8"/>
        <v>0.1449536</v>
      </c>
      <c r="R203" s="57"/>
      <c r="S203" s="57"/>
      <c r="T203" s="57"/>
      <c r="U203" s="57"/>
      <c r="V203" s="57"/>
      <c r="W203" s="57"/>
      <c r="X203" s="57"/>
      <c r="Y203" s="57"/>
      <c r="Z203" s="17"/>
    </row>
    <row r="204" ht="34.5" customHeight="1">
      <c r="A204" s="54" t="s">
        <v>221</v>
      </c>
      <c r="B204" s="34" t="s">
        <v>222</v>
      </c>
      <c r="C204" s="34" t="s">
        <v>222</v>
      </c>
      <c r="D204" s="34" t="s">
        <v>245</v>
      </c>
      <c r="E204" s="34">
        <v>32.0</v>
      </c>
      <c r="F204" s="35">
        <v>2.3</v>
      </c>
      <c r="G204" s="34">
        <v>1.0</v>
      </c>
      <c r="H204" s="35">
        <v>100.0</v>
      </c>
      <c r="I204" s="35">
        <v>100.0</v>
      </c>
      <c r="J204" s="36">
        <f t="shared" si="1"/>
        <v>34.3904</v>
      </c>
      <c r="K204" s="36">
        <f t="shared" si="2"/>
        <v>31.264</v>
      </c>
      <c r="L204" s="8">
        <f t="shared" si="3"/>
        <v>0.3166848097</v>
      </c>
      <c r="M204" s="8">
        <f t="shared" si="4"/>
        <v>0.09500544292</v>
      </c>
      <c r="N204" s="8">
        <f t="shared" si="5"/>
        <v>0.01900108858</v>
      </c>
      <c r="O204" s="8">
        <f t="shared" si="6"/>
        <v>0.062528</v>
      </c>
      <c r="P204" s="8">
        <f t="shared" si="7"/>
        <v>0.093792</v>
      </c>
      <c r="Q204" s="8">
        <f t="shared" si="8"/>
        <v>0.031264</v>
      </c>
      <c r="R204" s="57"/>
      <c r="S204" s="57"/>
      <c r="T204" s="57"/>
      <c r="U204" s="57"/>
      <c r="V204" s="57"/>
      <c r="W204" s="57"/>
      <c r="X204" s="57"/>
      <c r="Y204" s="57"/>
      <c r="Z204" s="17"/>
    </row>
    <row r="205" ht="34.5" customHeight="1">
      <c r="A205" s="54" t="s">
        <v>221</v>
      </c>
      <c r="B205" s="34" t="s">
        <v>222</v>
      </c>
      <c r="C205" s="34" t="s">
        <v>222</v>
      </c>
      <c r="D205" s="34" t="s">
        <v>246</v>
      </c>
      <c r="E205" s="34">
        <v>34.0</v>
      </c>
      <c r="F205" s="35">
        <v>6.64</v>
      </c>
      <c r="G205" s="34">
        <v>1.0</v>
      </c>
      <c r="H205" s="35">
        <v>100.0</v>
      </c>
      <c r="I205" s="35">
        <v>100.0</v>
      </c>
      <c r="J205" s="36">
        <f t="shared" si="1"/>
        <v>34.91664</v>
      </c>
      <c r="K205" s="36">
        <f t="shared" si="2"/>
        <v>31.7424</v>
      </c>
      <c r="L205" s="8">
        <f t="shared" si="3"/>
        <v>0.3215307032</v>
      </c>
      <c r="M205" s="8">
        <f t="shared" si="4"/>
        <v>0.09645921096</v>
      </c>
      <c r="N205" s="8">
        <f t="shared" si="5"/>
        <v>0.01929184219</v>
      </c>
      <c r="O205" s="8">
        <f t="shared" si="6"/>
        <v>0.0634848</v>
      </c>
      <c r="P205" s="8">
        <f t="shared" si="7"/>
        <v>0.0952272</v>
      </c>
      <c r="Q205" s="8">
        <f t="shared" si="8"/>
        <v>0.0317424</v>
      </c>
      <c r="R205" s="57"/>
      <c r="S205" s="57"/>
      <c r="T205" s="57"/>
      <c r="U205" s="57"/>
      <c r="V205" s="57"/>
      <c r="W205" s="57"/>
      <c r="X205" s="57"/>
      <c r="Y205" s="57"/>
      <c r="Z205" s="17"/>
    </row>
    <row r="206" ht="34.5" customHeight="1">
      <c r="A206" s="54" t="s">
        <v>221</v>
      </c>
      <c r="B206" s="34" t="s">
        <v>222</v>
      </c>
      <c r="C206" s="34" t="s">
        <v>222</v>
      </c>
      <c r="D206" s="34" t="s">
        <v>247</v>
      </c>
      <c r="E206" s="34">
        <v>50.0</v>
      </c>
      <c r="F206" s="35">
        <v>5.6</v>
      </c>
      <c r="G206" s="34">
        <v>2.0</v>
      </c>
      <c r="H206" s="35">
        <v>100.0</v>
      </c>
      <c r="I206" s="35">
        <v>100.0</v>
      </c>
      <c r="J206" s="36">
        <f t="shared" si="1"/>
        <v>51.92</v>
      </c>
      <c r="K206" s="36">
        <f t="shared" si="2"/>
        <v>47.2</v>
      </c>
      <c r="L206" s="8">
        <f t="shared" si="3"/>
        <v>0.4781065449</v>
      </c>
      <c r="M206" s="8">
        <f t="shared" si="4"/>
        <v>0.1434319635</v>
      </c>
      <c r="N206" s="8">
        <f t="shared" si="5"/>
        <v>0.02868639269</v>
      </c>
      <c r="O206" s="8">
        <f t="shared" si="6"/>
        <v>0.0944</v>
      </c>
      <c r="P206" s="8">
        <f t="shared" si="7"/>
        <v>0.1416</v>
      </c>
      <c r="Q206" s="8">
        <f t="shared" si="8"/>
        <v>0.0472</v>
      </c>
      <c r="R206" s="57"/>
      <c r="S206" s="57"/>
      <c r="T206" s="57"/>
      <c r="U206" s="57"/>
      <c r="V206" s="57"/>
      <c r="W206" s="57"/>
      <c r="X206" s="57"/>
      <c r="Y206" s="57"/>
      <c r="Z206" s="17"/>
    </row>
    <row r="207" ht="34.5" customHeight="1">
      <c r="A207" s="54" t="s">
        <v>221</v>
      </c>
      <c r="B207" s="34" t="s">
        <v>222</v>
      </c>
      <c r="C207" s="34" t="s">
        <v>222</v>
      </c>
      <c r="D207" s="34" t="s">
        <v>248</v>
      </c>
      <c r="E207" s="34">
        <v>79.0</v>
      </c>
      <c r="F207" s="35">
        <v>11.65</v>
      </c>
      <c r="G207" s="34">
        <v>2.0</v>
      </c>
      <c r="H207" s="35">
        <v>100.0</v>
      </c>
      <c r="I207" s="35">
        <v>100.0</v>
      </c>
      <c r="J207" s="36">
        <f t="shared" si="1"/>
        <v>76.77615</v>
      </c>
      <c r="K207" s="36">
        <f t="shared" si="2"/>
        <v>69.7965</v>
      </c>
      <c r="L207" s="8">
        <f t="shared" si="3"/>
        <v>0.7069949886</v>
      </c>
      <c r="M207" s="8">
        <f t="shared" si="4"/>
        <v>0.2120984966</v>
      </c>
      <c r="N207" s="8">
        <f t="shared" si="5"/>
        <v>0.04241969932</v>
      </c>
      <c r="O207" s="8">
        <f t="shared" si="6"/>
        <v>0.139593</v>
      </c>
      <c r="P207" s="8">
        <f t="shared" si="7"/>
        <v>0.2093895</v>
      </c>
      <c r="Q207" s="8">
        <f t="shared" si="8"/>
        <v>0.0697965</v>
      </c>
      <c r="R207" s="57"/>
      <c r="S207" s="57"/>
      <c r="T207" s="57"/>
      <c r="U207" s="57"/>
      <c r="V207" s="57"/>
      <c r="W207" s="57"/>
      <c r="X207" s="57"/>
      <c r="Y207" s="57"/>
      <c r="Z207" s="17"/>
    </row>
    <row r="208" ht="34.5" customHeight="1">
      <c r="A208" s="54" t="s">
        <v>221</v>
      </c>
      <c r="B208" s="34" t="s">
        <v>222</v>
      </c>
      <c r="C208" s="34" t="s">
        <v>222</v>
      </c>
      <c r="D208" s="34" t="s">
        <v>249</v>
      </c>
      <c r="E208" s="34">
        <v>18.0</v>
      </c>
      <c r="F208" s="35">
        <v>4.33</v>
      </c>
      <c r="G208" s="34">
        <v>1.0</v>
      </c>
      <c r="H208" s="35">
        <v>100.0</v>
      </c>
      <c r="I208" s="35">
        <v>100.0</v>
      </c>
      <c r="J208" s="36">
        <f t="shared" si="1"/>
        <v>18.94266</v>
      </c>
      <c r="K208" s="36">
        <f t="shared" si="2"/>
        <v>17.2206</v>
      </c>
      <c r="L208" s="8">
        <f t="shared" si="3"/>
        <v>0.1744339315</v>
      </c>
      <c r="M208" s="8">
        <f t="shared" si="4"/>
        <v>0.05233017945</v>
      </c>
      <c r="N208" s="8">
        <f t="shared" si="5"/>
        <v>0.01046603589</v>
      </c>
      <c r="O208" s="8">
        <f t="shared" si="6"/>
        <v>0.0344412</v>
      </c>
      <c r="P208" s="8">
        <f t="shared" si="7"/>
        <v>0.0516618</v>
      </c>
      <c r="Q208" s="8">
        <f t="shared" si="8"/>
        <v>0.0172206</v>
      </c>
      <c r="R208" s="57"/>
      <c r="S208" s="57"/>
      <c r="T208" s="57"/>
      <c r="U208" s="57"/>
      <c r="V208" s="57"/>
      <c r="W208" s="57"/>
      <c r="X208" s="57"/>
      <c r="Y208" s="57"/>
      <c r="Z208" s="17"/>
    </row>
    <row r="209" ht="34.5" customHeight="1">
      <c r="A209" s="54" t="s">
        <v>221</v>
      </c>
      <c r="B209" s="34" t="s">
        <v>222</v>
      </c>
      <c r="C209" s="34" t="s">
        <v>222</v>
      </c>
      <c r="D209" s="34" t="s">
        <v>250</v>
      </c>
      <c r="E209" s="34">
        <v>49.0</v>
      </c>
      <c r="F209" s="35">
        <v>12.61</v>
      </c>
      <c r="G209" s="34">
        <v>1.0</v>
      </c>
      <c r="H209" s="35">
        <v>100.0</v>
      </c>
      <c r="I209" s="35">
        <v>100.0</v>
      </c>
      <c r="J209" s="36">
        <f t="shared" si="1"/>
        <v>47.10321</v>
      </c>
      <c r="K209" s="36">
        <f t="shared" si="2"/>
        <v>42.8211</v>
      </c>
      <c r="L209" s="8">
        <f t="shared" si="3"/>
        <v>0.4337510205</v>
      </c>
      <c r="M209" s="8">
        <f t="shared" si="4"/>
        <v>0.1301253062</v>
      </c>
      <c r="N209" s="8">
        <f t="shared" si="5"/>
        <v>0.02602506123</v>
      </c>
      <c r="O209" s="8">
        <f t="shared" si="6"/>
        <v>0.0856422</v>
      </c>
      <c r="P209" s="8">
        <f t="shared" si="7"/>
        <v>0.1284633</v>
      </c>
      <c r="Q209" s="8">
        <f t="shared" si="8"/>
        <v>0.0428211</v>
      </c>
      <c r="R209" s="57"/>
      <c r="S209" s="57"/>
      <c r="T209" s="57"/>
      <c r="U209" s="57"/>
      <c r="V209" s="57"/>
      <c r="W209" s="57"/>
      <c r="X209" s="57"/>
      <c r="Y209" s="57"/>
      <c r="Z209" s="17"/>
    </row>
    <row r="210" ht="34.5" customHeight="1">
      <c r="A210" s="54" t="s">
        <v>221</v>
      </c>
      <c r="B210" s="34" t="s">
        <v>222</v>
      </c>
      <c r="C210" s="34" t="s">
        <v>222</v>
      </c>
      <c r="D210" s="34" t="s">
        <v>251</v>
      </c>
      <c r="E210" s="34">
        <v>454.0</v>
      </c>
      <c r="F210" s="35">
        <v>17.15</v>
      </c>
      <c r="G210" s="34">
        <v>13.0</v>
      </c>
      <c r="H210" s="35">
        <v>100.0</v>
      </c>
      <c r="I210" s="35">
        <v>100.0</v>
      </c>
      <c r="J210" s="36">
        <f t="shared" si="1"/>
        <v>413.7529</v>
      </c>
      <c r="K210" s="36">
        <f t="shared" si="2"/>
        <v>376.139</v>
      </c>
      <c r="L210" s="8">
        <f t="shared" si="3"/>
        <v>3.810053341</v>
      </c>
      <c r="M210" s="8">
        <f t="shared" si="4"/>
        <v>1.143016002</v>
      </c>
      <c r="N210" s="8">
        <f t="shared" si="5"/>
        <v>0.2286032005</v>
      </c>
      <c r="O210" s="8">
        <f t="shared" si="6"/>
        <v>0.752278</v>
      </c>
      <c r="P210" s="8">
        <f t="shared" si="7"/>
        <v>1.128417</v>
      </c>
      <c r="Q210" s="8">
        <f t="shared" si="8"/>
        <v>0.376139</v>
      </c>
      <c r="R210" s="57"/>
      <c r="S210" s="57"/>
      <c r="T210" s="57"/>
      <c r="U210" s="57"/>
      <c r="V210" s="57"/>
      <c r="W210" s="57"/>
      <c r="X210" s="57"/>
      <c r="Y210" s="57"/>
      <c r="Z210" s="17"/>
    </row>
    <row r="211" ht="34.5" customHeight="1">
      <c r="A211" s="54" t="s">
        <v>221</v>
      </c>
      <c r="B211" s="34" t="s">
        <v>222</v>
      </c>
      <c r="C211" s="34" t="s">
        <v>222</v>
      </c>
      <c r="D211" s="34" t="s">
        <v>252</v>
      </c>
      <c r="E211" s="34">
        <v>53.0</v>
      </c>
      <c r="F211" s="35">
        <v>11.96</v>
      </c>
      <c r="G211" s="34">
        <v>2.0</v>
      </c>
      <c r="H211" s="35">
        <v>100.0</v>
      </c>
      <c r="I211" s="35">
        <v>100.0</v>
      </c>
      <c r="J211" s="36">
        <f t="shared" si="1"/>
        <v>51.32732</v>
      </c>
      <c r="K211" s="36">
        <f t="shared" si="2"/>
        <v>46.6612</v>
      </c>
      <c r="L211" s="8">
        <f t="shared" si="3"/>
        <v>0.4726488371</v>
      </c>
      <c r="M211" s="8">
        <f t="shared" si="4"/>
        <v>0.1417946511</v>
      </c>
      <c r="N211" s="8">
        <f t="shared" si="5"/>
        <v>0.02835893023</v>
      </c>
      <c r="O211" s="8">
        <f t="shared" si="6"/>
        <v>0.0933224</v>
      </c>
      <c r="P211" s="8">
        <f t="shared" si="7"/>
        <v>0.1399836</v>
      </c>
      <c r="Q211" s="8">
        <f t="shared" si="8"/>
        <v>0.0466612</v>
      </c>
      <c r="R211" s="57"/>
      <c r="S211" s="57"/>
      <c r="T211" s="57"/>
      <c r="U211" s="57"/>
      <c r="V211" s="57"/>
      <c r="W211" s="57"/>
      <c r="X211" s="57"/>
      <c r="Y211" s="57"/>
      <c r="Z211" s="17"/>
    </row>
    <row r="212" ht="34.5" customHeight="1">
      <c r="A212" s="54" t="s">
        <v>221</v>
      </c>
      <c r="B212" s="34" t="s">
        <v>222</v>
      </c>
      <c r="C212" s="34" t="s">
        <v>222</v>
      </c>
      <c r="D212" s="34" t="s">
        <v>253</v>
      </c>
      <c r="E212" s="34">
        <v>52.0</v>
      </c>
      <c r="F212" s="35">
        <v>10.96</v>
      </c>
      <c r="G212" s="34">
        <v>2.0</v>
      </c>
      <c r="H212" s="35">
        <v>100.0</v>
      </c>
      <c r="I212" s="35">
        <v>100.0</v>
      </c>
      <c r="J212" s="36">
        <f t="shared" si="1"/>
        <v>50.93088</v>
      </c>
      <c r="K212" s="36">
        <f t="shared" si="2"/>
        <v>46.3008</v>
      </c>
      <c r="L212" s="8">
        <f t="shared" si="3"/>
        <v>0.46899821</v>
      </c>
      <c r="M212" s="8">
        <f t="shared" si="4"/>
        <v>0.140699463</v>
      </c>
      <c r="N212" s="8">
        <f t="shared" si="5"/>
        <v>0.0281398926</v>
      </c>
      <c r="O212" s="8">
        <f t="shared" si="6"/>
        <v>0.0926016</v>
      </c>
      <c r="P212" s="8">
        <f t="shared" si="7"/>
        <v>0.1389024</v>
      </c>
      <c r="Q212" s="8">
        <f t="shared" si="8"/>
        <v>0.0463008</v>
      </c>
      <c r="R212" s="57"/>
      <c r="S212" s="57"/>
      <c r="T212" s="57"/>
      <c r="U212" s="57"/>
      <c r="V212" s="57"/>
      <c r="W212" s="57"/>
      <c r="X212" s="57"/>
      <c r="Y212" s="57"/>
      <c r="Z212" s="17"/>
    </row>
    <row r="213" ht="34.5" customHeight="1">
      <c r="A213" s="54" t="s">
        <v>221</v>
      </c>
      <c r="B213" s="34" t="s">
        <v>222</v>
      </c>
      <c r="C213" s="34" t="s">
        <v>222</v>
      </c>
      <c r="D213" s="34" t="s">
        <v>254</v>
      </c>
      <c r="E213" s="34">
        <v>66.0</v>
      </c>
      <c r="F213" s="35">
        <v>12.23</v>
      </c>
      <c r="G213" s="34">
        <v>2.0</v>
      </c>
      <c r="H213" s="35">
        <v>100.0</v>
      </c>
      <c r="I213" s="35">
        <v>100.0</v>
      </c>
      <c r="J213" s="36">
        <f t="shared" si="1"/>
        <v>63.72102</v>
      </c>
      <c r="K213" s="36">
        <f t="shared" si="2"/>
        <v>57.9282</v>
      </c>
      <c r="L213" s="8">
        <f t="shared" si="3"/>
        <v>0.586776516</v>
      </c>
      <c r="M213" s="8">
        <f t="shared" si="4"/>
        <v>0.1760329548</v>
      </c>
      <c r="N213" s="8">
        <f t="shared" si="5"/>
        <v>0.03520659096</v>
      </c>
      <c r="O213" s="8">
        <f t="shared" si="6"/>
        <v>0.1158564</v>
      </c>
      <c r="P213" s="8">
        <f t="shared" si="7"/>
        <v>0.1737846</v>
      </c>
      <c r="Q213" s="8">
        <f t="shared" si="8"/>
        <v>0.0579282</v>
      </c>
      <c r="R213" s="57"/>
      <c r="S213" s="57"/>
      <c r="T213" s="57"/>
      <c r="U213" s="57"/>
      <c r="V213" s="57"/>
      <c r="W213" s="57"/>
      <c r="X213" s="57"/>
      <c r="Y213" s="57"/>
      <c r="Z213" s="17"/>
    </row>
    <row r="214" ht="34.5" customHeight="1">
      <c r="A214" s="54" t="s">
        <v>221</v>
      </c>
      <c r="B214" s="34" t="s">
        <v>222</v>
      </c>
      <c r="C214" s="34" t="s">
        <v>222</v>
      </c>
      <c r="D214" s="34" t="s">
        <v>255</v>
      </c>
      <c r="E214" s="34">
        <v>47.0</v>
      </c>
      <c r="F214" s="35">
        <v>9.15</v>
      </c>
      <c r="G214" s="34">
        <v>2.0</v>
      </c>
      <c r="H214" s="35">
        <v>100.0</v>
      </c>
      <c r="I214" s="35">
        <v>100.0</v>
      </c>
      <c r="J214" s="36">
        <f t="shared" si="1"/>
        <v>46.96945</v>
      </c>
      <c r="K214" s="36">
        <f t="shared" si="2"/>
        <v>42.6995</v>
      </c>
      <c r="L214" s="8">
        <f t="shared" si="3"/>
        <v>0.4325192884</v>
      </c>
      <c r="M214" s="8">
        <f t="shared" si="4"/>
        <v>0.1297557865</v>
      </c>
      <c r="N214" s="8">
        <f t="shared" si="5"/>
        <v>0.02595115731</v>
      </c>
      <c r="O214" s="8">
        <f t="shared" si="6"/>
        <v>0.085399</v>
      </c>
      <c r="P214" s="8">
        <f t="shared" si="7"/>
        <v>0.1280985</v>
      </c>
      <c r="Q214" s="8">
        <f t="shared" si="8"/>
        <v>0.0426995</v>
      </c>
      <c r="R214" s="57"/>
      <c r="S214" s="57"/>
      <c r="T214" s="57"/>
      <c r="U214" s="57"/>
      <c r="V214" s="57"/>
      <c r="W214" s="57"/>
      <c r="X214" s="57"/>
      <c r="Y214" s="57"/>
      <c r="Z214" s="17"/>
    </row>
    <row r="215" ht="34.5" customHeight="1">
      <c r="A215" s="54" t="s">
        <v>221</v>
      </c>
      <c r="B215" s="34" t="s">
        <v>222</v>
      </c>
      <c r="C215" s="34" t="s">
        <v>222</v>
      </c>
      <c r="D215" s="34" t="s">
        <v>222</v>
      </c>
      <c r="E215" s="34">
        <v>2628.0</v>
      </c>
      <c r="F215" s="35">
        <v>35.63</v>
      </c>
      <c r="G215" s="34">
        <v>53.0</v>
      </c>
      <c r="H215" s="35">
        <v>47.66</v>
      </c>
      <c r="I215" s="35">
        <v>82.71</v>
      </c>
      <c r="J215" s="36">
        <f t="shared" si="1"/>
        <v>1860.80796</v>
      </c>
      <c r="K215" s="36">
        <f t="shared" si="2"/>
        <v>1691.6436</v>
      </c>
      <c r="L215" s="8">
        <f t="shared" si="3"/>
        <v>17.135294</v>
      </c>
      <c r="M215" s="8">
        <f t="shared" si="4"/>
        <v>5.1405882</v>
      </c>
      <c r="N215" s="8">
        <f t="shared" si="5"/>
        <v>1.02811764</v>
      </c>
      <c r="O215" s="8">
        <f t="shared" si="6"/>
        <v>3.3832872</v>
      </c>
      <c r="P215" s="8">
        <f t="shared" si="7"/>
        <v>5.0749308</v>
      </c>
      <c r="Q215" s="8">
        <f t="shared" si="8"/>
        <v>1.6916436</v>
      </c>
      <c r="R215" s="57"/>
      <c r="S215" s="57"/>
      <c r="T215" s="57"/>
      <c r="U215" s="57"/>
      <c r="V215" s="57"/>
      <c r="W215" s="57"/>
      <c r="X215" s="57"/>
      <c r="Y215" s="57"/>
      <c r="Z215" s="17"/>
    </row>
    <row r="216" ht="34.5" customHeight="1">
      <c r="A216" s="54" t="s">
        <v>221</v>
      </c>
      <c r="B216" s="34" t="s">
        <v>222</v>
      </c>
      <c r="C216" s="34" t="s">
        <v>222</v>
      </c>
      <c r="D216" s="34" t="s">
        <v>256</v>
      </c>
      <c r="E216" s="34">
        <v>62.0</v>
      </c>
      <c r="F216" s="35">
        <v>9.26</v>
      </c>
      <c r="G216" s="34">
        <v>1.0</v>
      </c>
      <c r="H216" s="35">
        <v>80.44</v>
      </c>
      <c r="I216" s="35">
        <v>80.44</v>
      </c>
      <c r="J216" s="36">
        <f t="shared" si="1"/>
        <v>61.88468</v>
      </c>
      <c r="K216" s="36">
        <f t="shared" si="2"/>
        <v>56.2588</v>
      </c>
      <c r="L216" s="8">
        <f t="shared" si="3"/>
        <v>0.5698665358</v>
      </c>
      <c r="M216" s="8">
        <f t="shared" si="4"/>
        <v>0.1709599607</v>
      </c>
      <c r="N216" s="8">
        <f t="shared" si="5"/>
        <v>0.03419199215</v>
      </c>
      <c r="O216" s="8">
        <f t="shared" si="6"/>
        <v>0.1125176</v>
      </c>
      <c r="P216" s="8">
        <f t="shared" si="7"/>
        <v>0.1687764</v>
      </c>
      <c r="Q216" s="8">
        <f t="shared" si="8"/>
        <v>0.0562588</v>
      </c>
      <c r="R216" s="57"/>
      <c r="S216" s="57"/>
      <c r="T216" s="57"/>
      <c r="U216" s="57"/>
      <c r="V216" s="57"/>
      <c r="W216" s="57"/>
      <c r="X216" s="57"/>
      <c r="Y216" s="57"/>
      <c r="Z216" s="17"/>
    </row>
    <row r="217" ht="34.5" customHeight="1">
      <c r="A217" s="54" t="s">
        <v>221</v>
      </c>
      <c r="B217" s="34" t="s">
        <v>222</v>
      </c>
      <c r="C217" s="34" t="s">
        <v>222</v>
      </c>
      <c r="D217" s="34" t="s">
        <v>257</v>
      </c>
      <c r="E217" s="34">
        <v>60.0</v>
      </c>
      <c r="F217" s="35">
        <v>30.24</v>
      </c>
      <c r="G217" s="34">
        <v>3.0</v>
      </c>
      <c r="H217" s="35">
        <v>100.0</v>
      </c>
      <c r="I217" s="35">
        <v>100.0</v>
      </c>
      <c r="J217" s="36">
        <f t="shared" si="1"/>
        <v>46.0416</v>
      </c>
      <c r="K217" s="36">
        <f t="shared" si="2"/>
        <v>41.856</v>
      </c>
      <c r="L217" s="8">
        <f t="shared" si="3"/>
        <v>0.4239751598</v>
      </c>
      <c r="M217" s="8">
        <f t="shared" si="4"/>
        <v>0.1271925479</v>
      </c>
      <c r="N217" s="8">
        <f t="shared" si="5"/>
        <v>0.02543850959</v>
      </c>
      <c r="O217" s="8">
        <f t="shared" si="6"/>
        <v>0.083712</v>
      </c>
      <c r="P217" s="8">
        <f t="shared" si="7"/>
        <v>0.125568</v>
      </c>
      <c r="Q217" s="8">
        <f t="shared" si="8"/>
        <v>0.041856</v>
      </c>
      <c r="R217" s="57"/>
      <c r="S217" s="57"/>
      <c r="T217" s="57"/>
      <c r="U217" s="57"/>
      <c r="V217" s="57"/>
      <c r="W217" s="57"/>
      <c r="X217" s="57"/>
      <c r="Y217" s="57"/>
      <c r="Z217" s="17"/>
    </row>
    <row r="218" ht="34.5" customHeight="1">
      <c r="A218" s="54" t="s">
        <v>221</v>
      </c>
      <c r="B218" s="34" t="s">
        <v>222</v>
      </c>
      <c r="C218" s="34" t="s">
        <v>222</v>
      </c>
      <c r="D218" s="34" t="s">
        <v>258</v>
      </c>
      <c r="E218" s="34">
        <v>15.0</v>
      </c>
      <c r="F218" s="35">
        <v>9.56</v>
      </c>
      <c r="G218" s="34">
        <v>1.0</v>
      </c>
      <c r="H218" s="35">
        <v>100.0</v>
      </c>
      <c r="I218" s="35">
        <v>100.0</v>
      </c>
      <c r="J218" s="36">
        <f t="shared" si="1"/>
        <v>14.9226</v>
      </c>
      <c r="K218" s="36">
        <f t="shared" si="2"/>
        <v>13.566</v>
      </c>
      <c r="L218" s="8">
        <f t="shared" si="3"/>
        <v>0.1374151142</v>
      </c>
      <c r="M218" s="8">
        <f t="shared" si="4"/>
        <v>0.04122453425</v>
      </c>
      <c r="N218" s="8">
        <f t="shared" si="5"/>
        <v>0.008244906849</v>
      </c>
      <c r="O218" s="8">
        <f t="shared" si="6"/>
        <v>0.027132</v>
      </c>
      <c r="P218" s="8">
        <f t="shared" si="7"/>
        <v>0.040698</v>
      </c>
      <c r="Q218" s="8">
        <f t="shared" si="8"/>
        <v>0.013566</v>
      </c>
      <c r="R218" s="57"/>
      <c r="S218" s="57"/>
      <c r="T218" s="57"/>
      <c r="U218" s="57"/>
      <c r="V218" s="57"/>
      <c r="W218" s="57"/>
      <c r="X218" s="57"/>
      <c r="Y218" s="57"/>
      <c r="Z218" s="17"/>
    </row>
    <row r="219" ht="34.5" customHeight="1">
      <c r="A219" s="54" t="s">
        <v>221</v>
      </c>
      <c r="B219" s="34" t="s">
        <v>222</v>
      </c>
      <c r="C219" s="34" t="s">
        <v>222</v>
      </c>
      <c r="D219" s="34" t="s">
        <v>259</v>
      </c>
      <c r="E219" s="34">
        <v>207.0</v>
      </c>
      <c r="F219" s="35">
        <v>49.25</v>
      </c>
      <c r="G219" s="34">
        <v>10.0</v>
      </c>
      <c r="H219" s="35">
        <v>78.36</v>
      </c>
      <c r="I219" s="35">
        <v>100.0</v>
      </c>
      <c r="J219" s="36">
        <f t="shared" si="1"/>
        <v>115.55775</v>
      </c>
      <c r="K219" s="36">
        <f t="shared" si="2"/>
        <v>105.0525</v>
      </c>
      <c r="L219" s="8">
        <f t="shared" si="3"/>
        <v>1.064116267</v>
      </c>
      <c r="M219" s="8">
        <f t="shared" si="4"/>
        <v>0.3192348801</v>
      </c>
      <c r="N219" s="8">
        <f t="shared" si="5"/>
        <v>0.06384697603</v>
      </c>
      <c r="O219" s="8">
        <f t="shared" si="6"/>
        <v>0.210105</v>
      </c>
      <c r="P219" s="8">
        <f t="shared" si="7"/>
        <v>0.3151575</v>
      </c>
      <c r="Q219" s="8">
        <f t="shared" si="8"/>
        <v>0.1050525</v>
      </c>
      <c r="R219" s="57"/>
      <c r="S219" s="57"/>
      <c r="T219" s="57"/>
      <c r="U219" s="57"/>
      <c r="V219" s="57"/>
      <c r="W219" s="57"/>
      <c r="X219" s="57"/>
      <c r="Y219" s="57"/>
      <c r="Z219" s="17"/>
    </row>
    <row r="220" ht="34.5" customHeight="1">
      <c r="A220" s="54" t="s">
        <v>221</v>
      </c>
      <c r="B220" s="34" t="s">
        <v>222</v>
      </c>
      <c r="C220" s="34" t="s">
        <v>222</v>
      </c>
      <c r="D220" s="34" t="s">
        <v>260</v>
      </c>
      <c r="E220" s="34">
        <v>89.0</v>
      </c>
      <c r="F220" s="35">
        <v>24.08</v>
      </c>
      <c r="G220" s="34">
        <v>3.0</v>
      </c>
      <c r="H220" s="35">
        <v>100.0</v>
      </c>
      <c r="I220" s="35">
        <v>100.0</v>
      </c>
      <c r="J220" s="36">
        <f t="shared" si="1"/>
        <v>74.32568</v>
      </c>
      <c r="K220" s="36">
        <f t="shared" si="2"/>
        <v>67.5688</v>
      </c>
      <c r="L220" s="8">
        <f t="shared" si="3"/>
        <v>0.6844297778</v>
      </c>
      <c r="M220" s="8">
        <f t="shared" si="4"/>
        <v>0.2053289333</v>
      </c>
      <c r="N220" s="8">
        <f t="shared" si="5"/>
        <v>0.04106578667</v>
      </c>
      <c r="O220" s="8">
        <f t="shared" si="6"/>
        <v>0.1351376</v>
      </c>
      <c r="P220" s="8">
        <f t="shared" si="7"/>
        <v>0.2027064</v>
      </c>
      <c r="Q220" s="8">
        <f t="shared" si="8"/>
        <v>0.0675688</v>
      </c>
      <c r="R220" s="57"/>
      <c r="S220" s="57"/>
      <c r="T220" s="57"/>
      <c r="U220" s="57"/>
      <c r="V220" s="57"/>
      <c r="W220" s="57"/>
      <c r="X220" s="57"/>
      <c r="Y220" s="57"/>
      <c r="Z220" s="17"/>
    </row>
    <row r="221" ht="34.5" customHeight="1">
      <c r="A221" s="54" t="s">
        <v>221</v>
      </c>
      <c r="B221" s="34" t="s">
        <v>222</v>
      </c>
      <c r="C221" s="34" t="s">
        <v>222</v>
      </c>
      <c r="D221" s="34" t="s">
        <v>261</v>
      </c>
      <c r="E221" s="34">
        <v>56.0</v>
      </c>
      <c r="F221" s="35">
        <v>4.69</v>
      </c>
      <c r="G221" s="34">
        <v>1.0</v>
      </c>
      <c r="H221" s="35">
        <v>100.0</v>
      </c>
      <c r="I221" s="35">
        <v>100.0</v>
      </c>
      <c r="J221" s="36">
        <f t="shared" si="1"/>
        <v>58.71096</v>
      </c>
      <c r="K221" s="36">
        <f t="shared" si="2"/>
        <v>53.3736</v>
      </c>
      <c r="L221" s="8">
        <f t="shared" si="3"/>
        <v>0.5406412603</v>
      </c>
      <c r="M221" s="8">
        <f t="shared" si="4"/>
        <v>0.1621923781</v>
      </c>
      <c r="N221" s="8">
        <f t="shared" si="5"/>
        <v>0.03243847562</v>
      </c>
      <c r="O221" s="8">
        <f t="shared" si="6"/>
        <v>0.1067472</v>
      </c>
      <c r="P221" s="8">
        <f t="shared" si="7"/>
        <v>0.1601208</v>
      </c>
      <c r="Q221" s="8">
        <f t="shared" si="8"/>
        <v>0.0533736</v>
      </c>
      <c r="R221" s="57"/>
      <c r="S221" s="57"/>
      <c r="T221" s="57"/>
      <c r="U221" s="57"/>
      <c r="V221" s="57"/>
      <c r="W221" s="57"/>
      <c r="X221" s="57"/>
      <c r="Y221" s="57"/>
      <c r="Z221" s="17"/>
    </row>
    <row r="222" ht="34.5" customHeight="1">
      <c r="A222" s="54" t="s">
        <v>221</v>
      </c>
      <c r="B222" s="34" t="s">
        <v>222</v>
      </c>
      <c r="C222" s="34" t="s">
        <v>222</v>
      </c>
      <c r="D222" s="34" t="s">
        <v>262</v>
      </c>
      <c r="E222" s="34">
        <v>88.0</v>
      </c>
      <c r="F222" s="35">
        <v>17.28</v>
      </c>
      <c r="G222" s="34">
        <v>3.0</v>
      </c>
      <c r="H222" s="35">
        <v>0.0</v>
      </c>
      <c r="I222" s="35">
        <v>0.0</v>
      </c>
      <c r="J222" s="36">
        <f t="shared" si="1"/>
        <v>80.07296</v>
      </c>
      <c r="K222" s="36">
        <f t="shared" si="2"/>
        <v>72.7936</v>
      </c>
      <c r="L222" s="8">
        <f t="shared" si="3"/>
        <v>0.7373537412</v>
      </c>
      <c r="M222" s="8">
        <f t="shared" si="4"/>
        <v>0.2212061224</v>
      </c>
      <c r="N222" s="8">
        <f t="shared" si="5"/>
        <v>0.04424122447</v>
      </c>
      <c r="O222" s="8">
        <f t="shared" si="6"/>
        <v>0.1455872</v>
      </c>
      <c r="P222" s="8">
        <f t="shared" si="7"/>
        <v>0.2183808</v>
      </c>
      <c r="Q222" s="8">
        <f t="shared" si="8"/>
        <v>0.0727936</v>
      </c>
      <c r="R222" s="57"/>
      <c r="S222" s="57"/>
      <c r="T222" s="57"/>
      <c r="U222" s="57"/>
      <c r="V222" s="57"/>
      <c r="W222" s="57"/>
      <c r="X222" s="57"/>
      <c r="Y222" s="57"/>
      <c r="Z222" s="17"/>
    </row>
    <row r="223" ht="34.5" customHeight="1">
      <c r="A223" s="54" t="s">
        <v>221</v>
      </c>
      <c r="B223" s="34" t="s">
        <v>222</v>
      </c>
      <c r="C223" s="34" t="s">
        <v>263</v>
      </c>
      <c r="D223" s="34" t="s">
        <v>264</v>
      </c>
      <c r="E223" s="34">
        <v>109.0</v>
      </c>
      <c r="F223" s="35">
        <v>8.03</v>
      </c>
      <c r="G223" s="34">
        <v>3.0</v>
      </c>
      <c r="H223" s="35">
        <v>92.84</v>
      </c>
      <c r="I223" s="35">
        <v>100.0</v>
      </c>
      <c r="J223" s="36">
        <f t="shared" si="1"/>
        <v>110.27203</v>
      </c>
      <c r="K223" s="36">
        <f t="shared" si="2"/>
        <v>100.2473</v>
      </c>
      <c r="L223" s="8">
        <f t="shared" si="3"/>
        <v>1.01544259</v>
      </c>
      <c r="M223" s="8">
        <f t="shared" si="4"/>
        <v>0.3046327769</v>
      </c>
      <c r="N223" s="8">
        <f t="shared" si="5"/>
        <v>0.06092655539</v>
      </c>
      <c r="O223" s="8">
        <f t="shared" si="6"/>
        <v>0.2004946</v>
      </c>
      <c r="P223" s="8">
        <f t="shared" si="7"/>
        <v>0.3007419</v>
      </c>
      <c r="Q223" s="8">
        <f t="shared" si="8"/>
        <v>0.1002473</v>
      </c>
      <c r="R223" s="57"/>
      <c r="S223" s="57"/>
      <c r="T223" s="57"/>
      <c r="U223" s="57"/>
      <c r="V223" s="57"/>
      <c r="W223" s="57"/>
      <c r="X223" s="57"/>
      <c r="Y223" s="57"/>
      <c r="Z223" s="17"/>
    </row>
    <row r="224" ht="34.5" customHeight="1">
      <c r="A224" s="54" t="s">
        <v>221</v>
      </c>
      <c r="B224" s="34" t="s">
        <v>222</v>
      </c>
      <c r="C224" s="34" t="s">
        <v>263</v>
      </c>
      <c r="D224" s="34" t="s">
        <v>265</v>
      </c>
      <c r="E224" s="34">
        <v>98.0</v>
      </c>
      <c r="F224" s="35">
        <v>15.35</v>
      </c>
      <c r="G224" s="34">
        <v>2.0</v>
      </c>
      <c r="H224" s="35">
        <v>66.14</v>
      </c>
      <c r="I224" s="35">
        <v>100.0</v>
      </c>
      <c r="J224" s="36">
        <f t="shared" si="1"/>
        <v>91.2527</v>
      </c>
      <c r="K224" s="36">
        <f t="shared" si="2"/>
        <v>82.957</v>
      </c>
      <c r="L224" s="8">
        <f t="shared" si="3"/>
        <v>0.8403026408</v>
      </c>
      <c r="M224" s="8">
        <f t="shared" si="4"/>
        <v>0.2520907922</v>
      </c>
      <c r="N224" s="8">
        <f t="shared" si="5"/>
        <v>0.05041815845</v>
      </c>
      <c r="O224" s="8">
        <f t="shared" si="6"/>
        <v>0.165914</v>
      </c>
      <c r="P224" s="8">
        <f t="shared" si="7"/>
        <v>0.248871</v>
      </c>
      <c r="Q224" s="8">
        <f t="shared" si="8"/>
        <v>0.082957</v>
      </c>
      <c r="R224" s="57"/>
      <c r="S224" s="57"/>
      <c r="T224" s="57"/>
      <c r="U224" s="57"/>
      <c r="V224" s="57"/>
      <c r="W224" s="57"/>
      <c r="X224" s="57"/>
      <c r="Y224" s="57"/>
      <c r="Z224" s="17"/>
    </row>
    <row r="225" ht="34.5" customHeight="1">
      <c r="A225" s="54" t="s">
        <v>221</v>
      </c>
      <c r="B225" s="34" t="s">
        <v>222</v>
      </c>
      <c r="C225" s="34" t="s">
        <v>263</v>
      </c>
      <c r="D225" s="34" t="s">
        <v>266</v>
      </c>
      <c r="E225" s="34">
        <v>135.0</v>
      </c>
      <c r="F225" s="35">
        <v>19.39</v>
      </c>
      <c r="G225" s="34">
        <v>3.0</v>
      </c>
      <c r="H225" s="35">
        <v>27.78</v>
      </c>
      <c r="I225" s="35">
        <v>100.0</v>
      </c>
      <c r="J225" s="36">
        <f t="shared" si="1"/>
        <v>119.70585</v>
      </c>
      <c r="K225" s="36">
        <f t="shared" si="2"/>
        <v>108.8235</v>
      </c>
      <c r="L225" s="8">
        <f t="shared" si="3"/>
        <v>1.102314144</v>
      </c>
      <c r="M225" s="8">
        <f t="shared" si="4"/>
        <v>0.3306942432</v>
      </c>
      <c r="N225" s="8">
        <f t="shared" si="5"/>
        <v>0.06613884863</v>
      </c>
      <c r="O225" s="8">
        <f t="shared" si="6"/>
        <v>0.217647</v>
      </c>
      <c r="P225" s="8">
        <f t="shared" si="7"/>
        <v>0.3264705</v>
      </c>
      <c r="Q225" s="8">
        <f t="shared" si="8"/>
        <v>0.1088235</v>
      </c>
      <c r="R225" s="57"/>
      <c r="S225" s="57"/>
      <c r="T225" s="57"/>
      <c r="U225" s="57"/>
      <c r="V225" s="57"/>
      <c r="W225" s="57"/>
      <c r="X225" s="57"/>
      <c r="Y225" s="57"/>
      <c r="Z225" s="17"/>
    </row>
    <row r="226" ht="34.5" customHeight="1">
      <c r="A226" s="54" t="s">
        <v>221</v>
      </c>
      <c r="B226" s="34" t="s">
        <v>222</v>
      </c>
      <c r="C226" s="34" t="s">
        <v>263</v>
      </c>
      <c r="D226" s="34" t="s">
        <v>267</v>
      </c>
      <c r="E226" s="34">
        <v>72.0</v>
      </c>
      <c r="F226" s="35">
        <v>9.06</v>
      </c>
      <c r="G226" s="34">
        <v>2.0</v>
      </c>
      <c r="H226" s="35">
        <v>0.0</v>
      </c>
      <c r="I226" s="35">
        <v>0.0</v>
      </c>
      <c r="J226" s="36">
        <f t="shared" si="1"/>
        <v>72.02448</v>
      </c>
      <c r="K226" s="36">
        <f t="shared" si="2"/>
        <v>65.4768</v>
      </c>
      <c r="L226" s="8">
        <f t="shared" si="3"/>
        <v>0.6632391233</v>
      </c>
      <c r="M226" s="8">
        <f t="shared" si="4"/>
        <v>0.198971737</v>
      </c>
      <c r="N226" s="8">
        <f t="shared" si="5"/>
        <v>0.0397943474</v>
      </c>
      <c r="O226" s="8">
        <f t="shared" si="6"/>
        <v>0.1309536</v>
      </c>
      <c r="P226" s="8">
        <f t="shared" si="7"/>
        <v>0.1964304</v>
      </c>
      <c r="Q226" s="8">
        <f t="shared" si="8"/>
        <v>0.0654768</v>
      </c>
      <c r="R226" s="57"/>
      <c r="S226" s="57"/>
      <c r="T226" s="57"/>
      <c r="U226" s="57"/>
      <c r="V226" s="57"/>
      <c r="W226" s="57"/>
      <c r="X226" s="57"/>
      <c r="Y226" s="57"/>
      <c r="Z226" s="17"/>
    </row>
    <row r="227" ht="34.5" customHeight="1">
      <c r="A227" s="54" t="s">
        <v>221</v>
      </c>
      <c r="B227" s="34" t="s">
        <v>222</v>
      </c>
      <c r="C227" s="34" t="s">
        <v>263</v>
      </c>
      <c r="D227" s="34" t="s">
        <v>268</v>
      </c>
      <c r="E227" s="34">
        <v>61.0</v>
      </c>
      <c r="F227" s="35">
        <v>9.33</v>
      </c>
      <c r="G227" s="34">
        <v>2.0</v>
      </c>
      <c r="H227" s="35">
        <v>44.5</v>
      </c>
      <c r="I227" s="35">
        <v>100.0</v>
      </c>
      <c r="J227" s="36">
        <f t="shared" si="1"/>
        <v>60.83957</v>
      </c>
      <c r="K227" s="36">
        <f t="shared" si="2"/>
        <v>55.3087</v>
      </c>
      <c r="L227" s="8">
        <f t="shared" si="3"/>
        <v>0.5602426157</v>
      </c>
      <c r="M227" s="8">
        <f t="shared" si="4"/>
        <v>0.1680727847</v>
      </c>
      <c r="N227" s="8">
        <f t="shared" si="5"/>
        <v>0.03361455694</v>
      </c>
      <c r="O227" s="8">
        <f t="shared" si="6"/>
        <v>0.1106174</v>
      </c>
      <c r="P227" s="8">
        <f t="shared" si="7"/>
        <v>0.1659261</v>
      </c>
      <c r="Q227" s="8">
        <f t="shared" si="8"/>
        <v>0.0553087</v>
      </c>
      <c r="R227" s="57"/>
      <c r="S227" s="57"/>
      <c r="T227" s="57"/>
      <c r="U227" s="57"/>
      <c r="V227" s="57"/>
      <c r="W227" s="57"/>
      <c r="X227" s="57"/>
      <c r="Y227" s="57"/>
      <c r="Z227" s="17"/>
    </row>
    <row r="228" ht="34.5" customHeight="1">
      <c r="A228" s="54" t="s">
        <v>221</v>
      </c>
      <c r="B228" s="34" t="s">
        <v>222</v>
      </c>
      <c r="C228" s="34" t="s">
        <v>263</v>
      </c>
      <c r="D228" s="34" t="s">
        <v>269</v>
      </c>
      <c r="E228" s="34">
        <v>142.0</v>
      </c>
      <c r="F228" s="35">
        <v>20.92</v>
      </c>
      <c r="G228" s="34">
        <v>2.0</v>
      </c>
      <c r="H228" s="35">
        <v>23.04</v>
      </c>
      <c r="I228" s="35">
        <v>23.04</v>
      </c>
      <c r="J228" s="36">
        <f t="shared" si="1"/>
        <v>123.52296</v>
      </c>
      <c r="K228" s="36">
        <f t="shared" si="2"/>
        <v>112.2936</v>
      </c>
      <c r="L228" s="8">
        <f t="shared" si="3"/>
        <v>1.137464091</v>
      </c>
      <c r="M228" s="8">
        <f t="shared" si="4"/>
        <v>0.3412392274</v>
      </c>
      <c r="N228" s="8">
        <f t="shared" si="5"/>
        <v>0.06824784548</v>
      </c>
      <c r="O228" s="8">
        <f t="shared" si="6"/>
        <v>0.2245872</v>
      </c>
      <c r="P228" s="8">
        <f t="shared" si="7"/>
        <v>0.3368808</v>
      </c>
      <c r="Q228" s="8">
        <f t="shared" si="8"/>
        <v>0.1122936</v>
      </c>
      <c r="R228" s="57"/>
      <c r="S228" s="57"/>
      <c r="T228" s="57"/>
      <c r="U228" s="57"/>
      <c r="V228" s="57"/>
      <c r="W228" s="57"/>
      <c r="X228" s="57"/>
      <c r="Y228" s="57"/>
      <c r="Z228" s="17"/>
    </row>
    <row r="229" ht="34.5" customHeight="1">
      <c r="A229" s="54" t="s">
        <v>221</v>
      </c>
      <c r="B229" s="34" t="s">
        <v>222</v>
      </c>
      <c r="C229" s="34" t="s">
        <v>263</v>
      </c>
      <c r="D229" s="34" t="s">
        <v>270</v>
      </c>
      <c r="E229" s="34">
        <v>17.0</v>
      </c>
      <c r="F229" s="35">
        <v>5.46</v>
      </c>
      <c r="G229" s="34">
        <v>0.0</v>
      </c>
      <c r="H229" s="35">
        <v>0.0</v>
      </c>
      <c r="I229" s="35">
        <v>0.0</v>
      </c>
      <c r="J229" s="36">
        <f t="shared" si="1"/>
        <v>17.67898</v>
      </c>
      <c r="K229" s="36">
        <f t="shared" si="2"/>
        <v>16.0718</v>
      </c>
      <c r="L229" s="8">
        <f t="shared" si="3"/>
        <v>0.1627973044</v>
      </c>
      <c r="M229" s="8">
        <f t="shared" si="4"/>
        <v>0.04883919132</v>
      </c>
      <c r="N229" s="8">
        <f t="shared" si="5"/>
        <v>0.009767838265</v>
      </c>
      <c r="O229" s="8">
        <f t="shared" si="6"/>
        <v>0.0321436</v>
      </c>
      <c r="P229" s="8">
        <f t="shared" si="7"/>
        <v>0.0482154</v>
      </c>
      <c r="Q229" s="8">
        <f t="shared" si="8"/>
        <v>0.0160718</v>
      </c>
      <c r="R229" s="57"/>
      <c r="S229" s="57"/>
      <c r="T229" s="57"/>
      <c r="U229" s="57"/>
      <c r="V229" s="57"/>
      <c r="W229" s="57"/>
      <c r="X229" s="57"/>
      <c r="Y229" s="57"/>
      <c r="Z229" s="17"/>
    </row>
    <row r="230" ht="34.5" customHeight="1">
      <c r="A230" s="54" t="s">
        <v>221</v>
      </c>
      <c r="B230" s="34" t="s">
        <v>222</v>
      </c>
      <c r="C230" s="34" t="s">
        <v>263</v>
      </c>
      <c r="D230" s="34" t="s">
        <v>263</v>
      </c>
      <c r="E230" s="34">
        <v>1139.0</v>
      </c>
      <c r="F230" s="35">
        <v>21.62</v>
      </c>
      <c r="G230" s="34">
        <v>17.0</v>
      </c>
      <c r="H230" s="35">
        <v>15.19</v>
      </c>
      <c r="I230" s="35">
        <v>83.78</v>
      </c>
      <c r="J230" s="36">
        <f t="shared" si="1"/>
        <v>982.02302</v>
      </c>
      <c r="K230" s="36">
        <f t="shared" si="2"/>
        <v>892.7482</v>
      </c>
      <c r="L230" s="8">
        <f t="shared" si="3"/>
        <v>9.042982148</v>
      </c>
      <c r="M230" s="8">
        <f t="shared" si="4"/>
        <v>2.712894644</v>
      </c>
      <c r="N230" s="8">
        <f t="shared" si="5"/>
        <v>0.5425789289</v>
      </c>
      <c r="O230" s="8">
        <f t="shared" si="6"/>
        <v>1.7854964</v>
      </c>
      <c r="P230" s="8">
        <f t="shared" si="7"/>
        <v>2.6782446</v>
      </c>
      <c r="Q230" s="8">
        <f t="shared" si="8"/>
        <v>0.8927482</v>
      </c>
      <c r="R230" s="57"/>
      <c r="S230" s="57"/>
      <c r="T230" s="57"/>
      <c r="U230" s="57"/>
      <c r="V230" s="57"/>
      <c r="W230" s="57"/>
      <c r="X230" s="57"/>
      <c r="Y230" s="57"/>
      <c r="Z230" s="17"/>
    </row>
    <row r="231" ht="34.5" customHeight="1">
      <c r="A231" s="54" t="s">
        <v>221</v>
      </c>
      <c r="B231" s="34" t="s">
        <v>222</v>
      </c>
      <c r="C231" s="34" t="s">
        <v>263</v>
      </c>
      <c r="D231" s="34" t="s">
        <v>271</v>
      </c>
      <c r="E231" s="34">
        <v>43.0</v>
      </c>
      <c r="F231" s="35">
        <v>9.49</v>
      </c>
      <c r="G231" s="34">
        <v>1.0</v>
      </c>
      <c r="H231" s="35">
        <v>75.97</v>
      </c>
      <c r="I231" s="35">
        <v>100.0</v>
      </c>
      <c r="J231" s="36">
        <f t="shared" si="1"/>
        <v>42.81123</v>
      </c>
      <c r="K231" s="36">
        <f t="shared" si="2"/>
        <v>38.9193</v>
      </c>
      <c r="L231" s="8">
        <f t="shared" si="3"/>
        <v>0.3942282215</v>
      </c>
      <c r="M231" s="8">
        <f t="shared" si="4"/>
        <v>0.1182684664</v>
      </c>
      <c r="N231" s="8">
        <f t="shared" si="5"/>
        <v>0.02365369329</v>
      </c>
      <c r="O231" s="8">
        <f t="shared" si="6"/>
        <v>0.0778386</v>
      </c>
      <c r="P231" s="8">
        <f t="shared" si="7"/>
        <v>0.1167579</v>
      </c>
      <c r="Q231" s="8">
        <f t="shared" si="8"/>
        <v>0.0389193</v>
      </c>
      <c r="R231" s="57"/>
      <c r="S231" s="57"/>
      <c r="T231" s="57"/>
      <c r="U231" s="57"/>
      <c r="V231" s="57"/>
      <c r="W231" s="57"/>
      <c r="X231" s="57"/>
      <c r="Y231" s="57"/>
      <c r="Z231" s="17"/>
    </row>
    <row r="232" ht="34.5" customHeight="1">
      <c r="A232" s="54" t="s">
        <v>221</v>
      </c>
      <c r="B232" s="34" t="s">
        <v>222</v>
      </c>
      <c r="C232" s="34" t="s">
        <v>263</v>
      </c>
      <c r="D232" s="34" t="s">
        <v>272</v>
      </c>
      <c r="E232" s="34">
        <v>113.0</v>
      </c>
      <c r="F232" s="35">
        <v>10.19</v>
      </c>
      <c r="G232" s="34">
        <v>3.0</v>
      </c>
      <c r="H232" s="35">
        <v>73.95</v>
      </c>
      <c r="I232" s="35">
        <v>100.0</v>
      </c>
      <c r="J232" s="36">
        <f t="shared" si="1"/>
        <v>111.63383</v>
      </c>
      <c r="K232" s="36">
        <f t="shared" si="2"/>
        <v>101.4853</v>
      </c>
      <c r="L232" s="8">
        <f t="shared" si="3"/>
        <v>1.027982757</v>
      </c>
      <c r="M232" s="8">
        <f t="shared" si="4"/>
        <v>0.3083948272</v>
      </c>
      <c r="N232" s="8">
        <f t="shared" si="5"/>
        <v>0.06167896543</v>
      </c>
      <c r="O232" s="8">
        <f t="shared" si="6"/>
        <v>0.2029706</v>
      </c>
      <c r="P232" s="8">
        <f t="shared" si="7"/>
        <v>0.3044559</v>
      </c>
      <c r="Q232" s="8">
        <f t="shared" si="8"/>
        <v>0.1014853</v>
      </c>
      <c r="R232" s="57"/>
      <c r="S232" s="57"/>
      <c r="T232" s="57"/>
      <c r="U232" s="57"/>
      <c r="V232" s="57"/>
      <c r="W232" s="57"/>
      <c r="X232" s="57"/>
      <c r="Y232" s="57"/>
      <c r="Z232" s="17"/>
    </row>
    <row r="233" ht="34.5" customHeight="1">
      <c r="A233" s="54" t="s">
        <v>221</v>
      </c>
      <c r="B233" s="34" t="s">
        <v>222</v>
      </c>
      <c r="C233" s="34" t="s">
        <v>263</v>
      </c>
      <c r="D233" s="34" t="s">
        <v>273</v>
      </c>
      <c r="E233" s="34">
        <v>556.0</v>
      </c>
      <c r="F233" s="35">
        <v>22.63</v>
      </c>
      <c r="G233" s="34">
        <v>8.0</v>
      </c>
      <c r="H233" s="35">
        <v>43.42</v>
      </c>
      <c r="I233" s="35">
        <v>49.71</v>
      </c>
      <c r="J233" s="36">
        <f t="shared" si="1"/>
        <v>473.19492</v>
      </c>
      <c r="K233" s="36">
        <f t="shared" si="2"/>
        <v>430.1772</v>
      </c>
      <c r="L233" s="8">
        <f t="shared" si="3"/>
        <v>4.357426584</v>
      </c>
      <c r="M233" s="8">
        <f t="shared" si="4"/>
        <v>1.307227975</v>
      </c>
      <c r="N233" s="8">
        <f t="shared" si="5"/>
        <v>0.2614455951</v>
      </c>
      <c r="O233" s="8">
        <f t="shared" si="6"/>
        <v>0.8603544</v>
      </c>
      <c r="P233" s="8">
        <f t="shared" si="7"/>
        <v>1.2905316</v>
      </c>
      <c r="Q233" s="8">
        <f t="shared" si="8"/>
        <v>0.4301772</v>
      </c>
      <c r="R233" s="57"/>
      <c r="S233" s="57"/>
      <c r="T233" s="57"/>
      <c r="U233" s="57"/>
      <c r="V233" s="57"/>
      <c r="W233" s="57"/>
      <c r="X233" s="57"/>
      <c r="Y233" s="57"/>
      <c r="Z233" s="17"/>
    </row>
    <row r="234" ht="34.5" customHeight="1">
      <c r="A234" s="54" t="s">
        <v>221</v>
      </c>
      <c r="B234" s="34" t="s">
        <v>222</v>
      </c>
      <c r="C234" s="34" t="s">
        <v>263</v>
      </c>
      <c r="D234" s="34" t="s">
        <v>274</v>
      </c>
      <c r="E234" s="34">
        <v>87.0</v>
      </c>
      <c r="F234" s="35">
        <v>22.13</v>
      </c>
      <c r="G234" s="34">
        <v>4.0</v>
      </c>
      <c r="H234" s="35">
        <v>100.0</v>
      </c>
      <c r="I234" s="35">
        <v>100.0</v>
      </c>
      <c r="J234" s="36">
        <f t="shared" si="1"/>
        <v>74.52159</v>
      </c>
      <c r="K234" s="36">
        <f t="shared" si="2"/>
        <v>67.7469</v>
      </c>
      <c r="L234" s="8">
        <f t="shared" si="3"/>
        <v>0.6862338196</v>
      </c>
      <c r="M234" s="8">
        <f t="shared" si="4"/>
        <v>0.2058701459</v>
      </c>
      <c r="N234" s="8">
        <f t="shared" si="5"/>
        <v>0.04117402918</v>
      </c>
      <c r="O234" s="8">
        <f t="shared" si="6"/>
        <v>0.1354938</v>
      </c>
      <c r="P234" s="8">
        <f t="shared" si="7"/>
        <v>0.2032407</v>
      </c>
      <c r="Q234" s="8">
        <f t="shared" si="8"/>
        <v>0.0677469</v>
      </c>
      <c r="R234" s="57"/>
      <c r="S234" s="57"/>
      <c r="T234" s="57"/>
      <c r="U234" s="57"/>
      <c r="V234" s="57"/>
      <c r="W234" s="57"/>
      <c r="X234" s="57"/>
      <c r="Y234" s="57"/>
      <c r="Z234" s="17"/>
    </row>
    <row r="235" ht="34.5" customHeight="1">
      <c r="A235" s="54" t="s">
        <v>221</v>
      </c>
      <c r="B235" s="34" t="s">
        <v>222</v>
      </c>
      <c r="C235" s="34" t="s">
        <v>263</v>
      </c>
      <c r="D235" s="34" t="s">
        <v>275</v>
      </c>
      <c r="E235" s="34">
        <v>21.0</v>
      </c>
      <c r="F235" s="35">
        <v>2.78</v>
      </c>
      <c r="G235" s="34">
        <v>1.0</v>
      </c>
      <c r="H235" s="35">
        <v>100.0</v>
      </c>
      <c r="I235" s="35">
        <v>100.0</v>
      </c>
      <c r="J235" s="36">
        <f t="shared" si="1"/>
        <v>22.45782</v>
      </c>
      <c r="K235" s="36">
        <f t="shared" si="2"/>
        <v>20.4162</v>
      </c>
      <c r="L235" s="8">
        <f t="shared" si="3"/>
        <v>0.2068033653</v>
      </c>
      <c r="M235" s="8">
        <f t="shared" si="4"/>
        <v>0.06204100959</v>
      </c>
      <c r="N235" s="8">
        <f t="shared" si="5"/>
        <v>0.01240820192</v>
      </c>
      <c r="O235" s="8">
        <f t="shared" si="6"/>
        <v>0.0408324</v>
      </c>
      <c r="P235" s="8">
        <f t="shared" si="7"/>
        <v>0.0612486</v>
      </c>
      <c r="Q235" s="8">
        <f t="shared" si="8"/>
        <v>0.0204162</v>
      </c>
      <c r="R235" s="57"/>
      <c r="S235" s="57"/>
      <c r="T235" s="57"/>
      <c r="U235" s="57"/>
      <c r="V235" s="57"/>
      <c r="W235" s="57"/>
      <c r="X235" s="57"/>
      <c r="Y235" s="57"/>
      <c r="Z235" s="17"/>
    </row>
    <row r="236" ht="34.5" customHeight="1">
      <c r="A236" s="54" t="s">
        <v>221</v>
      </c>
      <c r="B236" s="34" t="s">
        <v>222</v>
      </c>
      <c r="C236" s="34" t="s">
        <v>276</v>
      </c>
      <c r="D236" s="34" t="s">
        <v>277</v>
      </c>
      <c r="E236" s="34">
        <v>24.0</v>
      </c>
      <c r="F236" s="35">
        <v>5.11</v>
      </c>
      <c r="G236" s="34">
        <v>1.0</v>
      </c>
      <c r="H236" s="35">
        <v>100.0</v>
      </c>
      <c r="I236" s="35">
        <v>100.0</v>
      </c>
      <c r="J236" s="36">
        <f t="shared" si="1"/>
        <v>25.05096</v>
      </c>
      <c r="K236" s="36">
        <f t="shared" si="2"/>
        <v>22.7736</v>
      </c>
      <c r="L236" s="8">
        <f t="shared" si="3"/>
        <v>0.2306823562</v>
      </c>
      <c r="M236" s="8">
        <f t="shared" si="4"/>
        <v>0.06920470685</v>
      </c>
      <c r="N236" s="8">
        <f t="shared" si="5"/>
        <v>0.01384094137</v>
      </c>
      <c r="O236" s="8">
        <f t="shared" si="6"/>
        <v>0.0455472</v>
      </c>
      <c r="P236" s="8">
        <f t="shared" si="7"/>
        <v>0.0683208</v>
      </c>
      <c r="Q236" s="8">
        <f t="shared" si="8"/>
        <v>0.0227736</v>
      </c>
      <c r="R236" s="57"/>
      <c r="S236" s="57"/>
      <c r="T236" s="57"/>
      <c r="U236" s="57"/>
      <c r="V236" s="57"/>
      <c r="W236" s="57"/>
      <c r="X236" s="57"/>
      <c r="Y236" s="57"/>
      <c r="Z236" s="17"/>
    </row>
    <row r="237" ht="34.5" customHeight="1">
      <c r="A237" s="54" t="s">
        <v>221</v>
      </c>
      <c r="B237" s="34" t="s">
        <v>222</v>
      </c>
      <c r="C237" s="34" t="s">
        <v>276</v>
      </c>
      <c r="D237" s="34" t="s">
        <v>278</v>
      </c>
      <c r="E237" s="34">
        <v>231.0</v>
      </c>
      <c r="F237" s="35">
        <v>13.96</v>
      </c>
      <c r="G237" s="34">
        <v>6.0</v>
      </c>
      <c r="H237" s="35">
        <v>32.93</v>
      </c>
      <c r="I237" s="35">
        <v>47.25</v>
      </c>
      <c r="J237" s="36">
        <f t="shared" si="1"/>
        <v>218.62764</v>
      </c>
      <c r="K237" s="36">
        <f t="shared" si="2"/>
        <v>198.7524</v>
      </c>
      <c r="L237" s="8">
        <f t="shared" si="3"/>
        <v>2.013237781</v>
      </c>
      <c r="M237" s="8">
        <f t="shared" si="4"/>
        <v>0.6039713342</v>
      </c>
      <c r="N237" s="8">
        <f t="shared" si="5"/>
        <v>0.1207942668</v>
      </c>
      <c r="O237" s="8">
        <f t="shared" si="6"/>
        <v>0.3975048</v>
      </c>
      <c r="P237" s="8">
        <f t="shared" si="7"/>
        <v>0.5962572</v>
      </c>
      <c r="Q237" s="8">
        <f t="shared" si="8"/>
        <v>0.1987524</v>
      </c>
      <c r="R237" s="57"/>
      <c r="S237" s="57"/>
      <c r="T237" s="57"/>
      <c r="U237" s="57"/>
      <c r="V237" s="57"/>
      <c r="W237" s="57"/>
      <c r="X237" s="57"/>
      <c r="Y237" s="57"/>
      <c r="Z237" s="17"/>
    </row>
    <row r="238" ht="34.5" customHeight="1">
      <c r="A238" s="54" t="s">
        <v>221</v>
      </c>
      <c r="B238" s="34" t="s">
        <v>222</v>
      </c>
      <c r="C238" s="34" t="s">
        <v>276</v>
      </c>
      <c r="D238" s="34" t="s">
        <v>279</v>
      </c>
      <c r="E238" s="34">
        <v>109.0</v>
      </c>
      <c r="F238" s="35">
        <v>9.56</v>
      </c>
      <c r="G238" s="34">
        <v>3.0</v>
      </c>
      <c r="H238" s="35">
        <v>100.0</v>
      </c>
      <c r="I238" s="35">
        <v>100.0</v>
      </c>
      <c r="J238" s="36">
        <f t="shared" si="1"/>
        <v>108.43756</v>
      </c>
      <c r="K238" s="36">
        <f t="shared" si="2"/>
        <v>98.5796</v>
      </c>
      <c r="L238" s="8">
        <f t="shared" si="3"/>
        <v>0.9985498295</v>
      </c>
      <c r="M238" s="8">
        <f t="shared" si="4"/>
        <v>0.2995649489</v>
      </c>
      <c r="N238" s="8">
        <f t="shared" si="5"/>
        <v>0.05991298977</v>
      </c>
      <c r="O238" s="8">
        <f t="shared" si="6"/>
        <v>0.1971592</v>
      </c>
      <c r="P238" s="8">
        <f t="shared" si="7"/>
        <v>0.2957388</v>
      </c>
      <c r="Q238" s="8">
        <f t="shared" si="8"/>
        <v>0.0985796</v>
      </c>
      <c r="R238" s="57"/>
      <c r="S238" s="57"/>
      <c r="T238" s="57"/>
      <c r="U238" s="57"/>
      <c r="V238" s="57"/>
      <c r="W238" s="57"/>
      <c r="X238" s="57"/>
      <c r="Y238" s="57"/>
      <c r="Z238" s="17"/>
    </row>
    <row r="239" ht="34.5" customHeight="1">
      <c r="A239" s="54" t="s">
        <v>221</v>
      </c>
      <c r="B239" s="34" t="s">
        <v>222</v>
      </c>
      <c r="C239" s="34" t="s">
        <v>276</v>
      </c>
      <c r="D239" s="34" t="s">
        <v>280</v>
      </c>
      <c r="E239" s="34">
        <v>72.0</v>
      </c>
      <c r="F239" s="35">
        <v>12.47</v>
      </c>
      <c r="G239" s="34">
        <v>2.0</v>
      </c>
      <c r="H239" s="35">
        <v>100.0</v>
      </c>
      <c r="I239" s="35">
        <v>100.0</v>
      </c>
      <c r="J239" s="36">
        <f t="shared" si="1"/>
        <v>69.32376</v>
      </c>
      <c r="K239" s="36">
        <f t="shared" si="2"/>
        <v>63.0216</v>
      </c>
      <c r="L239" s="8">
        <f t="shared" si="3"/>
        <v>0.6383694795</v>
      </c>
      <c r="M239" s="8">
        <f t="shared" si="4"/>
        <v>0.1915108438</v>
      </c>
      <c r="N239" s="8">
        <f t="shared" si="5"/>
        <v>0.03830216877</v>
      </c>
      <c r="O239" s="8">
        <f t="shared" si="6"/>
        <v>0.1260432</v>
      </c>
      <c r="P239" s="8">
        <f t="shared" si="7"/>
        <v>0.1890648</v>
      </c>
      <c r="Q239" s="8">
        <f t="shared" si="8"/>
        <v>0.0630216</v>
      </c>
      <c r="R239" s="57"/>
      <c r="S239" s="57"/>
      <c r="T239" s="57"/>
      <c r="U239" s="57"/>
      <c r="V239" s="57"/>
      <c r="W239" s="57"/>
      <c r="X239" s="57"/>
      <c r="Y239" s="57"/>
      <c r="Z239" s="17"/>
    </row>
    <row r="240" ht="34.5" customHeight="1">
      <c r="A240" s="54" t="s">
        <v>221</v>
      </c>
      <c r="B240" s="34" t="s">
        <v>222</v>
      </c>
      <c r="C240" s="34" t="s">
        <v>276</v>
      </c>
      <c r="D240" s="34" t="s">
        <v>281</v>
      </c>
      <c r="E240" s="34">
        <v>103.0</v>
      </c>
      <c r="F240" s="35">
        <v>10.72</v>
      </c>
      <c r="G240" s="34">
        <v>4.0</v>
      </c>
      <c r="H240" s="35">
        <v>94.4</v>
      </c>
      <c r="I240" s="35">
        <v>94.4</v>
      </c>
      <c r="J240" s="36">
        <f t="shared" si="1"/>
        <v>101.15424</v>
      </c>
      <c r="K240" s="36">
        <f t="shared" si="2"/>
        <v>91.9584</v>
      </c>
      <c r="L240" s="8">
        <f t="shared" si="3"/>
        <v>0.9314812055</v>
      </c>
      <c r="M240" s="8">
        <f t="shared" si="4"/>
        <v>0.2794443616</v>
      </c>
      <c r="N240" s="8">
        <f t="shared" si="5"/>
        <v>0.05588887233</v>
      </c>
      <c r="O240" s="8">
        <f t="shared" si="6"/>
        <v>0.1839168</v>
      </c>
      <c r="P240" s="8">
        <f t="shared" si="7"/>
        <v>0.2758752</v>
      </c>
      <c r="Q240" s="8">
        <f t="shared" si="8"/>
        <v>0.0919584</v>
      </c>
      <c r="R240" s="57"/>
      <c r="S240" s="57"/>
      <c r="T240" s="57"/>
      <c r="U240" s="57"/>
      <c r="V240" s="57"/>
      <c r="W240" s="57"/>
      <c r="X240" s="57"/>
      <c r="Y240" s="57"/>
      <c r="Z240" s="17"/>
    </row>
    <row r="241" ht="34.5" customHeight="1">
      <c r="A241" s="54" t="s">
        <v>221</v>
      </c>
      <c r="B241" s="34" t="s">
        <v>222</v>
      </c>
      <c r="C241" s="34" t="s">
        <v>276</v>
      </c>
      <c r="D241" s="34" t="s">
        <v>282</v>
      </c>
      <c r="E241" s="34">
        <v>40.0</v>
      </c>
      <c r="F241" s="35">
        <v>18.0</v>
      </c>
      <c r="G241" s="34">
        <v>1.0</v>
      </c>
      <c r="H241" s="35">
        <v>100.0</v>
      </c>
      <c r="I241" s="35">
        <v>100.0</v>
      </c>
      <c r="J241" s="36">
        <f t="shared" si="1"/>
        <v>36.08</v>
      </c>
      <c r="K241" s="36">
        <f t="shared" si="2"/>
        <v>32.8</v>
      </c>
      <c r="L241" s="8">
        <f t="shared" si="3"/>
        <v>0.3322435312</v>
      </c>
      <c r="M241" s="8">
        <f t="shared" si="4"/>
        <v>0.09967305936</v>
      </c>
      <c r="N241" s="8">
        <f t="shared" si="5"/>
        <v>0.01993461187</v>
      </c>
      <c r="O241" s="8">
        <f t="shared" si="6"/>
        <v>0.0656</v>
      </c>
      <c r="P241" s="8">
        <f t="shared" si="7"/>
        <v>0.0984</v>
      </c>
      <c r="Q241" s="8">
        <f t="shared" si="8"/>
        <v>0.0328</v>
      </c>
      <c r="R241" s="57"/>
      <c r="S241" s="57"/>
      <c r="T241" s="57"/>
      <c r="U241" s="57"/>
      <c r="V241" s="57"/>
      <c r="W241" s="57"/>
      <c r="X241" s="57"/>
      <c r="Y241" s="57"/>
      <c r="Z241" s="17"/>
    </row>
    <row r="242" ht="34.5" customHeight="1">
      <c r="A242" s="54" t="s">
        <v>221</v>
      </c>
      <c r="B242" s="34" t="s">
        <v>222</v>
      </c>
      <c r="C242" s="34" t="s">
        <v>276</v>
      </c>
      <c r="D242" s="34" t="s">
        <v>283</v>
      </c>
      <c r="E242" s="34">
        <v>101.0</v>
      </c>
      <c r="F242" s="35">
        <v>8.85</v>
      </c>
      <c r="G242" s="34">
        <v>3.0</v>
      </c>
      <c r="H242" s="35">
        <v>100.0</v>
      </c>
      <c r="I242" s="35">
        <v>100.0</v>
      </c>
      <c r="J242" s="36">
        <f t="shared" si="1"/>
        <v>101.26765</v>
      </c>
      <c r="K242" s="36">
        <f t="shared" si="2"/>
        <v>92.0615</v>
      </c>
      <c r="L242" s="8">
        <f t="shared" si="3"/>
        <v>0.9325255441</v>
      </c>
      <c r="M242" s="8">
        <f t="shared" si="4"/>
        <v>0.2797576632</v>
      </c>
      <c r="N242" s="8">
        <f t="shared" si="5"/>
        <v>0.05595153265</v>
      </c>
      <c r="O242" s="8">
        <f t="shared" si="6"/>
        <v>0.184123</v>
      </c>
      <c r="P242" s="8">
        <f t="shared" si="7"/>
        <v>0.2761845</v>
      </c>
      <c r="Q242" s="8">
        <f t="shared" si="8"/>
        <v>0.0920615</v>
      </c>
      <c r="R242" s="57"/>
      <c r="S242" s="57"/>
      <c r="T242" s="57"/>
      <c r="U242" s="57"/>
      <c r="V242" s="57"/>
      <c r="W242" s="57"/>
      <c r="X242" s="57"/>
      <c r="Y242" s="57"/>
      <c r="Z242" s="17"/>
    </row>
    <row r="243" ht="34.5" customHeight="1">
      <c r="A243" s="54" t="s">
        <v>221</v>
      </c>
      <c r="B243" s="38" t="s">
        <v>222</v>
      </c>
      <c r="C243" s="38" t="s">
        <v>276</v>
      </c>
      <c r="D243" s="38" t="s">
        <v>276</v>
      </c>
      <c r="E243" s="34">
        <v>642.0</v>
      </c>
      <c r="F243" s="35">
        <v>19.82</v>
      </c>
      <c r="G243" s="34">
        <v>13.0</v>
      </c>
      <c r="H243" s="35">
        <v>31.59</v>
      </c>
      <c r="I243" s="35">
        <v>55.9</v>
      </c>
      <c r="J243" s="36">
        <f t="shared" si="1"/>
        <v>566.23116</v>
      </c>
      <c r="K243" s="36">
        <f t="shared" si="2"/>
        <v>514.7556</v>
      </c>
      <c r="L243" s="8">
        <f t="shared" si="3"/>
        <v>5.214152995</v>
      </c>
      <c r="M243" s="8">
        <f t="shared" si="4"/>
        <v>1.564245899</v>
      </c>
      <c r="N243" s="8">
        <f t="shared" si="5"/>
        <v>0.3128491797</v>
      </c>
      <c r="O243" s="8">
        <f t="shared" si="6"/>
        <v>1.0295112</v>
      </c>
      <c r="P243" s="8">
        <f t="shared" si="7"/>
        <v>1.5442668</v>
      </c>
      <c r="Q243" s="8">
        <f t="shared" si="8"/>
        <v>0.5147556</v>
      </c>
      <c r="R243" s="57"/>
      <c r="S243" s="57"/>
      <c r="T243" s="57"/>
      <c r="U243" s="57"/>
      <c r="V243" s="57"/>
      <c r="W243" s="57"/>
      <c r="X243" s="57"/>
      <c r="Y243" s="57"/>
      <c r="Z243" s="17"/>
    </row>
    <row r="244" ht="34.5" customHeight="1">
      <c r="A244" s="54" t="s">
        <v>284</v>
      </c>
      <c r="B244" s="5" t="s">
        <v>285</v>
      </c>
      <c r="C244" s="5" t="s">
        <v>286</v>
      </c>
      <c r="D244" s="5" t="s">
        <v>287</v>
      </c>
      <c r="E244" s="5">
        <v>448.0</v>
      </c>
      <c r="F244" s="58">
        <v>16.54</v>
      </c>
      <c r="G244" s="5">
        <v>9.0</v>
      </c>
      <c r="H244" s="58">
        <v>22.12</v>
      </c>
      <c r="I244" s="58">
        <v>53.53</v>
      </c>
      <c r="J244" s="7">
        <f t="shared" si="1"/>
        <v>411.29088</v>
      </c>
      <c r="K244" s="7">
        <f t="shared" si="2"/>
        <v>373.9008</v>
      </c>
      <c r="L244" s="8">
        <f t="shared" si="3"/>
        <v>3.787381772</v>
      </c>
      <c r="M244" s="8">
        <f t="shared" si="4"/>
        <v>1.136214532</v>
      </c>
      <c r="N244" s="8">
        <f t="shared" si="5"/>
        <v>0.2272429063</v>
      </c>
      <c r="O244" s="8">
        <f t="shared" si="6"/>
        <v>0.7478016</v>
      </c>
      <c r="P244" s="8">
        <f t="shared" si="7"/>
        <v>1.1217024</v>
      </c>
      <c r="Q244" s="8">
        <f t="shared" si="8"/>
        <v>0.3739008</v>
      </c>
      <c r="R244" s="57"/>
      <c r="S244" s="57"/>
      <c r="T244" s="57"/>
      <c r="U244" s="57"/>
      <c r="V244" s="57"/>
      <c r="W244" s="57"/>
      <c r="X244" s="57"/>
      <c r="Y244" s="57"/>
      <c r="Z244" s="17"/>
    </row>
    <row r="245" ht="34.5" customHeight="1">
      <c r="A245" s="54" t="s">
        <v>284</v>
      </c>
      <c r="B245" s="5" t="s">
        <v>285</v>
      </c>
      <c r="C245" s="5" t="s">
        <v>286</v>
      </c>
      <c r="D245" s="5" t="s">
        <v>288</v>
      </c>
      <c r="E245" s="5">
        <v>15.0</v>
      </c>
      <c r="F245" s="58">
        <v>6.63</v>
      </c>
      <c r="G245" s="5">
        <v>1.0</v>
      </c>
      <c r="H245" s="58">
        <v>100.0</v>
      </c>
      <c r="I245" s="58">
        <v>100.0</v>
      </c>
      <c r="J245" s="7">
        <f t="shared" si="1"/>
        <v>15.40605</v>
      </c>
      <c r="K245" s="7">
        <f t="shared" si="2"/>
        <v>14.0055</v>
      </c>
      <c r="L245" s="8">
        <f t="shared" si="3"/>
        <v>0.1418669749</v>
      </c>
      <c r="M245" s="8">
        <f t="shared" si="4"/>
        <v>0.04256009247</v>
      </c>
      <c r="N245" s="8">
        <f t="shared" si="5"/>
        <v>0.008512018493</v>
      </c>
      <c r="O245" s="8">
        <f t="shared" si="6"/>
        <v>0.028011</v>
      </c>
      <c r="P245" s="8">
        <f t="shared" si="7"/>
        <v>0.0420165</v>
      </c>
      <c r="Q245" s="8">
        <f t="shared" si="8"/>
        <v>0.0140055</v>
      </c>
      <c r="R245" s="57"/>
      <c r="S245" s="57"/>
      <c r="T245" s="57"/>
      <c r="U245" s="57"/>
      <c r="V245" s="57"/>
      <c r="W245" s="57"/>
      <c r="X245" s="57"/>
      <c r="Y245" s="57"/>
      <c r="Z245" s="17"/>
    </row>
    <row r="246" ht="34.5" customHeight="1">
      <c r="A246" s="54" t="s">
        <v>284</v>
      </c>
      <c r="B246" s="5" t="s">
        <v>285</v>
      </c>
      <c r="C246" s="5" t="s">
        <v>286</v>
      </c>
      <c r="D246" s="5" t="s">
        <v>289</v>
      </c>
      <c r="E246" s="5">
        <v>64.0</v>
      </c>
      <c r="F246" s="58">
        <v>11.58</v>
      </c>
      <c r="G246" s="5">
        <v>3.0</v>
      </c>
      <c r="H246" s="58">
        <v>83.19</v>
      </c>
      <c r="I246" s="58">
        <v>83.19</v>
      </c>
      <c r="J246" s="7">
        <f t="shared" si="1"/>
        <v>62.24768</v>
      </c>
      <c r="K246" s="7">
        <f t="shared" si="2"/>
        <v>56.5888</v>
      </c>
      <c r="L246" s="8">
        <f t="shared" si="3"/>
        <v>0.5732092298</v>
      </c>
      <c r="M246" s="8">
        <f t="shared" si="4"/>
        <v>0.1719627689</v>
      </c>
      <c r="N246" s="8">
        <f t="shared" si="5"/>
        <v>0.03439255379</v>
      </c>
      <c r="O246" s="8">
        <f t="shared" si="6"/>
        <v>0.1131776</v>
      </c>
      <c r="P246" s="8">
        <f t="shared" si="7"/>
        <v>0.1697664</v>
      </c>
      <c r="Q246" s="8">
        <f t="shared" si="8"/>
        <v>0.0565888</v>
      </c>
      <c r="R246" s="57"/>
      <c r="S246" s="57"/>
      <c r="T246" s="57"/>
      <c r="U246" s="57"/>
      <c r="V246" s="57"/>
      <c r="W246" s="57"/>
      <c r="X246" s="57"/>
      <c r="Y246" s="57"/>
      <c r="Z246" s="17"/>
    </row>
    <row r="247" ht="34.5" customHeight="1">
      <c r="A247" s="54" t="s">
        <v>284</v>
      </c>
      <c r="B247" s="5" t="s">
        <v>285</v>
      </c>
      <c r="C247" s="5" t="s">
        <v>286</v>
      </c>
      <c r="D247" s="5" t="s">
        <v>290</v>
      </c>
      <c r="E247" s="5">
        <v>187.0</v>
      </c>
      <c r="F247" s="58">
        <v>17.31</v>
      </c>
      <c r="G247" s="5">
        <v>9.0</v>
      </c>
      <c r="H247" s="58">
        <v>16.58</v>
      </c>
      <c r="I247" s="58">
        <v>35.54</v>
      </c>
      <c r="J247" s="7">
        <f t="shared" si="1"/>
        <v>170.09333</v>
      </c>
      <c r="K247" s="7">
        <f t="shared" si="2"/>
        <v>154.6303</v>
      </c>
      <c r="L247" s="8">
        <f t="shared" si="3"/>
        <v>1.566308442</v>
      </c>
      <c r="M247" s="8">
        <f t="shared" si="4"/>
        <v>0.4698925326</v>
      </c>
      <c r="N247" s="8">
        <f t="shared" si="5"/>
        <v>0.09397850653</v>
      </c>
      <c r="O247" s="8">
        <f t="shared" si="6"/>
        <v>0.3092606</v>
      </c>
      <c r="P247" s="8">
        <f t="shared" si="7"/>
        <v>0.4638909</v>
      </c>
      <c r="Q247" s="8">
        <f t="shared" si="8"/>
        <v>0.1546303</v>
      </c>
      <c r="R247" s="57"/>
      <c r="S247" s="57"/>
      <c r="T247" s="57"/>
      <c r="U247" s="57"/>
      <c r="V247" s="57"/>
      <c r="W247" s="57"/>
      <c r="X247" s="57"/>
      <c r="Y247" s="57"/>
      <c r="Z247" s="17"/>
    </row>
    <row r="248" ht="34.5" customHeight="1">
      <c r="A248" s="54" t="s">
        <v>284</v>
      </c>
      <c r="B248" s="5" t="s">
        <v>285</v>
      </c>
      <c r="C248" s="5" t="s">
        <v>286</v>
      </c>
      <c r="D248" s="5" t="s">
        <v>291</v>
      </c>
      <c r="E248" s="5">
        <v>30.0</v>
      </c>
      <c r="F248" s="58">
        <v>18.56</v>
      </c>
      <c r="G248" s="5">
        <v>2.0</v>
      </c>
      <c r="H248" s="58">
        <v>82.81</v>
      </c>
      <c r="I248" s="58">
        <v>82.81</v>
      </c>
      <c r="J248" s="7">
        <f t="shared" si="1"/>
        <v>26.8752</v>
      </c>
      <c r="K248" s="7">
        <f t="shared" si="2"/>
        <v>24.432</v>
      </c>
      <c r="L248" s="8">
        <f t="shared" si="3"/>
        <v>0.2474809132</v>
      </c>
      <c r="M248" s="8">
        <f t="shared" si="4"/>
        <v>0.07424427397</v>
      </c>
      <c r="N248" s="8">
        <f t="shared" si="5"/>
        <v>0.01484885479</v>
      </c>
      <c r="O248" s="8">
        <f t="shared" si="6"/>
        <v>0.048864</v>
      </c>
      <c r="P248" s="8">
        <f t="shared" si="7"/>
        <v>0.073296</v>
      </c>
      <c r="Q248" s="8">
        <f t="shared" si="8"/>
        <v>0.024432</v>
      </c>
      <c r="R248" s="57"/>
      <c r="S248" s="57"/>
      <c r="T248" s="57"/>
      <c r="U248" s="57"/>
      <c r="V248" s="57"/>
      <c r="W248" s="57"/>
      <c r="X248" s="57"/>
      <c r="Y248" s="57"/>
      <c r="Z248" s="17"/>
    </row>
    <row r="249" ht="34.5" customHeight="1">
      <c r="A249" s="54" t="s">
        <v>284</v>
      </c>
      <c r="B249" s="5" t="s">
        <v>285</v>
      </c>
      <c r="C249" s="5" t="s">
        <v>286</v>
      </c>
      <c r="D249" s="5" t="s">
        <v>292</v>
      </c>
      <c r="E249" s="5">
        <v>18.0</v>
      </c>
      <c r="F249" s="58">
        <v>17.62</v>
      </c>
      <c r="G249" s="5">
        <v>1.0</v>
      </c>
      <c r="H249" s="58">
        <v>0.0</v>
      </c>
      <c r="I249" s="58">
        <v>0.0</v>
      </c>
      <c r="J249" s="7">
        <f t="shared" si="1"/>
        <v>16.31124</v>
      </c>
      <c r="K249" s="7">
        <f t="shared" si="2"/>
        <v>14.8284</v>
      </c>
      <c r="L249" s="8">
        <f t="shared" si="3"/>
        <v>0.1502024384</v>
      </c>
      <c r="M249" s="8">
        <f t="shared" si="4"/>
        <v>0.04506073151</v>
      </c>
      <c r="N249" s="8">
        <f t="shared" si="5"/>
        <v>0.009012146301</v>
      </c>
      <c r="O249" s="8">
        <f t="shared" si="6"/>
        <v>0.0296568</v>
      </c>
      <c r="P249" s="8">
        <f t="shared" si="7"/>
        <v>0.0444852</v>
      </c>
      <c r="Q249" s="8">
        <f t="shared" si="8"/>
        <v>0.0148284</v>
      </c>
      <c r="R249" s="57"/>
      <c r="S249" s="57"/>
      <c r="T249" s="57"/>
      <c r="U249" s="57"/>
      <c r="V249" s="57"/>
      <c r="W249" s="57"/>
      <c r="X249" s="57"/>
      <c r="Y249" s="57"/>
      <c r="Z249" s="17"/>
    </row>
    <row r="250" ht="34.5" customHeight="1">
      <c r="A250" s="54" t="s">
        <v>284</v>
      </c>
      <c r="B250" s="5" t="s">
        <v>285</v>
      </c>
      <c r="C250" s="5" t="s">
        <v>286</v>
      </c>
      <c r="D250" s="5" t="s">
        <v>293</v>
      </c>
      <c r="E250" s="5">
        <v>83.0</v>
      </c>
      <c r="F250" s="58">
        <v>9.19</v>
      </c>
      <c r="G250" s="5">
        <v>4.0</v>
      </c>
      <c r="H250" s="58">
        <v>80.59</v>
      </c>
      <c r="I250" s="58">
        <v>100.0</v>
      </c>
      <c r="J250" s="7">
        <f t="shared" si="1"/>
        <v>82.90953</v>
      </c>
      <c r="K250" s="7">
        <f t="shared" si="2"/>
        <v>75.3723</v>
      </c>
      <c r="L250" s="8">
        <f t="shared" si="3"/>
        <v>0.763474363</v>
      </c>
      <c r="M250" s="8">
        <f t="shared" si="4"/>
        <v>0.2290423089</v>
      </c>
      <c r="N250" s="8">
        <f t="shared" si="5"/>
        <v>0.04580846178</v>
      </c>
      <c r="O250" s="8">
        <f t="shared" si="6"/>
        <v>0.1507446</v>
      </c>
      <c r="P250" s="8">
        <f t="shared" si="7"/>
        <v>0.2261169</v>
      </c>
      <c r="Q250" s="8">
        <f t="shared" si="8"/>
        <v>0.0753723</v>
      </c>
      <c r="R250" s="57"/>
      <c r="S250" s="57"/>
      <c r="T250" s="57"/>
      <c r="U250" s="57"/>
      <c r="V250" s="57"/>
      <c r="W250" s="57"/>
      <c r="X250" s="57"/>
      <c r="Y250" s="57"/>
      <c r="Z250" s="17"/>
    </row>
    <row r="251" ht="34.5" customHeight="1">
      <c r="A251" s="54" t="s">
        <v>284</v>
      </c>
      <c r="B251" s="5" t="s">
        <v>285</v>
      </c>
      <c r="C251" s="5" t="s">
        <v>286</v>
      </c>
      <c r="D251" s="5" t="s">
        <v>294</v>
      </c>
      <c r="E251" s="5">
        <v>165.0</v>
      </c>
      <c r="F251" s="58">
        <v>6.07</v>
      </c>
      <c r="G251" s="5">
        <v>5.0</v>
      </c>
      <c r="H251" s="58">
        <v>87.47</v>
      </c>
      <c r="I251" s="58">
        <v>100.0</v>
      </c>
      <c r="J251" s="7">
        <f t="shared" si="1"/>
        <v>170.48295</v>
      </c>
      <c r="K251" s="7">
        <f t="shared" si="2"/>
        <v>154.9845</v>
      </c>
      <c r="L251" s="8">
        <f t="shared" si="3"/>
        <v>1.569896267</v>
      </c>
      <c r="M251" s="8">
        <f t="shared" si="4"/>
        <v>0.4709688801</v>
      </c>
      <c r="N251" s="8">
        <f t="shared" si="5"/>
        <v>0.09419377603</v>
      </c>
      <c r="O251" s="8">
        <f t="shared" si="6"/>
        <v>0.309969</v>
      </c>
      <c r="P251" s="8">
        <f t="shared" si="7"/>
        <v>0.4649535</v>
      </c>
      <c r="Q251" s="8">
        <f t="shared" si="8"/>
        <v>0.1549845</v>
      </c>
      <c r="R251" s="57"/>
      <c r="S251" s="57"/>
      <c r="T251" s="57"/>
      <c r="U251" s="57"/>
      <c r="V251" s="57"/>
      <c r="W251" s="57"/>
      <c r="X251" s="57"/>
      <c r="Y251" s="57"/>
      <c r="Z251" s="17"/>
    </row>
    <row r="252" ht="34.5" customHeight="1">
      <c r="A252" s="54" t="s">
        <v>284</v>
      </c>
      <c r="B252" s="5" t="s">
        <v>285</v>
      </c>
      <c r="C252" s="5" t="s">
        <v>286</v>
      </c>
      <c r="D252" s="5" t="s">
        <v>295</v>
      </c>
      <c r="E252" s="5">
        <v>86.0</v>
      </c>
      <c r="F252" s="58">
        <v>5.86</v>
      </c>
      <c r="G252" s="5">
        <v>3.0</v>
      </c>
      <c r="H252" s="58">
        <v>100.0</v>
      </c>
      <c r="I252" s="58">
        <v>100.0</v>
      </c>
      <c r="J252" s="7">
        <f t="shared" si="1"/>
        <v>89.05644</v>
      </c>
      <c r="K252" s="7">
        <f t="shared" si="2"/>
        <v>80.9604</v>
      </c>
      <c r="L252" s="8">
        <f t="shared" si="3"/>
        <v>0.8200783288</v>
      </c>
      <c r="M252" s="8">
        <f t="shared" si="4"/>
        <v>0.2460234986</v>
      </c>
      <c r="N252" s="8">
        <f t="shared" si="5"/>
        <v>0.04920469973</v>
      </c>
      <c r="O252" s="8">
        <f t="shared" si="6"/>
        <v>0.1619208</v>
      </c>
      <c r="P252" s="8">
        <f t="shared" si="7"/>
        <v>0.2428812</v>
      </c>
      <c r="Q252" s="8">
        <f t="shared" si="8"/>
        <v>0.0809604</v>
      </c>
      <c r="R252" s="57"/>
      <c r="S252" s="57"/>
      <c r="T252" s="57"/>
      <c r="U252" s="57"/>
      <c r="V252" s="57"/>
      <c r="W252" s="57"/>
      <c r="X252" s="57"/>
      <c r="Y252" s="57"/>
      <c r="Z252" s="17"/>
    </row>
    <row r="253" ht="34.5" customHeight="1">
      <c r="A253" s="54" t="s">
        <v>284</v>
      </c>
      <c r="B253" s="5" t="s">
        <v>285</v>
      </c>
      <c r="C253" s="5" t="s">
        <v>286</v>
      </c>
      <c r="D253" s="5" t="s">
        <v>296</v>
      </c>
      <c r="E253" s="5">
        <v>45.0</v>
      </c>
      <c r="F253" s="58">
        <v>9.26</v>
      </c>
      <c r="G253" s="5">
        <v>1.0</v>
      </c>
      <c r="H253" s="58">
        <v>100.0</v>
      </c>
      <c r="I253" s="58">
        <v>100.0</v>
      </c>
      <c r="J253" s="7">
        <f t="shared" si="1"/>
        <v>44.9163</v>
      </c>
      <c r="K253" s="7">
        <f t="shared" si="2"/>
        <v>40.833</v>
      </c>
      <c r="L253" s="8">
        <f t="shared" si="3"/>
        <v>0.4136128082</v>
      </c>
      <c r="M253" s="8">
        <f t="shared" si="4"/>
        <v>0.1240838425</v>
      </c>
      <c r="N253" s="8">
        <f t="shared" si="5"/>
        <v>0.02481676849</v>
      </c>
      <c r="O253" s="8">
        <f t="shared" si="6"/>
        <v>0.081666</v>
      </c>
      <c r="P253" s="8">
        <f t="shared" si="7"/>
        <v>0.122499</v>
      </c>
      <c r="Q253" s="8">
        <f t="shared" si="8"/>
        <v>0.040833</v>
      </c>
      <c r="R253" s="57"/>
      <c r="S253" s="57"/>
      <c r="T253" s="57"/>
      <c r="U253" s="57"/>
      <c r="V253" s="57"/>
      <c r="W253" s="57"/>
      <c r="X253" s="57"/>
      <c r="Y253" s="57"/>
      <c r="Z253" s="17"/>
    </row>
    <row r="254" ht="34.5" customHeight="1">
      <c r="A254" s="54" t="s">
        <v>284</v>
      </c>
      <c r="B254" s="5" t="s">
        <v>285</v>
      </c>
      <c r="C254" s="5" t="s">
        <v>286</v>
      </c>
      <c r="D254" s="5" t="s">
        <v>297</v>
      </c>
      <c r="E254" s="5">
        <v>27.0</v>
      </c>
      <c r="F254" s="58">
        <v>23.06</v>
      </c>
      <c r="G254" s="5">
        <v>1.0</v>
      </c>
      <c r="H254" s="58">
        <v>100.0</v>
      </c>
      <c r="I254" s="58">
        <v>100.0</v>
      </c>
      <c r="J254" s="7">
        <f t="shared" si="1"/>
        <v>22.85118</v>
      </c>
      <c r="K254" s="7">
        <f t="shared" si="2"/>
        <v>20.7738</v>
      </c>
      <c r="L254" s="8">
        <f t="shared" si="3"/>
        <v>0.2104256301</v>
      </c>
      <c r="M254" s="8">
        <f t="shared" si="4"/>
        <v>0.06312768904</v>
      </c>
      <c r="N254" s="8">
        <f t="shared" si="5"/>
        <v>0.01262553781</v>
      </c>
      <c r="O254" s="8">
        <f t="shared" si="6"/>
        <v>0.0415476</v>
      </c>
      <c r="P254" s="8">
        <f t="shared" si="7"/>
        <v>0.0623214</v>
      </c>
      <c r="Q254" s="8">
        <f t="shared" si="8"/>
        <v>0.0207738</v>
      </c>
      <c r="R254" s="57"/>
      <c r="S254" s="57"/>
      <c r="T254" s="57"/>
      <c r="U254" s="57"/>
      <c r="V254" s="57"/>
      <c r="W254" s="57"/>
      <c r="X254" s="57"/>
      <c r="Y254" s="57"/>
      <c r="Z254" s="17"/>
    </row>
    <row r="255" ht="34.5" customHeight="1">
      <c r="A255" s="54" t="s">
        <v>284</v>
      </c>
      <c r="B255" s="5" t="s">
        <v>285</v>
      </c>
      <c r="C255" s="5" t="s">
        <v>286</v>
      </c>
      <c r="D255" s="5" t="s">
        <v>298</v>
      </c>
      <c r="E255" s="5">
        <v>135.0</v>
      </c>
      <c r="F255" s="58">
        <v>16.35</v>
      </c>
      <c r="G255" s="5">
        <v>4.0</v>
      </c>
      <c r="H255" s="58">
        <v>89.06</v>
      </c>
      <c r="I255" s="58">
        <v>89.06</v>
      </c>
      <c r="J255" s="7">
        <f t="shared" si="1"/>
        <v>124.22025</v>
      </c>
      <c r="K255" s="7">
        <f t="shared" si="2"/>
        <v>112.9275</v>
      </c>
      <c r="L255" s="8">
        <f t="shared" si="3"/>
        <v>1.143885103</v>
      </c>
      <c r="M255" s="8">
        <f t="shared" si="4"/>
        <v>0.3431655308</v>
      </c>
      <c r="N255" s="8">
        <f t="shared" si="5"/>
        <v>0.06863310616</v>
      </c>
      <c r="O255" s="8">
        <f t="shared" si="6"/>
        <v>0.225855</v>
      </c>
      <c r="P255" s="8">
        <f t="shared" si="7"/>
        <v>0.3387825</v>
      </c>
      <c r="Q255" s="8">
        <f t="shared" si="8"/>
        <v>0.1129275</v>
      </c>
      <c r="R255" s="57"/>
      <c r="S255" s="57"/>
      <c r="T255" s="57"/>
      <c r="U255" s="57"/>
      <c r="V255" s="57"/>
      <c r="W255" s="57"/>
      <c r="X255" s="57"/>
      <c r="Y255" s="57"/>
      <c r="Z255" s="17"/>
    </row>
    <row r="256" ht="34.5" customHeight="1">
      <c r="A256" s="54" t="s">
        <v>284</v>
      </c>
      <c r="B256" s="5" t="s">
        <v>285</v>
      </c>
      <c r="C256" s="5" t="s">
        <v>299</v>
      </c>
      <c r="D256" s="5" t="s">
        <v>300</v>
      </c>
      <c r="E256" s="5">
        <v>46.0</v>
      </c>
      <c r="F256" s="58">
        <v>29.02</v>
      </c>
      <c r="G256" s="5">
        <v>1.0</v>
      </c>
      <c r="H256" s="58">
        <v>100.0</v>
      </c>
      <c r="I256" s="58">
        <v>100.0</v>
      </c>
      <c r="J256" s="7">
        <f t="shared" si="1"/>
        <v>35.91588</v>
      </c>
      <c r="K256" s="7">
        <f t="shared" si="2"/>
        <v>32.6508</v>
      </c>
      <c r="L256" s="8">
        <f t="shared" si="3"/>
        <v>0.3307322283</v>
      </c>
      <c r="M256" s="8">
        <f t="shared" si="4"/>
        <v>0.09921966849</v>
      </c>
      <c r="N256" s="8">
        <f t="shared" si="5"/>
        <v>0.0198439337</v>
      </c>
      <c r="O256" s="8">
        <f t="shared" si="6"/>
        <v>0.0653016</v>
      </c>
      <c r="P256" s="8">
        <f t="shared" si="7"/>
        <v>0.0979524</v>
      </c>
      <c r="Q256" s="8">
        <f t="shared" si="8"/>
        <v>0.0326508</v>
      </c>
      <c r="R256" s="57"/>
      <c r="S256" s="57"/>
      <c r="T256" s="57"/>
      <c r="U256" s="57"/>
      <c r="V256" s="57"/>
      <c r="W256" s="57"/>
      <c r="X256" s="57"/>
      <c r="Y256" s="57"/>
      <c r="Z256" s="17"/>
    </row>
    <row r="257" ht="34.5" customHeight="1">
      <c r="A257" s="54" t="s">
        <v>284</v>
      </c>
      <c r="B257" s="5" t="s">
        <v>285</v>
      </c>
      <c r="C257" s="5" t="s">
        <v>299</v>
      </c>
      <c r="D257" s="5" t="s">
        <v>301</v>
      </c>
      <c r="E257" s="5">
        <v>335.0</v>
      </c>
      <c r="F257" s="58">
        <v>24.4</v>
      </c>
      <c r="G257" s="5">
        <v>7.0</v>
      </c>
      <c r="H257" s="58">
        <v>96.93</v>
      </c>
      <c r="I257" s="58">
        <v>100.0</v>
      </c>
      <c r="J257" s="7">
        <f t="shared" si="1"/>
        <v>278.586</v>
      </c>
      <c r="K257" s="7">
        <f t="shared" si="2"/>
        <v>253.26</v>
      </c>
      <c r="L257" s="8">
        <f t="shared" si="3"/>
        <v>2.565365753</v>
      </c>
      <c r="M257" s="8">
        <f t="shared" si="4"/>
        <v>0.769609726</v>
      </c>
      <c r="N257" s="8">
        <f t="shared" si="5"/>
        <v>0.1539219452</v>
      </c>
      <c r="O257" s="8">
        <f t="shared" si="6"/>
        <v>0.50652</v>
      </c>
      <c r="P257" s="8">
        <f t="shared" si="7"/>
        <v>0.75978</v>
      </c>
      <c r="Q257" s="8">
        <f t="shared" si="8"/>
        <v>0.25326</v>
      </c>
      <c r="R257" s="57"/>
      <c r="S257" s="57"/>
      <c r="T257" s="57"/>
      <c r="U257" s="57"/>
      <c r="V257" s="57"/>
      <c r="W257" s="57"/>
      <c r="X257" s="57"/>
      <c r="Y257" s="57"/>
      <c r="Z257" s="17"/>
    </row>
    <row r="258" ht="34.5" customHeight="1">
      <c r="A258" s="54" t="s">
        <v>284</v>
      </c>
      <c r="B258" s="5" t="s">
        <v>285</v>
      </c>
      <c r="C258" s="5" t="s">
        <v>299</v>
      </c>
      <c r="D258" s="5" t="s">
        <v>302</v>
      </c>
      <c r="E258" s="5">
        <v>53.0</v>
      </c>
      <c r="F258" s="58">
        <v>19.57</v>
      </c>
      <c r="G258" s="5">
        <v>2.0</v>
      </c>
      <c r="H258" s="58">
        <v>100.0</v>
      </c>
      <c r="I258" s="58">
        <v>100.0</v>
      </c>
      <c r="J258" s="7">
        <f t="shared" si="1"/>
        <v>46.89069</v>
      </c>
      <c r="K258" s="7">
        <f t="shared" si="2"/>
        <v>42.6279</v>
      </c>
      <c r="L258" s="8">
        <f t="shared" si="3"/>
        <v>0.4317940251</v>
      </c>
      <c r="M258" s="8">
        <f t="shared" si="4"/>
        <v>0.1295382075</v>
      </c>
      <c r="N258" s="8">
        <f t="shared" si="5"/>
        <v>0.02590764151</v>
      </c>
      <c r="O258" s="8">
        <f t="shared" si="6"/>
        <v>0.0852558</v>
      </c>
      <c r="P258" s="8">
        <f t="shared" si="7"/>
        <v>0.1278837</v>
      </c>
      <c r="Q258" s="8">
        <f t="shared" si="8"/>
        <v>0.0426279</v>
      </c>
      <c r="R258" s="57"/>
      <c r="S258" s="57"/>
      <c r="T258" s="57"/>
      <c r="U258" s="57"/>
      <c r="V258" s="57"/>
      <c r="W258" s="57"/>
      <c r="X258" s="57"/>
      <c r="Y258" s="57"/>
      <c r="Z258" s="17"/>
    </row>
    <row r="259" ht="34.5" customHeight="1">
      <c r="A259" s="54" t="s">
        <v>284</v>
      </c>
      <c r="B259" s="5" t="s">
        <v>285</v>
      </c>
      <c r="C259" s="5" t="s">
        <v>299</v>
      </c>
      <c r="D259" s="5" t="s">
        <v>303</v>
      </c>
      <c r="E259" s="5">
        <v>40.0</v>
      </c>
      <c r="F259" s="58">
        <v>9.61</v>
      </c>
      <c r="G259" s="5">
        <v>2.0</v>
      </c>
      <c r="H259" s="58">
        <v>100.0</v>
      </c>
      <c r="I259" s="58">
        <v>100.0</v>
      </c>
      <c r="J259" s="7">
        <f t="shared" si="1"/>
        <v>39.7716</v>
      </c>
      <c r="K259" s="7">
        <f t="shared" si="2"/>
        <v>36.156</v>
      </c>
      <c r="L259" s="8">
        <f t="shared" si="3"/>
        <v>0.3662377169</v>
      </c>
      <c r="M259" s="8">
        <f t="shared" si="4"/>
        <v>0.1098713151</v>
      </c>
      <c r="N259" s="8">
        <f t="shared" si="5"/>
        <v>0.02197426301</v>
      </c>
      <c r="O259" s="8">
        <f t="shared" si="6"/>
        <v>0.072312</v>
      </c>
      <c r="P259" s="8">
        <f t="shared" si="7"/>
        <v>0.108468</v>
      </c>
      <c r="Q259" s="8">
        <f t="shared" si="8"/>
        <v>0.036156</v>
      </c>
      <c r="R259" s="57"/>
      <c r="S259" s="57"/>
      <c r="T259" s="57"/>
      <c r="U259" s="57"/>
      <c r="V259" s="57"/>
      <c r="W259" s="57"/>
      <c r="X259" s="57"/>
      <c r="Y259" s="57"/>
      <c r="Z259" s="17"/>
    </row>
    <row r="260" ht="34.5" customHeight="1">
      <c r="A260" s="54" t="s">
        <v>284</v>
      </c>
      <c r="B260" s="5" t="s">
        <v>285</v>
      </c>
      <c r="C260" s="5" t="s">
        <v>299</v>
      </c>
      <c r="D260" s="5" t="s">
        <v>304</v>
      </c>
      <c r="E260" s="5">
        <v>41.0</v>
      </c>
      <c r="F260" s="58">
        <v>14.15</v>
      </c>
      <c r="G260" s="5">
        <v>1.0</v>
      </c>
      <c r="H260" s="58">
        <v>100.0</v>
      </c>
      <c r="I260" s="58">
        <v>100.0</v>
      </c>
      <c r="J260" s="7">
        <f t="shared" si="1"/>
        <v>38.71835</v>
      </c>
      <c r="K260" s="7">
        <f t="shared" si="2"/>
        <v>35.1985</v>
      </c>
      <c r="L260" s="8">
        <f t="shared" si="3"/>
        <v>0.3565388394</v>
      </c>
      <c r="M260" s="8">
        <f t="shared" si="4"/>
        <v>0.1069616518</v>
      </c>
      <c r="N260" s="8">
        <f t="shared" si="5"/>
        <v>0.02139233037</v>
      </c>
      <c r="O260" s="8">
        <f t="shared" si="6"/>
        <v>0.070397</v>
      </c>
      <c r="P260" s="8">
        <f t="shared" si="7"/>
        <v>0.1055955</v>
      </c>
      <c r="Q260" s="8">
        <f t="shared" si="8"/>
        <v>0.0351985</v>
      </c>
      <c r="R260" s="57"/>
      <c r="S260" s="57"/>
      <c r="T260" s="57"/>
      <c r="U260" s="57"/>
      <c r="V260" s="57"/>
      <c r="W260" s="57"/>
      <c r="X260" s="57"/>
      <c r="Y260" s="57"/>
      <c r="Z260" s="17"/>
    </row>
    <row r="261" ht="34.5" customHeight="1">
      <c r="A261" s="54" t="s">
        <v>284</v>
      </c>
      <c r="B261" s="5" t="s">
        <v>285</v>
      </c>
      <c r="C261" s="5" t="s">
        <v>299</v>
      </c>
      <c r="D261" s="5" t="s">
        <v>305</v>
      </c>
      <c r="E261" s="5">
        <v>16.0</v>
      </c>
      <c r="F261" s="58">
        <v>25.25</v>
      </c>
      <c r="G261" s="5">
        <v>1.0</v>
      </c>
      <c r="H261" s="58">
        <v>100.0</v>
      </c>
      <c r="I261" s="58">
        <v>100.0</v>
      </c>
      <c r="J261" s="7">
        <f t="shared" si="1"/>
        <v>13.156</v>
      </c>
      <c r="K261" s="7">
        <f t="shared" si="2"/>
        <v>11.96</v>
      </c>
      <c r="L261" s="8">
        <f t="shared" si="3"/>
        <v>0.1211473364</v>
      </c>
      <c r="M261" s="8">
        <f t="shared" si="4"/>
        <v>0.03634420091</v>
      </c>
      <c r="N261" s="8">
        <f t="shared" si="5"/>
        <v>0.007268840183</v>
      </c>
      <c r="O261" s="8">
        <f t="shared" si="6"/>
        <v>0.02392</v>
      </c>
      <c r="P261" s="8">
        <f t="shared" si="7"/>
        <v>0.03588</v>
      </c>
      <c r="Q261" s="8">
        <f t="shared" si="8"/>
        <v>0.01196</v>
      </c>
      <c r="R261" s="57"/>
      <c r="S261" s="57"/>
      <c r="T261" s="57"/>
      <c r="U261" s="57"/>
      <c r="V261" s="57"/>
      <c r="W261" s="57"/>
      <c r="X261" s="57"/>
      <c r="Y261" s="57"/>
      <c r="Z261" s="17"/>
    </row>
    <row r="262" ht="34.5" customHeight="1">
      <c r="A262" s="54" t="s">
        <v>284</v>
      </c>
      <c r="B262" s="5" t="s">
        <v>285</v>
      </c>
      <c r="C262" s="5" t="s">
        <v>299</v>
      </c>
      <c r="D262" s="5" t="s">
        <v>306</v>
      </c>
      <c r="E262" s="5">
        <v>59.0</v>
      </c>
      <c r="F262" s="58">
        <v>17.21</v>
      </c>
      <c r="G262" s="5">
        <v>2.0</v>
      </c>
      <c r="H262" s="58">
        <v>100.0</v>
      </c>
      <c r="I262" s="58">
        <v>100.0</v>
      </c>
      <c r="J262" s="7">
        <f t="shared" si="1"/>
        <v>53.73071</v>
      </c>
      <c r="K262" s="7">
        <f t="shared" si="2"/>
        <v>48.8461</v>
      </c>
      <c r="L262" s="8">
        <f t="shared" si="3"/>
        <v>0.4947805107</v>
      </c>
      <c r="M262" s="8">
        <f t="shared" si="4"/>
        <v>0.1484341532</v>
      </c>
      <c r="N262" s="8">
        <f t="shared" si="5"/>
        <v>0.02968683064</v>
      </c>
      <c r="O262" s="8">
        <f t="shared" si="6"/>
        <v>0.0976922</v>
      </c>
      <c r="P262" s="8">
        <f t="shared" si="7"/>
        <v>0.1465383</v>
      </c>
      <c r="Q262" s="8">
        <f t="shared" si="8"/>
        <v>0.0488461</v>
      </c>
      <c r="R262" s="57"/>
      <c r="S262" s="57"/>
      <c r="T262" s="57"/>
      <c r="U262" s="57"/>
      <c r="V262" s="57"/>
      <c r="W262" s="57"/>
      <c r="X262" s="57"/>
      <c r="Y262" s="57"/>
      <c r="Z262" s="17"/>
    </row>
    <row r="263" ht="34.5" customHeight="1">
      <c r="A263" s="54" t="s">
        <v>284</v>
      </c>
      <c r="B263" s="5" t="s">
        <v>285</v>
      </c>
      <c r="C263" s="5" t="s">
        <v>299</v>
      </c>
      <c r="D263" s="5" t="s">
        <v>307</v>
      </c>
      <c r="E263" s="5">
        <v>272.0</v>
      </c>
      <c r="F263" s="58">
        <v>16.22</v>
      </c>
      <c r="G263" s="5">
        <v>9.0</v>
      </c>
      <c r="H263" s="58">
        <v>91.27</v>
      </c>
      <c r="I263" s="58">
        <v>100.0</v>
      </c>
      <c r="J263" s="7">
        <f t="shared" si="1"/>
        <v>250.66976</v>
      </c>
      <c r="K263" s="7">
        <f t="shared" si="2"/>
        <v>227.8816</v>
      </c>
      <c r="L263" s="8">
        <f t="shared" si="3"/>
        <v>2.308298399</v>
      </c>
      <c r="M263" s="8">
        <f t="shared" si="4"/>
        <v>0.6924895196</v>
      </c>
      <c r="N263" s="8">
        <f t="shared" si="5"/>
        <v>0.1384979039</v>
      </c>
      <c r="O263" s="8">
        <f t="shared" si="6"/>
        <v>0.4557632</v>
      </c>
      <c r="P263" s="8">
        <f t="shared" si="7"/>
        <v>0.6836448</v>
      </c>
      <c r="Q263" s="8">
        <f t="shared" si="8"/>
        <v>0.2278816</v>
      </c>
      <c r="R263" s="57"/>
      <c r="S263" s="57"/>
      <c r="T263" s="57"/>
      <c r="U263" s="57"/>
      <c r="V263" s="57"/>
      <c r="W263" s="57"/>
      <c r="X263" s="57"/>
      <c r="Y263" s="57"/>
      <c r="Z263" s="17"/>
    </row>
    <row r="264" ht="34.5" customHeight="1">
      <c r="A264" s="54" t="s">
        <v>284</v>
      </c>
      <c r="B264" s="5" t="s">
        <v>285</v>
      </c>
      <c r="C264" s="5" t="s">
        <v>299</v>
      </c>
      <c r="D264" s="5" t="s">
        <v>308</v>
      </c>
      <c r="E264" s="5">
        <v>88.0</v>
      </c>
      <c r="F264" s="58">
        <v>13.88</v>
      </c>
      <c r="G264" s="5">
        <v>2.0</v>
      </c>
      <c r="H264" s="58">
        <v>100.0</v>
      </c>
      <c r="I264" s="58">
        <v>100.0</v>
      </c>
      <c r="J264" s="7">
        <f t="shared" si="1"/>
        <v>83.36416</v>
      </c>
      <c r="K264" s="7">
        <f t="shared" si="2"/>
        <v>75.7856</v>
      </c>
      <c r="L264" s="8">
        <f t="shared" si="3"/>
        <v>0.7676608341</v>
      </c>
      <c r="M264" s="8">
        <f t="shared" si="4"/>
        <v>0.2302982502</v>
      </c>
      <c r="N264" s="8">
        <f t="shared" si="5"/>
        <v>0.04605965005</v>
      </c>
      <c r="O264" s="8">
        <f t="shared" si="6"/>
        <v>0.1515712</v>
      </c>
      <c r="P264" s="8">
        <f t="shared" si="7"/>
        <v>0.2273568</v>
      </c>
      <c r="Q264" s="8">
        <f t="shared" si="8"/>
        <v>0.0757856</v>
      </c>
      <c r="R264" s="57"/>
      <c r="S264" s="57"/>
      <c r="T264" s="57"/>
      <c r="U264" s="57"/>
      <c r="V264" s="57"/>
      <c r="W264" s="57"/>
      <c r="X264" s="57"/>
      <c r="Y264" s="57"/>
      <c r="Z264" s="17"/>
    </row>
    <row r="265" ht="34.5" customHeight="1">
      <c r="A265" s="54" t="s">
        <v>284</v>
      </c>
      <c r="B265" s="5" t="s">
        <v>285</v>
      </c>
      <c r="C265" s="5" t="s">
        <v>299</v>
      </c>
      <c r="D265" s="5" t="s">
        <v>309</v>
      </c>
      <c r="E265" s="5">
        <v>241.0</v>
      </c>
      <c r="F265" s="58">
        <v>25.35</v>
      </c>
      <c r="G265" s="5">
        <v>9.0</v>
      </c>
      <c r="H265" s="58">
        <v>100.0</v>
      </c>
      <c r="I265" s="58">
        <v>100.0</v>
      </c>
      <c r="J265" s="7">
        <f t="shared" si="1"/>
        <v>197.89715</v>
      </c>
      <c r="K265" s="7">
        <f t="shared" si="2"/>
        <v>179.9065</v>
      </c>
      <c r="L265" s="8">
        <f t="shared" si="3"/>
        <v>1.822340575</v>
      </c>
      <c r="M265" s="8">
        <f t="shared" si="4"/>
        <v>0.5467021724</v>
      </c>
      <c r="N265" s="8">
        <f t="shared" si="5"/>
        <v>0.1093404345</v>
      </c>
      <c r="O265" s="8">
        <f t="shared" si="6"/>
        <v>0.359813</v>
      </c>
      <c r="P265" s="8">
        <f t="shared" si="7"/>
        <v>0.5397195</v>
      </c>
      <c r="Q265" s="8">
        <f t="shared" si="8"/>
        <v>0.1799065</v>
      </c>
      <c r="R265" s="57"/>
      <c r="S265" s="57"/>
      <c r="T265" s="57"/>
      <c r="U265" s="57"/>
      <c r="V265" s="57"/>
      <c r="W265" s="57"/>
      <c r="X265" s="57"/>
      <c r="Y265" s="57"/>
      <c r="Z265" s="17"/>
    </row>
    <row r="266" ht="34.5" customHeight="1">
      <c r="A266" s="54" t="s">
        <v>284</v>
      </c>
      <c r="B266" s="5" t="s">
        <v>285</v>
      </c>
      <c r="C266" s="5" t="s">
        <v>299</v>
      </c>
      <c r="D266" s="5" t="s">
        <v>310</v>
      </c>
      <c r="E266" s="5">
        <v>91.0</v>
      </c>
      <c r="F266" s="58">
        <v>22.76</v>
      </c>
      <c r="G266" s="5">
        <v>6.0</v>
      </c>
      <c r="H266" s="58">
        <v>100.0</v>
      </c>
      <c r="I266" s="58">
        <v>100.0</v>
      </c>
      <c r="J266" s="7">
        <f t="shared" si="1"/>
        <v>77.31724</v>
      </c>
      <c r="K266" s="7">
        <f t="shared" si="2"/>
        <v>70.2884</v>
      </c>
      <c r="L266" s="8">
        <f t="shared" si="3"/>
        <v>0.7119776286</v>
      </c>
      <c r="M266" s="8">
        <f t="shared" si="4"/>
        <v>0.2135932886</v>
      </c>
      <c r="N266" s="8">
        <f t="shared" si="5"/>
        <v>0.04271865772</v>
      </c>
      <c r="O266" s="8">
        <f t="shared" si="6"/>
        <v>0.1405768</v>
      </c>
      <c r="P266" s="8">
        <f t="shared" si="7"/>
        <v>0.2108652</v>
      </c>
      <c r="Q266" s="8">
        <f t="shared" si="8"/>
        <v>0.0702884</v>
      </c>
      <c r="R266" s="57"/>
      <c r="S266" s="57"/>
      <c r="T266" s="57"/>
      <c r="U266" s="57"/>
      <c r="V266" s="57"/>
      <c r="W266" s="57"/>
      <c r="X266" s="57"/>
      <c r="Y266" s="57"/>
      <c r="Z266" s="17"/>
    </row>
    <row r="267" ht="34.5" customHeight="1">
      <c r="A267" s="54" t="s">
        <v>284</v>
      </c>
      <c r="B267" s="5" t="s">
        <v>285</v>
      </c>
      <c r="C267" s="5" t="s">
        <v>299</v>
      </c>
      <c r="D267" s="5" t="s">
        <v>285</v>
      </c>
      <c r="E267" s="5">
        <v>2428.0</v>
      </c>
      <c r="F267" s="58">
        <v>40.87</v>
      </c>
      <c r="G267" s="5">
        <v>31.0</v>
      </c>
      <c r="H267" s="58">
        <v>33.18</v>
      </c>
      <c r="I267" s="58">
        <v>41.97</v>
      </c>
      <c r="J267" s="7">
        <f t="shared" si="1"/>
        <v>1579.24404</v>
      </c>
      <c r="K267" s="7">
        <f t="shared" si="2"/>
        <v>1435.6764</v>
      </c>
      <c r="L267" s="8">
        <f t="shared" si="3"/>
        <v>14.542506</v>
      </c>
      <c r="M267" s="8">
        <f t="shared" si="4"/>
        <v>4.3627518</v>
      </c>
      <c r="N267" s="8">
        <f t="shared" si="5"/>
        <v>0.87255036</v>
      </c>
      <c r="O267" s="8">
        <f t="shared" si="6"/>
        <v>2.8713528</v>
      </c>
      <c r="P267" s="8">
        <f t="shared" si="7"/>
        <v>4.3070292</v>
      </c>
      <c r="Q267" s="8">
        <f t="shared" si="8"/>
        <v>1.4356764</v>
      </c>
      <c r="R267" s="57"/>
      <c r="S267" s="57"/>
      <c r="T267" s="57"/>
      <c r="U267" s="57"/>
      <c r="V267" s="57"/>
      <c r="W267" s="57"/>
      <c r="X267" s="57"/>
      <c r="Y267" s="57"/>
      <c r="Z267" s="17"/>
    </row>
    <row r="268" ht="34.5" customHeight="1">
      <c r="A268" s="54" t="s">
        <v>284</v>
      </c>
      <c r="B268" s="5" t="s">
        <v>285</v>
      </c>
      <c r="C268" s="5" t="s">
        <v>299</v>
      </c>
      <c r="D268" s="5" t="s">
        <v>311</v>
      </c>
      <c r="E268" s="5">
        <v>230.0</v>
      </c>
      <c r="F268" s="58">
        <v>27.2</v>
      </c>
      <c r="G268" s="5">
        <v>9.0</v>
      </c>
      <c r="H268" s="58">
        <v>100.0</v>
      </c>
      <c r="I268" s="58">
        <v>100.0</v>
      </c>
      <c r="J268" s="7">
        <f t="shared" si="1"/>
        <v>184.184</v>
      </c>
      <c r="K268" s="7">
        <f t="shared" si="2"/>
        <v>167.44</v>
      </c>
      <c r="L268" s="8">
        <f t="shared" si="3"/>
        <v>1.696062709</v>
      </c>
      <c r="M268" s="8">
        <f t="shared" si="4"/>
        <v>0.5088188128</v>
      </c>
      <c r="N268" s="8">
        <f t="shared" si="5"/>
        <v>0.1017637626</v>
      </c>
      <c r="O268" s="8">
        <f t="shared" si="6"/>
        <v>0.33488</v>
      </c>
      <c r="P268" s="8">
        <f t="shared" si="7"/>
        <v>0.50232</v>
      </c>
      <c r="Q268" s="8">
        <f t="shared" si="8"/>
        <v>0.16744</v>
      </c>
      <c r="R268" s="57"/>
      <c r="S268" s="57"/>
      <c r="T268" s="57"/>
      <c r="U268" s="57"/>
      <c r="V268" s="57"/>
      <c r="W268" s="57"/>
      <c r="X268" s="57"/>
      <c r="Y268" s="57"/>
      <c r="Z268" s="17"/>
    </row>
    <row r="269" ht="34.5" customHeight="1">
      <c r="A269" s="54" t="s">
        <v>284</v>
      </c>
      <c r="B269" s="5" t="s">
        <v>285</v>
      </c>
      <c r="C269" s="5" t="s">
        <v>299</v>
      </c>
      <c r="D269" s="5" t="s">
        <v>312</v>
      </c>
      <c r="E269" s="5">
        <v>11.0</v>
      </c>
      <c r="F269" s="58">
        <v>11.08</v>
      </c>
      <c r="G269" s="5">
        <v>1.0</v>
      </c>
      <c r="H269" s="58">
        <v>100.0</v>
      </c>
      <c r="I269" s="58">
        <v>100.0</v>
      </c>
      <c r="J269" s="7">
        <f t="shared" si="1"/>
        <v>10.75932</v>
      </c>
      <c r="K269" s="7">
        <f t="shared" si="2"/>
        <v>9.7812</v>
      </c>
      <c r="L269" s="8">
        <f t="shared" si="3"/>
        <v>0.09907745205</v>
      </c>
      <c r="M269" s="8">
        <f t="shared" si="4"/>
        <v>0.02972323562</v>
      </c>
      <c r="N269" s="8">
        <f t="shared" si="5"/>
        <v>0.005944647123</v>
      </c>
      <c r="O269" s="8">
        <f t="shared" si="6"/>
        <v>0.0195624</v>
      </c>
      <c r="P269" s="8">
        <f t="shared" si="7"/>
        <v>0.0293436</v>
      </c>
      <c r="Q269" s="8">
        <f t="shared" si="8"/>
        <v>0.0097812</v>
      </c>
      <c r="R269" s="57"/>
      <c r="S269" s="57"/>
      <c r="T269" s="57"/>
      <c r="U269" s="57"/>
      <c r="V269" s="57"/>
      <c r="W269" s="57"/>
      <c r="X269" s="57"/>
      <c r="Y269" s="57"/>
      <c r="Z269" s="17"/>
    </row>
    <row r="270" ht="34.5" customHeight="1">
      <c r="A270" s="54" t="s">
        <v>284</v>
      </c>
      <c r="B270" s="5" t="s">
        <v>285</v>
      </c>
      <c r="C270" s="5" t="s">
        <v>299</v>
      </c>
      <c r="D270" s="5" t="s">
        <v>313</v>
      </c>
      <c r="E270" s="5">
        <v>45.0</v>
      </c>
      <c r="F270" s="58">
        <v>53.05</v>
      </c>
      <c r="G270" s="5">
        <v>1.0</v>
      </c>
      <c r="H270" s="58">
        <v>100.0</v>
      </c>
      <c r="I270" s="58">
        <v>100.0</v>
      </c>
      <c r="J270" s="7">
        <f t="shared" si="1"/>
        <v>23.24025</v>
      </c>
      <c r="K270" s="7">
        <f t="shared" si="2"/>
        <v>21.1275</v>
      </c>
      <c r="L270" s="8">
        <f t="shared" si="3"/>
        <v>0.2140083904</v>
      </c>
      <c r="M270" s="8">
        <f t="shared" si="4"/>
        <v>0.06420251712</v>
      </c>
      <c r="N270" s="8">
        <f t="shared" si="5"/>
        <v>0.01284050342</v>
      </c>
      <c r="O270" s="8">
        <f t="shared" si="6"/>
        <v>0.042255</v>
      </c>
      <c r="P270" s="8">
        <f t="shared" si="7"/>
        <v>0.0633825</v>
      </c>
      <c r="Q270" s="8">
        <f t="shared" si="8"/>
        <v>0.0211275</v>
      </c>
      <c r="R270" s="57"/>
      <c r="S270" s="57"/>
      <c r="T270" s="57"/>
      <c r="U270" s="57"/>
      <c r="V270" s="57"/>
      <c r="W270" s="57"/>
      <c r="X270" s="57"/>
      <c r="Y270" s="57"/>
      <c r="Z270" s="17"/>
    </row>
    <row r="271" ht="34.5" customHeight="1">
      <c r="A271" s="54" t="s">
        <v>284</v>
      </c>
      <c r="B271" s="5" t="s">
        <v>285</v>
      </c>
      <c r="C271" s="5" t="s">
        <v>299</v>
      </c>
      <c r="D271" s="5" t="s">
        <v>314</v>
      </c>
      <c r="E271" s="5">
        <v>184.0</v>
      </c>
      <c r="F271" s="58">
        <v>23.36</v>
      </c>
      <c r="G271" s="5">
        <v>5.0</v>
      </c>
      <c r="H271" s="58">
        <v>66.1</v>
      </c>
      <c r="I271" s="58">
        <v>80.47</v>
      </c>
      <c r="J271" s="7">
        <f t="shared" si="1"/>
        <v>155.11936</v>
      </c>
      <c r="K271" s="7">
        <f t="shared" si="2"/>
        <v>141.0176</v>
      </c>
      <c r="L271" s="8">
        <f t="shared" si="3"/>
        <v>1.428420286</v>
      </c>
      <c r="M271" s="8">
        <f t="shared" si="4"/>
        <v>0.4285260858</v>
      </c>
      <c r="N271" s="8">
        <f t="shared" si="5"/>
        <v>0.08570521717</v>
      </c>
      <c r="O271" s="8">
        <f t="shared" si="6"/>
        <v>0.2820352</v>
      </c>
      <c r="P271" s="8">
        <f t="shared" si="7"/>
        <v>0.4230528</v>
      </c>
      <c r="Q271" s="8">
        <f t="shared" si="8"/>
        <v>0.1410176</v>
      </c>
      <c r="R271" s="57"/>
      <c r="S271" s="57"/>
      <c r="T271" s="57"/>
      <c r="U271" s="57"/>
      <c r="V271" s="57"/>
      <c r="W271" s="57"/>
      <c r="X271" s="57"/>
      <c r="Y271" s="57"/>
      <c r="Z271" s="17"/>
    </row>
    <row r="272" ht="34.5" customHeight="1">
      <c r="A272" s="54" t="s">
        <v>284</v>
      </c>
      <c r="B272" s="5" t="s">
        <v>285</v>
      </c>
      <c r="C272" s="5" t="s">
        <v>299</v>
      </c>
      <c r="D272" s="5" t="s">
        <v>315</v>
      </c>
      <c r="E272" s="5">
        <v>31.0</v>
      </c>
      <c r="F272" s="58">
        <v>17.41</v>
      </c>
      <c r="G272" s="5">
        <v>1.0</v>
      </c>
      <c r="H272" s="58">
        <v>100.0</v>
      </c>
      <c r="I272" s="58">
        <v>100.0</v>
      </c>
      <c r="J272" s="7">
        <f t="shared" si="1"/>
        <v>28.16319</v>
      </c>
      <c r="K272" s="7">
        <f t="shared" si="2"/>
        <v>25.6029</v>
      </c>
      <c r="L272" s="8">
        <f t="shared" si="3"/>
        <v>0.2593413995</v>
      </c>
      <c r="M272" s="8">
        <f t="shared" si="4"/>
        <v>0.07780241986</v>
      </c>
      <c r="N272" s="8">
        <f t="shared" si="5"/>
        <v>0.01556048397</v>
      </c>
      <c r="O272" s="8">
        <f t="shared" si="6"/>
        <v>0.0512058</v>
      </c>
      <c r="P272" s="8">
        <f t="shared" si="7"/>
        <v>0.0768087</v>
      </c>
      <c r="Q272" s="8">
        <f t="shared" si="8"/>
        <v>0.0256029</v>
      </c>
      <c r="R272" s="57"/>
      <c r="S272" s="57"/>
      <c r="T272" s="57"/>
      <c r="U272" s="57"/>
      <c r="V272" s="57"/>
      <c r="W272" s="57"/>
      <c r="X272" s="57"/>
      <c r="Y272" s="57"/>
      <c r="Z272" s="17"/>
    </row>
    <row r="273" ht="34.5" customHeight="1">
      <c r="A273" s="54" t="s">
        <v>284</v>
      </c>
      <c r="B273" s="5" t="s">
        <v>285</v>
      </c>
      <c r="C273" s="5" t="s">
        <v>299</v>
      </c>
      <c r="D273" s="5" t="s">
        <v>316</v>
      </c>
      <c r="E273" s="5">
        <v>89.0</v>
      </c>
      <c r="F273" s="58">
        <v>15.59</v>
      </c>
      <c r="G273" s="5">
        <v>4.0</v>
      </c>
      <c r="H273" s="58">
        <v>100.0</v>
      </c>
      <c r="I273" s="58">
        <v>100.0</v>
      </c>
      <c r="J273" s="7">
        <f t="shared" si="1"/>
        <v>82.63739</v>
      </c>
      <c r="K273" s="7">
        <f t="shared" si="2"/>
        <v>75.1249</v>
      </c>
      <c r="L273" s="8">
        <f t="shared" si="3"/>
        <v>0.7609683554</v>
      </c>
      <c r="M273" s="8">
        <f t="shared" si="4"/>
        <v>0.2282905066</v>
      </c>
      <c r="N273" s="8">
        <f t="shared" si="5"/>
        <v>0.04565810132</v>
      </c>
      <c r="O273" s="8">
        <f t="shared" si="6"/>
        <v>0.1502498</v>
      </c>
      <c r="P273" s="8">
        <f t="shared" si="7"/>
        <v>0.2253747</v>
      </c>
      <c r="Q273" s="8">
        <f t="shared" si="8"/>
        <v>0.0751249</v>
      </c>
      <c r="R273" s="57"/>
      <c r="S273" s="57"/>
      <c r="T273" s="57"/>
      <c r="U273" s="57"/>
      <c r="V273" s="57"/>
      <c r="W273" s="57"/>
      <c r="X273" s="57"/>
      <c r="Y273" s="57"/>
      <c r="Z273" s="17"/>
    </row>
    <row r="274" ht="34.5" customHeight="1">
      <c r="A274" s="54" t="s">
        <v>284</v>
      </c>
      <c r="B274" s="5" t="s">
        <v>285</v>
      </c>
      <c r="C274" s="5" t="s">
        <v>299</v>
      </c>
      <c r="D274" s="5" t="s">
        <v>317</v>
      </c>
      <c r="E274" s="5">
        <v>83.0</v>
      </c>
      <c r="F274" s="58">
        <v>14.27</v>
      </c>
      <c r="G274" s="5">
        <v>3.0</v>
      </c>
      <c r="H274" s="58">
        <v>100.0</v>
      </c>
      <c r="I274" s="58">
        <v>100.0</v>
      </c>
      <c r="J274" s="7">
        <f t="shared" si="1"/>
        <v>78.27149</v>
      </c>
      <c r="K274" s="7">
        <f t="shared" si="2"/>
        <v>71.1559</v>
      </c>
      <c r="L274" s="8">
        <f t="shared" si="3"/>
        <v>0.7207648623</v>
      </c>
      <c r="M274" s="8">
        <f t="shared" si="4"/>
        <v>0.2162294587</v>
      </c>
      <c r="N274" s="8">
        <f t="shared" si="5"/>
        <v>0.04324589174</v>
      </c>
      <c r="O274" s="8">
        <f t="shared" si="6"/>
        <v>0.1423118</v>
      </c>
      <c r="P274" s="8">
        <f t="shared" si="7"/>
        <v>0.2134677</v>
      </c>
      <c r="Q274" s="8">
        <f t="shared" si="8"/>
        <v>0.0711559</v>
      </c>
      <c r="R274" s="57"/>
      <c r="S274" s="57"/>
      <c r="T274" s="57"/>
      <c r="U274" s="57"/>
      <c r="V274" s="57"/>
      <c r="W274" s="57"/>
      <c r="X274" s="57"/>
      <c r="Y274" s="57"/>
      <c r="Z274" s="17"/>
    </row>
    <row r="275" ht="34.5" customHeight="1">
      <c r="A275" s="54" t="s">
        <v>284</v>
      </c>
      <c r="B275" s="5" t="s">
        <v>285</v>
      </c>
      <c r="C275" s="5" t="s">
        <v>318</v>
      </c>
      <c r="D275" s="5" t="s">
        <v>319</v>
      </c>
      <c r="E275" s="5">
        <v>92.0</v>
      </c>
      <c r="F275" s="58">
        <v>15.58</v>
      </c>
      <c r="G275" s="5">
        <v>3.0</v>
      </c>
      <c r="H275" s="6">
        <v>84.17</v>
      </c>
      <c r="I275" s="6">
        <v>84.17</v>
      </c>
      <c r="J275" s="7">
        <f t="shared" si="1"/>
        <v>85.43304</v>
      </c>
      <c r="K275" s="7">
        <f t="shared" si="2"/>
        <v>77.6664</v>
      </c>
      <c r="L275" s="8">
        <f t="shared" si="3"/>
        <v>0.7867121644</v>
      </c>
      <c r="M275" s="8">
        <f t="shared" si="4"/>
        <v>0.2360136493</v>
      </c>
      <c r="N275" s="8">
        <f t="shared" si="5"/>
        <v>0.04720272986</v>
      </c>
      <c r="O275" s="8">
        <f t="shared" si="6"/>
        <v>0.1553328</v>
      </c>
      <c r="P275" s="8">
        <f t="shared" si="7"/>
        <v>0.2329992</v>
      </c>
      <c r="Q275" s="8">
        <f t="shared" si="8"/>
        <v>0.0776664</v>
      </c>
      <c r="R275" s="57"/>
      <c r="S275" s="57"/>
      <c r="T275" s="57"/>
      <c r="U275" s="57"/>
      <c r="V275" s="57"/>
      <c r="W275" s="57"/>
      <c r="X275" s="57"/>
      <c r="Y275" s="57"/>
      <c r="Z275" s="17"/>
    </row>
    <row r="276" ht="34.5" customHeight="1">
      <c r="A276" s="54" t="s">
        <v>284</v>
      </c>
      <c r="B276" s="5" t="s">
        <v>285</v>
      </c>
      <c r="C276" s="5" t="s">
        <v>318</v>
      </c>
      <c r="D276" s="5" t="s">
        <v>320</v>
      </c>
      <c r="E276" s="5">
        <v>41.0</v>
      </c>
      <c r="F276" s="58">
        <v>27.4</v>
      </c>
      <c r="G276" s="5">
        <v>2.0</v>
      </c>
      <c r="H276" s="6">
        <v>100.0</v>
      </c>
      <c r="I276" s="6">
        <v>100.0</v>
      </c>
      <c r="J276" s="7">
        <f t="shared" si="1"/>
        <v>32.7426</v>
      </c>
      <c r="K276" s="7">
        <f t="shared" si="2"/>
        <v>29.766</v>
      </c>
      <c r="L276" s="8">
        <f t="shared" si="3"/>
        <v>0.3015110046</v>
      </c>
      <c r="M276" s="8">
        <f t="shared" si="4"/>
        <v>0.09045330137</v>
      </c>
      <c r="N276" s="8">
        <f t="shared" si="5"/>
        <v>0.01809066027</v>
      </c>
      <c r="O276" s="8">
        <f t="shared" si="6"/>
        <v>0.059532</v>
      </c>
      <c r="P276" s="8">
        <f t="shared" si="7"/>
        <v>0.089298</v>
      </c>
      <c r="Q276" s="8">
        <f t="shared" si="8"/>
        <v>0.029766</v>
      </c>
      <c r="R276" s="57"/>
      <c r="S276" s="57"/>
      <c r="T276" s="57"/>
      <c r="U276" s="57"/>
      <c r="V276" s="57"/>
      <c r="W276" s="57"/>
      <c r="X276" s="57"/>
      <c r="Y276" s="57"/>
      <c r="Z276" s="17"/>
    </row>
    <row r="277" ht="34.5" customHeight="1">
      <c r="A277" s="54" t="s">
        <v>284</v>
      </c>
      <c r="B277" s="5" t="s">
        <v>285</v>
      </c>
      <c r="C277" s="5" t="s">
        <v>318</v>
      </c>
      <c r="D277" s="5" t="s">
        <v>321</v>
      </c>
      <c r="E277" s="5">
        <v>29.0</v>
      </c>
      <c r="F277" s="58">
        <v>12.02</v>
      </c>
      <c r="G277" s="5">
        <v>1.0</v>
      </c>
      <c r="H277" s="6">
        <v>100.0</v>
      </c>
      <c r="I277" s="6">
        <v>100.0</v>
      </c>
      <c r="J277" s="7">
        <f t="shared" si="1"/>
        <v>28.06562</v>
      </c>
      <c r="K277" s="7">
        <f t="shared" si="2"/>
        <v>25.5142</v>
      </c>
      <c r="L277" s="8">
        <f t="shared" si="3"/>
        <v>0.2584429239</v>
      </c>
      <c r="M277" s="8">
        <f t="shared" si="4"/>
        <v>0.07753287717</v>
      </c>
      <c r="N277" s="8">
        <f t="shared" si="5"/>
        <v>0.01550657543</v>
      </c>
      <c r="O277" s="8">
        <f t="shared" si="6"/>
        <v>0.0510284</v>
      </c>
      <c r="P277" s="8">
        <f t="shared" si="7"/>
        <v>0.0765426</v>
      </c>
      <c r="Q277" s="8">
        <f t="shared" si="8"/>
        <v>0.0255142</v>
      </c>
      <c r="R277" s="57"/>
      <c r="S277" s="57"/>
      <c r="T277" s="57"/>
      <c r="U277" s="57"/>
      <c r="V277" s="57"/>
      <c r="W277" s="57"/>
      <c r="X277" s="57"/>
      <c r="Y277" s="57"/>
      <c r="Z277" s="17"/>
    </row>
    <row r="278" ht="34.5" customHeight="1">
      <c r="A278" s="54" t="s">
        <v>284</v>
      </c>
      <c r="B278" s="5" t="s">
        <v>285</v>
      </c>
      <c r="C278" s="5" t="s">
        <v>318</v>
      </c>
      <c r="D278" s="5" t="s">
        <v>322</v>
      </c>
      <c r="E278" s="5">
        <v>125.0</v>
      </c>
      <c r="F278" s="58">
        <v>33.63</v>
      </c>
      <c r="G278" s="5">
        <v>4.0</v>
      </c>
      <c r="H278" s="6">
        <v>97.81</v>
      </c>
      <c r="I278" s="6">
        <v>100.0</v>
      </c>
      <c r="J278" s="7">
        <f t="shared" si="1"/>
        <v>91.25875</v>
      </c>
      <c r="K278" s="7">
        <f t="shared" si="2"/>
        <v>82.9625</v>
      </c>
      <c r="L278" s="8">
        <f t="shared" si="3"/>
        <v>0.8403583524</v>
      </c>
      <c r="M278" s="8">
        <f t="shared" si="4"/>
        <v>0.2521075057</v>
      </c>
      <c r="N278" s="8">
        <f t="shared" si="5"/>
        <v>0.05042150114</v>
      </c>
      <c r="O278" s="8">
        <f t="shared" si="6"/>
        <v>0.165925</v>
      </c>
      <c r="P278" s="8">
        <f t="shared" si="7"/>
        <v>0.2488875</v>
      </c>
      <c r="Q278" s="8">
        <f t="shared" si="8"/>
        <v>0.0829625</v>
      </c>
      <c r="R278" s="57"/>
      <c r="S278" s="57"/>
      <c r="T278" s="57"/>
      <c r="U278" s="57"/>
      <c r="V278" s="57"/>
      <c r="W278" s="57"/>
      <c r="X278" s="57"/>
      <c r="Y278" s="57"/>
      <c r="Z278" s="17"/>
    </row>
    <row r="279" ht="34.5" customHeight="1">
      <c r="A279" s="54" t="s">
        <v>284</v>
      </c>
      <c r="B279" s="5" t="s">
        <v>285</v>
      </c>
      <c r="C279" s="5" t="s">
        <v>318</v>
      </c>
      <c r="D279" s="5" t="s">
        <v>323</v>
      </c>
      <c r="E279" s="5">
        <v>342.0</v>
      </c>
      <c r="F279" s="58">
        <v>20.84</v>
      </c>
      <c r="G279" s="5">
        <v>11.0</v>
      </c>
      <c r="H279" s="6">
        <v>92.91</v>
      </c>
      <c r="I279" s="6">
        <v>99.78</v>
      </c>
      <c r="J279" s="7">
        <f t="shared" si="1"/>
        <v>297.79992</v>
      </c>
      <c r="K279" s="7">
        <f t="shared" si="2"/>
        <v>270.7272</v>
      </c>
      <c r="L279" s="8">
        <f t="shared" si="3"/>
        <v>2.742297589</v>
      </c>
      <c r="M279" s="8">
        <f t="shared" si="4"/>
        <v>0.8226892767</v>
      </c>
      <c r="N279" s="8">
        <f t="shared" si="5"/>
        <v>0.1645378553</v>
      </c>
      <c r="O279" s="8">
        <f t="shared" si="6"/>
        <v>0.5414544</v>
      </c>
      <c r="P279" s="8">
        <f t="shared" si="7"/>
        <v>0.8121816</v>
      </c>
      <c r="Q279" s="8">
        <f t="shared" si="8"/>
        <v>0.2707272</v>
      </c>
      <c r="R279" s="57"/>
      <c r="S279" s="57"/>
      <c r="T279" s="57"/>
      <c r="U279" s="57"/>
      <c r="V279" s="57"/>
      <c r="W279" s="57"/>
      <c r="X279" s="57"/>
      <c r="Y279" s="57"/>
      <c r="Z279" s="17"/>
    </row>
    <row r="280" ht="34.5" customHeight="1">
      <c r="A280" s="54" t="s">
        <v>284</v>
      </c>
      <c r="B280" s="5" t="s">
        <v>285</v>
      </c>
      <c r="C280" s="5" t="s">
        <v>324</v>
      </c>
      <c r="D280" s="5" t="s">
        <v>325</v>
      </c>
      <c r="E280" s="5">
        <v>32.0</v>
      </c>
      <c r="F280" s="58">
        <v>6.83</v>
      </c>
      <c r="G280" s="5">
        <v>2.0</v>
      </c>
      <c r="H280" s="58">
        <v>100.0</v>
      </c>
      <c r="I280" s="58">
        <v>100.0</v>
      </c>
      <c r="J280" s="7">
        <f t="shared" si="1"/>
        <v>32.79584</v>
      </c>
      <c r="K280" s="7">
        <f t="shared" si="2"/>
        <v>29.8144</v>
      </c>
      <c r="L280" s="8">
        <f t="shared" si="3"/>
        <v>0.3020012664</v>
      </c>
      <c r="M280" s="8">
        <f t="shared" si="4"/>
        <v>0.09060037991</v>
      </c>
      <c r="N280" s="8">
        <f t="shared" si="5"/>
        <v>0.01812007598</v>
      </c>
      <c r="O280" s="8">
        <f t="shared" si="6"/>
        <v>0.0596288</v>
      </c>
      <c r="P280" s="8">
        <f t="shared" si="7"/>
        <v>0.0894432</v>
      </c>
      <c r="Q280" s="8">
        <f t="shared" si="8"/>
        <v>0.0298144</v>
      </c>
      <c r="R280" s="57"/>
      <c r="S280" s="57"/>
      <c r="T280" s="57"/>
      <c r="U280" s="57"/>
      <c r="V280" s="57"/>
      <c r="W280" s="57"/>
      <c r="X280" s="57"/>
      <c r="Y280" s="57"/>
      <c r="Z280" s="17"/>
    </row>
    <row r="281" ht="34.5" customHeight="1">
      <c r="A281" s="54" t="s">
        <v>284</v>
      </c>
      <c r="B281" s="5" t="s">
        <v>285</v>
      </c>
      <c r="C281" s="5" t="s">
        <v>324</v>
      </c>
      <c r="D281" s="5" t="s">
        <v>326</v>
      </c>
      <c r="E281" s="5">
        <v>36.0</v>
      </c>
      <c r="F281" s="58">
        <v>5.72</v>
      </c>
      <c r="G281" s="5">
        <v>3.0</v>
      </c>
      <c r="H281" s="58">
        <v>100.0</v>
      </c>
      <c r="I281" s="58">
        <v>100.0</v>
      </c>
      <c r="J281" s="7">
        <f t="shared" si="1"/>
        <v>37.33488</v>
      </c>
      <c r="K281" s="7">
        <f t="shared" si="2"/>
        <v>33.9408</v>
      </c>
      <c r="L281" s="8">
        <f t="shared" si="3"/>
        <v>0.3437991233</v>
      </c>
      <c r="M281" s="8">
        <f t="shared" si="4"/>
        <v>0.103139737</v>
      </c>
      <c r="N281" s="8">
        <f t="shared" si="5"/>
        <v>0.0206279474</v>
      </c>
      <c r="O281" s="8">
        <f t="shared" si="6"/>
        <v>0.0678816</v>
      </c>
      <c r="P281" s="8">
        <f t="shared" si="7"/>
        <v>0.1018224</v>
      </c>
      <c r="Q281" s="8">
        <f t="shared" si="8"/>
        <v>0.0339408</v>
      </c>
      <c r="R281" s="57"/>
      <c r="S281" s="57"/>
      <c r="T281" s="57"/>
      <c r="U281" s="57"/>
      <c r="V281" s="57"/>
      <c r="W281" s="57"/>
      <c r="X281" s="57"/>
      <c r="Y281" s="57"/>
      <c r="Z281" s="17"/>
    </row>
    <row r="282" ht="34.5" customHeight="1">
      <c r="A282" s="54" t="s">
        <v>284</v>
      </c>
      <c r="B282" s="5" t="s">
        <v>285</v>
      </c>
      <c r="C282" s="5" t="s">
        <v>324</v>
      </c>
      <c r="D282" s="5" t="s">
        <v>327</v>
      </c>
      <c r="E282" s="5">
        <v>40.0</v>
      </c>
      <c r="F282" s="58">
        <v>14.72</v>
      </c>
      <c r="G282" s="5">
        <v>2.0</v>
      </c>
      <c r="H282" s="58">
        <v>100.0</v>
      </c>
      <c r="I282" s="58">
        <v>100.0</v>
      </c>
      <c r="J282" s="7">
        <f t="shared" si="1"/>
        <v>37.5232</v>
      </c>
      <c r="K282" s="7">
        <f t="shared" si="2"/>
        <v>34.112</v>
      </c>
      <c r="L282" s="8">
        <f t="shared" si="3"/>
        <v>0.3455332725</v>
      </c>
      <c r="M282" s="8">
        <f t="shared" si="4"/>
        <v>0.1036599817</v>
      </c>
      <c r="N282" s="8">
        <f t="shared" si="5"/>
        <v>0.02073199635</v>
      </c>
      <c r="O282" s="8">
        <f t="shared" si="6"/>
        <v>0.068224</v>
      </c>
      <c r="P282" s="8">
        <f t="shared" si="7"/>
        <v>0.102336</v>
      </c>
      <c r="Q282" s="8">
        <f t="shared" si="8"/>
        <v>0.034112</v>
      </c>
      <c r="R282" s="57"/>
      <c r="S282" s="57"/>
      <c r="T282" s="57"/>
      <c r="U282" s="57"/>
      <c r="V282" s="57"/>
      <c r="W282" s="57"/>
      <c r="X282" s="57"/>
      <c r="Y282" s="57"/>
      <c r="Z282" s="17"/>
    </row>
    <row r="283" ht="34.5" customHeight="1">
      <c r="A283" s="54" t="s">
        <v>284</v>
      </c>
      <c r="B283" s="5" t="s">
        <v>285</v>
      </c>
      <c r="C283" s="5" t="s">
        <v>324</v>
      </c>
      <c r="D283" s="5" t="s">
        <v>328</v>
      </c>
      <c r="E283" s="5">
        <v>397.0</v>
      </c>
      <c r="F283" s="58">
        <v>17.38</v>
      </c>
      <c r="G283" s="5">
        <v>13.0</v>
      </c>
      <c r="H283" s="58">
        <v>7.81</v>
      </c>
      <c r="I283" s="58">
        <v>27.29</v>
      </c>
      <c r="J283" s="7">
        <f t="shared" si="1"/>
        <v>360.80154</v>
      </c>
      <c r="K283" s="7">
        <f t="shared" si="2"/>
        <v>328.0014</v>
      </c>
      <c r="L283" s="8">
        <f t="shared" si="3"/>
        <v>3.322449493</v>
      </c>
      <c r="M283" s="8">
        <f t="shared" si="4"/>
        <v>0.9967348479</v>
      </c>
      <c r="N283" s="8">
        <f t="shared" si="5"/>
        <v>0.1993469696</v>
      </c>
      <c r="O283" s="8">
        <f t="shared" si="6"/>
        <v>0.6560028</v>
      </c>
      <c r="P283" s="8">
        <f t="shared" si="7"/>
        <v>0.9840042</v>
      </c>
      <c r="Q283" s="8">
        <f t="shared" si="8"/>
        <v>0.3280014</v>
      </c>
      <c r="R283" s="57"/>
      <c r="S283" s="57"/>
      <c r="T283" s="57"/>
      <c r="U283" s="57"/>
      <c r="V283" s="57"/>
      <c r="W283" s="57"/>
      <c r="X283" s="57"/>
      <c r="Y283" s="57"/>
      <c r="Z283" s="17"/>
    </row>
    <row r="284" ht="34.5" customHeight="1">
      <c r="A284" s="54" t="s">
        <v>284</v>
      </c>
      <c r="B284" s="5" t="s">
        <v>285</v>
      </c>
      <c r="C284" s="5" t="s">
        <v>324</v>
      </c>
      <c r="D284" s="5" t="s">
        <v>329</v>
      </c>
      <c r="E284" s="5">
        <v>297.0</v>
      </c>
      <c r="F284" s="58">
        <v>22.95</v>
      </c>
      <c r="G284" s="5">
        <v>10.0</v>
      </c>
      <c r="H284" s="58">
        <v>69.85</v>
      </c>
      <c r="I284" s="58">
        <v>100.0</v>
      </c>
      <c r="J284" s="7">
        <f t="shared" si="1"/>
        <v>251.72235</v>
      </c>
      <c r="K284" s="7">
        <f t="shared" si="2"/>
        <v>228.8385</v>
      </c>
      <c r="L284" s="8">
        <f t="shared" si="3"/>
        <v>2.317991199</v>
      </c>
      <c r="M284" s="8">
        <f t="shared" si="4"/>
        <v>0.6953973596</v>
      </c>
      <c r="N284" s="8">
        <f t="shared" si="5"/>
        <v>0.1390794719</v>
      </c>
      <c r="O284" s="8">
        <f t="shared" si="6"/>
        <v>0.457677</v>
      </c>
      <c r="P284" s="8">
        <f t="shared" si="7"/>
        <v>0.6865155</v>
      </c>
      <c r="Q284" s="8">
        <f t="shared" si="8"/>
        <v>0.2288385</v>
      </c>
      <c r="R284" s="57"/>
      <c r="S284" s="57"/>
      <c r="T284" s="57"/>
      <c r="U284" s="57"/>
      <c r="V284" s="57"/>
      <c r="W284" s="57"/>
      <c r="X284" s="57"/>
      <c r="Y284" s="57"/>
      <c r="Z284" s="17"/>
    </row>
    <row r="285" ht="34.5" customHeight="1">
      <c r="A285" s="54" t="s">
        <v>284</v>
      </c>
      <c r="B285" s="5" t="s">
        <v>285</v>
      </c>
      <c r="C285" s="5" t="s">
        <v>330</v>
      </c>
      <c r="D285" s="5" t="s">
        <v>331</v>
      </c>
      <c r="E285" s="5">
        <v>86.0</v>
      </c>
      <c r="F285" s="58">
        <v>6.66</v>
      </c>
      <c r="G285" s="5">
        <v>4.0</v>
      </c>
      <c r="H285" s="58">
        <v>100.0</v>
      </c>
      <c r="I285" s="58">
        <v>100.0</v>
      </c>
      <c r="J285" s="7">
        <f t="shared" si="1"/>
        <v>88.29964</v>
      </c>
      <c r="K285" s="7">
        <f t="shared" si="2"/>
        <v>80.2724</v>
      </c>
      <c r="L285" s="8">
        <f t="shared" si="3"/>
        <v>0.8131093181</v>
      </c>
      <c r="M285" s="8">
        <f t="shared" si="4"/>
        <v>0.2439327954</v>
      </c>
      <c r="N285" s="8">
        <f t="shared" si="5"/>
        <v>0.04878655909</v>
      </c>
      <c r="O285" s="8">
        <f t="shared" si="6"/>
        <v>0.1605448</v>
      </c>
      <c r="P285" s="8">
        <f t="shared" si="7"/>
        <v>0.2408172</v>
      </c>
      <c r="Q285" s="8">
        <f t="shared" si="8"/>
        <v>0.0802724</v>
      </c>
      <c r="R285" s="57"/>
      <c r="S285" s="57"/>
      <c r="T285" s="57"/>
      <c r="U285" s="57"/>
      <c r="V285" s="57"/>
      <c r="W285" s="57"/>
      <c r="X285" s="57"/>
      <c r="Y285" s="57"/>
      <c r="Z285" s="17"/>
    </row>
    <row r="286" ht="34.5" customHeight="1">
      <c r="A286" s="54" t="s">
        <v>284</v>
      </c>
      <c r="B286" s="5" t="s">
        <v>285</v>
      </c>
      <c r="C286" s="5" t="s">
        <v>330</v>
      </c>
      <c r="D286" s="5" t="s">
        <v>332</v>
      </c>
      <c r="E286" s="5">
        <v>134.0</v>
      </c>
      <c r="F286" s="58">
        <v>19.97</v>
      </c>
      <c r="G286" s="5">
        <v>8.0</v>
      </c>
      <c r="H286" s="58">
        <v>100.0</v>
      </c>
      <c r="I286" s="58">
        <v>100.0</v>
      </c>
      <c r="J286" s="7">
        <f t="shared" si="1"/>
        <v>117.96422</v>
      </c>
      <c r="K286" s="7">
        <f t="shared" si="2"/>
        <v>107.2402</v>
      </c>
      <c r="L286" s="8">
        <f t="shared" si="3"/>
        <v>1.086276303</v>
      </c>
      <c r="M286" s="8">
        <f t="shared" si="4"/>
        <v>0.3258828909</v>
      </c>
      <c r="N286" s="8">
        <f t="shared" si="5"/>
        <v>0.06517657817</v>
      </c>
      <c r="O286" s="8">
        <f t="shared" si="6"/>
        <v>0.2144804</v>
      </c>
      <c r="P286" s="8">
        <f t="shared" si="7"/>
        <v>0.3217206</v>
      </c>
      <c r="Q286" s="8">
        <f t="shared" si="8"/>
        <v>0.1072402</v>
      </c>
      <c r="R286" s="57"/>
      <c r="S286" s="57"/>
      <c r="T286" s="57"/>
      <c r="U286" s="57"/>
      <c r="V286" s="57"/>
      <c r="W286" s="57"/>
      <c r="X286" s="57"/>
      <c r="Y286" s="57"/>
      <c r="Z286" s="17"/>
    </row>
    <row r="287" ht="34.5" customHeight="1">
      <c r="A287" s="54" t="s">
        <v>284</v>
      </c>
      <c r="B287" s="5" t="s">
        <v>285</v>
      </c>
      <c r="C287" s="5" t="s">
        <v>330</v>
      </c>
      <c r="D287" s="5" t="s">
        <v>333</v>
      </c>
      <c r="E287" s="5">
        <v>149.0</v>
      </c>
      <c r="F287" s="58">
        <v>8.13</v>
      </c>
      <c r="G287" s="5">
        <v>8.0</v>
      </c>
      <c r="H287" s="58">
        <v>100.0</v>
      </c>
      <c r="I287" s="58">
        <v>100.0</v>
      </c>
      <c r="J287" s="7">
        <f t="shared" si="1"/>
        <v>150.57493</v>
      </c>
      <c r="K287" s="7">
        <f t="shared" si="2"/>
        <v>136.8863</v>
      </c>
      <c r="L287" s="8">
        <f t="shared" si="3"/>
        <v>1.386572795</v>
      </c>
      <c r="M287" s="8">
        <f t="shared" si="4"/>
        <v>0.4159718386</v>
      </c>
      <c r="N287" s="8">
        <f t="shared" si="5"/>
        <v>0.08319436772</v>
      </c>
      <c r="O287" s="8">
        <f t="shared" si="6"/>
        <v>0.2737726</v>
      </c>
      <c r="P287" s="8">
        <f t="shared" si="7"/>
        <v>0.4106589</v>
      </c>
      <c r="Q287" s="8">
        <f t="shared" si="8"/>
        <v>0.1368863</v>
      </c>
      <c r="R287" s="57"/>
      <c r="S287" s="57"/>
      <c r="T287" s="57"/>
      <c r="U287" s="57"/>
      <c r="V287" s="57"/>
      <c r="W287" s="57"/>
      <c r="X287" s="57"/>
      <c r="Y287" s="57"/>
      <c r="Z287" s="17"/>
    </row>
    <row r="288" ht="34.5" customHeight="1">
      <c r="A288" s="54" t="s">
        <v>284</v>
      </c>
      <c r="B288" s="25" t="s">
        <v>285</v>
      </c>
      <c r="C288" s="25" t="s">
        <v>330</v>
      </c>
      <c r="D288" s="25" t="s">
        <v>334</v>
      </c>
      <c r="E288" s="5">
        <v>278.0</v>
      </c>
      <c r="F288" s="58">
        <v>24.71</v>
      </c>
      <c r="G288" s="5">
        <v>10.0</v>
      </c>
      <c r="H288" s="58">
        <v>100.0</v>
      </c>
      <c r="I288" s="58">
        <v>100.0</v>
      </c>
      <c r="J288" s="7">
        <f t="shared" si="1"/>
        <v>230.23682</v>
      </c>
      <c r="K288" s="7">
        <f t="shared" si="2"/>
        <v>209.3062</v>
      </c>
      <c r="L288" s="8">
        <f t="shared" si="3"/>
        <v>2.120141189</v>
      </c>
      <c r="M288" s="8">
        <f t="shared" si="4"/>
        <v>0.6360423566</v>
      </c>
      <c r="N288" s="8">
        <f t="shared" si="5"/>
        <v>0.1272084713</v>
      </c>
      <c r="O288" s="8">
        <f t="shared" si="6"/>
        <v>0.4186124</v>
      </c>
      <c r="P288" s="8">
        <f t="shared" si="7"/>
        <v>0.6279186</v>
      </c>
      <c r="Q288" s="8">
        <f t="shared" si="8"/>
        <v>0.2093062</v>
      </c>
      <c r="R288" s="57"/>
      <c r="S288" s="57"/>
      <c r="T288" s="57"/>
      <c r="U288" s="57"/>
      <c r="V288" s="57"/>
      <c r="W288" s="57"/>
      <c r="X288" s="57"/>
      <c r="Y288" s="57"/>
      <c r="Z288" s="17"/>
    </row>
    <row r="289" ht="34.5" customHeight="1">
      <c r="A289" s="54" t="s">
        <v>335</v>
      </c>
      <c r="B289" s="59" t="s">
        <v>336</v>
      </c>
      <c r="C289" s="5" t="s">
        <v>337</v>
      </c>
      <c r="D289" s="59" t="s">
        <v>336</v>
      </c>
      <c r="E289" s="59">
        <v>1974.0</v>
      </c>
      <c r="F289" s="60">
        <v>33.34</v>
      </c>
      <c r="G289" s="5">
        <v>18.0</v>
      </c>
      <c r="H289" s="6">
        <v>77.05</v>
      </c>
      <c r="I289" s="60">
        <v>89.73</v>
      </c>
      <c r="J289" s="7">
        <f t="shared" si="1"/>
        <v>1447.45524</v>
      </c>
      <c r="K289" s="7">
        <f t="shared" si="2"/>
        <v>1315.8684</v>
      </c>
      <c r="L289" s="8">
        <f t="shared" si="3"/>
        <v>13.32892573</v>
      </c>
      <c r="M289" s="8">
        <f t="shared" si="4"/>
        <v>3.998677718</v>
      </c>
      <c r="N289" s="8">
        <f t="shared" si="5"/>
        <v>0.7997355436</v>
      </c>
      <c r="O289" s="8">
        <f t="shared" si="6"/>
        <v>2.6317368</v>
      </c>
      <c r="P289" s="8">
        <f t="shared" si="7"/>
        <v>3.9476052</v>
      </c>
      <c r="Q289" s="8">
        <f t="shared" si="8"/>
        <v>1.3158684</v>
      </c>
      <c r="R289" s="57"/>
      <c r="S289" s="57"/>
      <c r="T289" s="57"/>
      <c r="U289" s="57"/>
      <c r="V289" s="57"/>
      <c r="W289" s="57"/>
      <c r="X289" s="57"/>
      <c r="Y289" s="57"/>
      <c r="Z289" s="61"/>
    </row>
    <row r="290" ht="34.5" customHeight="1">
      <c r="A290" s="54" t="s">
        <v>335</v>
      </c>
      <c r="B290" s="59" t="s">
        <v>336</v>
      </c>
      <c r="C290" s="5" t="s">
        <v>337</v>
      </c>
      <c r="D290" s="59" t="s">
        <v>338</v>
      </c>
      <c r="E290" s="59">
        <v>132.0</v>
      </c>
      <c r="F290" s="60">
        <v>23.42</v>
      </c>
      <c r="G290" s="5">
        <v>5.0</v>
      </c>
      <c r="H290" s="6">
        <v>68.14</v>
      </c>
      <c r="I290" s="60">
        <v>87.89</v>
      </c>
      <c r="J290" s="7">
        <f t="shared" si="1"/>
        <v>111.19416</v>
      </c>
      <c r="K290" s="7">
        <f t="shared" si="2"/>
        <v>101.0856</v>
      </c>
      <c r="L290" s="8">
        <f t="shared" si="3"/>
        <v>1.023934046</v>
      </c>
      <c r="M290" s="8">
        <f t="shared" si="4"/>
        <v>0.3071802137</v>
      </c>
      <c r="N290" s="8">
        <f t="shared" si="5"/>
        <v>0.06143604274</v>
      </c>
      <c r="O290" s="8">
        <f t="shared" si="6"/>
        <v>0.2021712</v>
      </c>
      <c r="P290" s="8">
        <f t="shared" si="7"/>
        <v>0.3032568</v>
      </c>
      <c r="Q290" s="8">
        <f t="shared" si="8"/>
        <v>0.1010856</v>
      </c>
      <c r="R290" s="57"/>
      <c r="S290" s="57"/>
      <c r="T290" s="57"/>
      <c r="U290" s="57"/>
      <c r="V290" s="57"/>
      <c r="W290" s="57"/>
      <c r="X290" s="57"/>
      <c r="Y290" s="57"/>
      <c r="Z290" s="61"/>
    </row>
    <row r="291" ht="34.5" customHeight="1">
      <c r="A291" s="54" t="s">
        <v>335</v>
      </c>
      <c r="B291" s="59" t="s">
        <v>336</v>
      </c>
      <c r="C291" s="5" t="s">
        <v>337</v>
      </c>
      <c r="D291" s="59" t="s">
        <v>339</v>
      </c>
      <c r="E291" s="59">
        <v>33.0</v>
      </c>
      <c r="F291" s="60">
        <v>41.53</v>
      </c>
      <c r="G291" s="5">
        <v>1.0</v>
      </c>
      <c r="H291" s="6">
        <v>100.0</v>
      </c>
      <c r="I291" s="60">
        <v>100.0</v>
      </c>
      <c r="J291" s="7">
        <f t="shared" si="1"/>
        <v>21.22461</v>
      </c>
      <c r="K291" s="7">
        <f t="shared" si="2"/>
        <v>19.2951</v>
      </c>
      <c r="L291" s="8">
        <f t="shared" si="3"/>
        <v>0.1954473219</v>
      </c>
      <c r="M291" s="8">
        <f t="shared" si="4"/>
        <v>0.05863419658</v>
      </c>
      <c r="N291" s="8">
        <f t="shared" si="5"/>
        <v>0.01172683932</v>
      </c>
      <c r="O291" s="8">
        <f t="shared" si="6"/>
        <v>0.0385902</v>
      </c>
      <c r="P291" s="8">
        <f t="shared" si="7"/>
        <v>0.0578853</v>
      </c>
      <c r="Q291" s="8">
        <f t="shared" si="8"/>
        <v>0.0192951</v>
      </c>
      <c r="R291" s="57"/>
      <c r="S291" s="57"/>
      <c r="T291" s="57"/>
      <c r="U291" s="57"/>
      <c r="V291" s="57"/>
      <c r="W291" s="57"/>
      <c r="X291" s="57"/>
      <c r="Y291" s="57"/>
      <c r="Z291" s="61"/>
    </row>
    <row r="292" ht="34.5" customHeight="1">
      <c r="A292" s="54" t="s">
        <v>335</v>
      </c>
      <c r="B292" s="59" t="s">
        <v>336</v>
      </c>
      <c r="C292" s="5" t="s">
        <v>337</v>
      </c>
      <c r="D292" s="59" t="s">
        <v>340</v>
      </c>
      <c r="E292" s="59">
        <v>49.0</v>
      </c>
      <c r="F292" s="60">
        <v>17.07</v>
      </c>
      <c r="G292" s="5">
        <v>1.0</v>
      </c>
      <c r="H292" s="6">
        <v>100.0</v>
      </c>
      <c r="I292" s="60">
        <v>100.0</v>
      </c>
      <c r="J292" s="7">
        <f t="shared" si="1"/>
        <v>44.69927</v>
      </c>
      <c r="K292" s="7">
        <f t="shared" si="2"/>
        <v>40.6357</v>
      </c>
      <c r="L292" s="8">
        <f t="shared" si="3"/>
        <v>0.4116142823</v>
      </c>
      <c r="M292" s="8">
        <f t="shared" si="4"/>
        <v>0.1234842847</v>
      </c>
      <c r="N292" s="8">
        <f t="shared" si="5"/>
        <v>0.02469685694</v>
      </c>
      <c r="O292" s="8">
        <f t="shared" si="6"/>
        <v>0.0812714</v>
      </c>
      <c r="P292" s="8">
        <f t="shared" si="7"/>
        <v>0.1219071</v>
      </c>
      <c r="Q292" s="8">
        <f t="shared" si="8"/>
        <v>0.0406357</v>
      </c>
      <c r="R292" s="57"/>
      <c r="S292" s="57"/>
      <c r="T292" s="57"/>
      <c r="U292" s="57"/>
      <c r="V292" s="57"/>
      <c r="W292" s="57"/>
      <c r="X292" s="57"/>
      <c r="Y292" s="57"/>
      <c r="Z292" s="61"/>
    </row>
    <row r="293" ht="34.5" customHeight="1">
      <c r="A293" s="54" t="s">
        <v>335</v>
      </c>
      <c r="B293" s="59" t="s">
        <v>336</v>
      </c>
      <c r="C293" s="5" t="s">
        <v>337</v>
      </c>
      <c r="D293" s="59" t="s">
        <v>341</v>
      </c>
      <c r="E293" s="59">
        <v>278.0</v>
      </c>
      <c r="F293" s="60">
        <v>30.49</v>
      </c>
      <c r="G293" s="5">
        <v>4.0</v>
      </c>
      <c r="H293" s="6">
        <v>0.0</v>
      </c>
      <c r="I293" s="60">
        <v>62.39</v>
      </c>
      <c r="J293" s="7">
        <f t="shared" si="1"/>
        <v>212.56158</v>
      </c>
      <c r="K293" s="7">
        <f t="shared" si="2"/>
        <v>193.2378</v>
      </c>
      <c r="L293" s="8">
        <f t="shared" si="3"/>
        <v>1.957378324</v>
      </c>
      <c r="M293" s="8">
        <f t="shared" si="4"/>
        <v>0.5872134973</v>
      </c>
      <c r="N293" s="8">
        <f t="shared" si="5"/>
        <v>0.1174426995</v>
      </c>
      <c r="O293" s="8">
        <f t="shared" si="6"/>
        <v>0.3864756</v>
      </c>
      <c r="P293" s="8">
        <f t="shared" si="7"/>
        <v>0.5797134</v>
      </c>
      <c r="Q293" s="8">
        <f t="shared" si="8"/>
        <v>0.1932378</v>
      </c>
      <c r="R293" s="57"/>
      <c r="S293" s="57"/>
      <c r="T293" s="57"/>
      <c r="U293" s="57"/>
      <c r="V293" s="57"/>
      <c r="W293" s="57"/>
      <c r="X293" s="57"/>
      <c r="Y293" s="57"/>
      <c r="Z293" s="61"/>
    </row>
    <row r="294" ht="34.5" customHeight="1">
      <c r="A294" s="54" t="s">
        <v>335</v>
      </c>
      <c r="B294" s="59" t="s">
        <v>336</v>
      </c>
      <c r="C294" s="5" t="s">
        <v>337</v>
      </c>
      <c r="D294" s="59" t="s">
        <v>342</v>
      </c>
      <c r="E294" s="59">
        <v>55.0</v>
      </c>
      <c r="F294" s="60">
        <v>12.72</v>
      </c>
      <c r="G294" s="5">
        <v>1.0</v>
      </c>
      <c r="H294" s="6">
        <v>65.5</v>
      </c>
      <c r="I294" s="60">
        <v>65.5</v>
      </c>
      <c r="J294" s="7">
        <f t="shared" si="1"/>
        <v>52.8044</v>
      </c>
      <c r="K294" s="7">
        <f t="shared" si="2"/>
        <v>48.004</v>
      </c>
      <c r="L294" s="8">
        <f t="shared" si="3"/>
        <v>0.4862505632</v>
      </c>
      <c r="M294" s="8">
        <f t="shared" si="4"/>
        <v>0.1458751689</v>
      </c>
      <c r="N294" s="8">
        <f t="shared" si="5"/>
        <v>0.02917503379</v>
      </c>
      <c r="O294" s="8">
        <f t="shared" si="6"/>
        <v>0.096008</v>
      </c>
      <c r="P294" s="8">
        <f t="shared" si="7"/>
        <v>0.144012</v>
      </c>
      <c r="Q294" s="8">
        <f t="shared" si="8"/>
        <v>0.048004</v>
      </c>
      <c r="R294" s="57"/>
      <c r="S294" s="57"/>
      <c r="T294" s="57"/>
      <c r="U294" s="57"/>
      <c r="V294" s="57"/>
      <c r="W294" s="57"/>
      <c r="X294" s="57"/>
      <c r="Y294" s="57"/>
      <c r="Z294" s="61"/>
    </row>
    <row r="295" ht="34.5" customHeight="1">
      <c r="A295" s="54" t="s">
        <v>335</v>
      </c>
      <c r="B295" s="59" t="s">
        <v>336</v>
      </c>
      <c r="C295" s="5" t="s">
        <v>337</v>
      </c>
      <c r="D295" s="59" t="s">
        <v>343</v>
      </c>
      <c r="E295" s="59">
        <v>10.0</v>
      </c>
      <c r="F295" s="60">
        <v>14.16</v>
      </c>
      <c r="G295" s="5">
        <v>1.0</v>
      </c>
      <c r="H295" s="6">
        <v>100.0</v>
      </c>
      <c r="I295" s="60">
        <v>100.0</v>
      </c>
      <c r="J295" s="7">
        <f t="shared" si="1"/>
        <v>9.4424</v>
      </c>
      <c r="K295" s="7">
        <f t="shared" si="2"/>
        <v>8.584</v>
      </c>
      <c r="L295" s="8">
        <f t="shared" si="3"/>
        <v>0.08695056317</v>
      </c>
      <c r="M295" s="8">
        <f t="shared" si="4"/>
        <v>0.02608516895</v>
      </c>
      <c r="N295" s="8">
        <f t="shared" si="5"/>
        <v>0.00521703379</v>
      </c>
      <c r="O295" s="8">
        <f t="shared" si="6"/>
        <v>0.017168</v>
      </c>
      <c r="P295" s="8">
        <f t="shared" si="7"/>
        <v>0.025752</v>
      </c>
      <c r="Q295" s="8">
        <f t="shared" si="8"/>
        <v>0.008584</v>
      </c>
      <c r="R295" s="57"/>
      <c r="S295" s="57"/>
      <c r="T295" s="57"/>
      <c r="U295" s="57"/>
      <c r="V295" s="57"/>
      <c r="W295" s="57"/>
      <c r="X295" s="57"/>
      <c r="Y295" s="57"/>
      <c r="Z295" s="61"/>
    </row>
    <row r="296" ht="34.5" customHeight="1">
      <c r="A296" s="54" t="s">
        <v>335</v>
      </c>
      <c r="B296" s="59" t="s">
        <v>336</v>
      </c>
      <c r="C296" s="5" t="s">
        <v>337</v>
      </c>
      <c r="D296" s="59" t="s">
        <v>344</v>
      </c>
      <c r="E296" s="59">
        <v>20.0</v>
      </c>
      <c r="F296" s="60">
        <v>15.19</v>
      </c>
      <c r="G296" s="5">
        <v>1.0</v>
      </c>
      <c r="H296" s="6">
        <v>84.13</v>
      </c>
      <c r="I296" s="60">
        <v>100.0</v>
      </c>
      <c r="J296" s="7">
        <f t="shared" si="1"/>
        <v>18.6582</v>
      </c>
      <c r="K296" s="7">
        <f t="shared" si="2"/>
        <v>16.962</v>
      </c>
      <c r="L296" s="8">
        <f t="shared" si="3"/>
        <v>0.1718144749</v>
      </c>
      <c r="M296" s="8">
        <f t="shared" si="4"/>
        <v>0.05154434247</v>
      </c>
      <c r="N296" s="8">
        <f t="shared" si="5"/>
        <v>0.01030886849</v>
      </c>
      <c r="O296" s="8">
        <f t="shared" si="6"/>
        <v>0.033924</v>
      </c>
      <c r="P296" s="8">
        <f t="shared" si="7"/>
        <v>0.050886</v>
      </c>
      <c r="Q296" s="8">
        <f t="shared" si="8"/>
        <v>0.016962</v>
      </c>
      <c r="R296" s="57"/>
      <c r="S296" s="57"/>
      <c r="T296" s="57"/>
      <c r="U296" s="57"/>
      <c r="V296" s="57"/>
      <c r="W296" s="57"/>
      <c r="X296" s="57"/>
      <c r="Y296" s="57"/>
      <c r="Z296" s="61"/>
    </row>
    <row r="297" ht="34.5" customHeight="1">
      <c r="A297" s="54" t="s">
        <v>335</v>
      </c>
      <c r="B297" s="59" t="s">
        <v>336</v>
      </c>
      <c r="C297" s="5" t="s">
        <v>337</v>
      </c>
      <c r="D297" s="59" t="s">
        <v>345</v>
      </c>
      <c r="E297" s="59">
        <v>26.0</v>
      </c>
      <c r="F297" s="60">
        <v>26.51</v>
      </c>
      <c r="G297" s="5">
        <v>2.0</v>
      </c>
      <c r="H297" s="6">
        <v>0.0</v>
      </c>
      <c r="I297" s="60">
        <v>0.0</v>
      </c>
      <c r="J297" s="7">
        <f t="shared" si="1"/>
        <v>21.01814</v>
      </c>
      <c r="K297" s="7">
        <f t="shared" si="2"/>
        <v>19.1074</v>
      </c>
      <c r="L297" s="8">
        <f t="shared" si="3"/>
        <v>0.1935460381</v>
      </c>
      <c r="M297" s="8">
        <f t="shared" si="4"/>
        <v>0.05806381142</v>
      </c>
      <c r="N297" s="8">
        <f t="shared" si="5"/>
        <v>0.01161276228</v>
      </c>
      <c r="O297" s="8">
        <f t="shared" si="6"/>
        <v>0.0382148</v>
      </c>
      <c r="P297" s="8">
        <f t="shared" si="7"/>
        <v>0.0573222</v>
      </c>
      <c r="Q297" s="8">
        <f t="shared" si="8"/>
        <v>0.0191074</v>
      </c>
      <c r="R297" s="57"/>
      <c r="S297" s="57"/>
      <c r="T297" s="57"/>
      <c r="U297" s="57"/>
      <c r="V297" s="57"/>
      <c r="W297" s="57"/>
      <c r="X297" s="57"/>
      <c r="Y297" s="57"/>
      <c r="Z297" s="61"/>
    </row>
    <row r="298" ht="34.5" customHeight="1">
      <c r="A298" s="54" t="s">
        <v>335</v>
      </c>
      <c r="B298" s="59" t="s">
        <v>336</v>
      </c>
      <c r="C298" s="5" t="s">
        <v>337</v>
      </c>
      <c r="D298" s="59" t="s">
        <v>346</v>
      </c>
      <c r="E298" s="59">
        <v>76.0</v>
      </c>
      <c r="F298" s="60">
        <v>12.42</v>
      </c>
      <c r="G298" s="5">
        <v>3.0</v>
      </c>
      <c r="H298" s="6">
        <v>40.97</v>
      </c>
      <c r="I298" s="60">
        <v>100.0</v>
      </c>
      <c r="J298" s="7">
        <f t="shared" si="1"/>
        <v>73.21688</v>
      </c>
      <c r="K298" s="7">
        <f t="shared" si="2"/>
        <v>66.5608</v>
      </c>
      <c r="L298" s="8">
        <f t="shared" si="3"/>
        <v>0.6742193668</v>
      </c>
      <c r="M298" s="8">
        <f t="shared" si="4"/>
        <v>0.20226581</v>
      </c>
      <c r="N298" s="8">
        <f t="shared" si="5"/>
        <v>0.04045316201</v>
      </c>
      <c r="O298" s="8">
        <f t="shared" si="6"/>
        <v>0.1331216</v>
      </c>
      <c r="P298" s="8">
        <f t="shared" si="7"/>
        <v>0.1996824</v>
      </c>
      <c r="Q298" s="8">
        <f t="shared" si="8"/>
        <v>0.0665608</v>
      </c>
      <c r="R298" s="57"/>
      <c r="S298" s="57"/>
      <c r="T298" s="57"/>
      <c r="U298" s="57"/>
      <c r="V298" s="57"/>
      <c r="W298" s="57"/>
      <c r="X298" s="57"/>
      <c r="Y298" s="57"/>
      <c r="Z298" s="61"/>
    </row>
    <row r="299" ht="34.5" customHeight="1">
      <c r="A299" s="54" t="s">
        <v>335</v>
      </c>
      <c r="B299" s="59" t="s">
        <v>336</v>
      </c>
      <c r="C299" s="5" t="s">
        <v>337</v>
      </c>
      <c r="D299" s="59" t="s">
        <v>347</v>
      </c>
      <c r="E299" s="59">
        <v>243.0</v>
      </c>
      <c r="F299" s="60">
        <v>30.02</v>
      </c>
      <c r="G299" s="5">
        <v>5.0</v>
      </c>
      <c r="H299" s="6">
        <v>78.17</v>
      </c>
      <c r="I299" s="60">
        <v>92.11</v>
      </c>
      <c r="J299" s="7">
        <f t="shared" si="1"/>
        <v>187.05654</v>
      </c>
      <c r="K299" s="7">
        <f t="shared" si="2"/>
        <v>170.0514</v>
      </c>
      <c r="L299" s="8">
        <f t="shared" si="3"/>
        <v>1.722514562</v>
      </c>
      <c r="M299" s="8">
        <f t="shared" si="4"/>
        <v>0.5167543685</v>
      </c>
      <c r="N299" s="8">
        <f t="shared" si="5"/>
        <v>0.1033508737</v>
      </c>
      <c r="O299" s="8">
        <f t="shared" si="6"/>
        <v>0.3401028</v>
      </c>
      <c r="P299" s="8">
        <f t="shared" si="7"/>
        <v>0.5101542</v>
      </c>
      <c r="Q299" s="8">
        <f t="shared" si="8"/>
        <v>0.1700514</v>
      </c>
      <c r="R299" s="57"/>
      <c r="S299" s="57"/>
      <c r="T299" s="57"/>
      <c r="U299" s="57"/>
      <c r="V299" s="57"/>
      <c r="W299" s="57"/>
      <c r="X299" s="57"/>
      <c r="Y299" s="57"/>
      <c r="Z299" s="61"/>
    </row>
    <row r="300" ht="34.5" customHeight="1">
      <c r="A300" s="54" t="s">
        <v>335</v>
      </c>
      <c r="B300" s="59" t="s">
        <v>336</v>
      </c>
      <c r="C300" s="5" t="s">
        <v>348</v>
      </c>
      <c r="D300" s="59" t="s">
        <v>349</v>
      </c>
      <c r="E300" s="59">
        <v>553.0</v>
      </c>
      <c r="F300" s="60">
        <v>20.62</v>
      </c>
      <c r="G300" s="59">
        <v>6.0</v>
      </c>
      <c r="H300" s="60">
        <v>90.54</v>
      </c>
      <c r="I300" s="60">
        <v>94.54</v>
      </c>
      <c r="J300" s="7">
        <f t="shared" si="1"/>
        <v>482.86854</v>
      </c>
      <c r="K300" s="7">
        <f t="shared" si="2"/>
        <v>438.9714</v>
      </c>
      <c r="L300" s="8">
        <f t="shared" si="3"/>
        <v>4.446506342</v>
      </c>
      <c r="M300" s="8">
        <f t="shared" si="4"/>
        <v>1.333951903</v>
      </c>
      <c r="N300" s="8">
        <f t="shared" si="5"/>
        <v>0.2667903805</v>
      </c>
      <c r="O300" s="8">
        <f t="shared" si="6"/>
        <v>0.8779428</v>
      </c>
      <c r="P300" s="8">
        <f t="shared" si="7"/>
        <v>1.3169142</v>
      </c>
      <c r="Q300" s="8">
        <f t="shared" si="8"/>
        <v>0.4389714</v>
      </c>
      <c r="R300" s="57"/>
      <c r="S300" s="57"/>
      <c r="T300" s="57"/>
      <c r="U300" s="57"/>
      <c r="V300" s="57"/>
      <c r="W300" s="57"/>
      <c r="X300" s="57"/>
      <c r="Y300" s="57"/>
      <c r="Z300" s="61"/>
    </row>
    <row r="301" ht="34.5" customHeight="1">
      <c r="A301" s="54" t="s">
        <v>335</v>
      </c>
      <c r="B301" s="59" t="s">
        <v>336</v>
      </c>
      <c r="C301" s="5" t="s">
        <v>348</v>
      </c>
      <c r="D301" s="59" t="s">
        <v>350</v>
      </c>
      <c r="E301" s="59">
        <v>202.0</v>
      </c>
      <c r="F301" s="60">
        <v>19.56</v>
      </c>
      <c r="G301" s="62">
        <v>5.0</v>
      </c>
      <c r="H301" s="63">
        <v>82.12</v>
      </c>
      <c r="I301" s="60">
        <v>100.0</v>
      </c>
      <c r="J301" s="7">
        <f t="shared" si="1"/>
        <v>178.73768</v>
      </c>
      <c r="K301" s="7">
        <f t="shared" si="2"/>
        <v>162.4888</v>
      </c>
      <c r="L301" s="8">
        <f t="shared" si="3"/>
        <v>1.645910143</v>
      </c>
      <c r="M301" s="8">
        <f t="shared" si="4"/>
        <v>0.4937730429</v>
      </c>
      <c r="N301" s="8">
        <f t="shared" si="5"/>
        <v>0.09875460858</v>
      </c>
      <c r="O301" s="8">
        <f t="shared" si="6"/>
        <v>0.3249776</v>
      </c>
      <c r="P301" s="8">
        <f t="shared" si="7"/>
        <v>0.4874664</v>
      </c>
      <c r="Q301" s="8">
        <f t="shared" si="8"/>
        <v>0.1624888</v>
      </c>
      <c r="R301" s="57"/>
      <c r="S301" s="57"/>
      <c r="T301" s="57"/>
      <c r="U301" s="57"/>
      <c r="V301" s="57"/>
      <c r="W301" s="57"/>
      <c r="X301" s="57"/>
      <c r="Y301" s="57"/>
      <c r="Z301" s="61"/>
    </row>
    <row r="302" ht="34.5" customHeight="1">
      <c r="A302" s="54" t="s">
        <v>335</v>
      </c>
      <c r="B302" s="59" t="s">
        <v>336</v>
      </c>
      <c r="C302" s="5" t="s">
        <v>348</v>
      </c>
      <c r="D302" s="59" t="s">
        <v>351</v>
      </c>
      <c r="E302" s="59">
        <v>50.0</v>
      </c>
      <c r="F302" s="60">
        <v>11.52</v>
      </c>
      <c r="G302" s="62">
        <v>1.0</v>
      </c>
      <c r="H302" s="63">
        <v>100.0</v>
      </c>
      <c r="I302" s="60">
        <v>100.0</v>
      </c>
      <c r="J302" s="7">
        <f t="shared" si="1"/>
        <v>48.664</v>
      </c>
      <c r="K302" s="7">
        <f t="shared" si="2"/>
        <v>44.24</v>
      </c>
      <c r="L302" s="8">
        <f t="shared" si="3"/>
        <v>0.4481235921</v>
      </c>
      <c r="M302" s="8">
        <f t="shared" si="4"/>
        <v>0.1344370776</v>
      </c>
      <c r="N302" s="8">
        <f t="shared" si="5"/>
        <v>0.02688741553</v>
      </c>
      <c r="O302" s="8">
        <f t="shared" si="6"/>
        <v>0.08848</v>
      </c>
      <c r="P302" s="8">
        <f t="shared" si="7"/>
        <v>0.13272</v>
      </c>
      <c r="Q302" s="8">
        <f t="shared" si="8"/>
        <v>0.04424</v>
      </c>
      <c r="R302" s="57"/>
      <c r="S302" s="57"/>
      <c r="T302" s="57"/>
      <c r="U302" s="57"/>
      <c r="V302" s="57"/>
      <c r="W302" s="57"/>
      <c r="X302" s="57"/>
      <c r="Y302" s="57"/>
      <c r="Z302" s="61"/>
    </row>
    <row r="303" ht="34.5" customHeight="1">
      <c r="A303" s="54" t="s">
        <v>335</v>
      </c>
      <c r="B303" s="59" t="s">
        <v>336</v>
      </c>
      <c r="C303" s="5" t="s">
        <v>348</v>
      </c>
      <c r="D303" s="59" t="s">
        <v>352</v>
      </c>
      <c r="E303" s="59">
        <v>199.0</v>
      </c>
      <c r="F303" s="60">
        <v>26.15</v>
      </c>
      <c r="G303" s="62">
        <v>4.0</v>
      </c>
      <c r="H303" s="63">
        <v>100.0</v>
      </c>
      <c r="I303" s="60">
        <v>100.0</v>
      </c>
      <c r="J303" s="7">
        <f t="shared" si="1"/>
        <v>161.65765</v>
      </c>
      <c r="K303" s="7">
        <f t="shared" si="2"/>
        <v>146.9615</v>
      </c>
      <c r="L303" s="8">
        <f t="shared" si="3"/>
        <v>1.488628284</v>
      </c>
      <c r="M303" s="8">
        <f t="shared" si="4"/>
        <v>0.4465884852</v>
      </c>
      <c r="N303" s="8">
        <f t="shared" si="5"/>
        <v>0.08931769703</v>
      </c>
      <c r="O303" s="8">
        <f t="shared" si="6"/>
        <v>0.293923</v>
      </c>
      <c r="P303" s="8">
        <f t="shared" si="7"/>
        <v>0.4408845</v>
      </c>
      <c r="Q303" s="8">
        <f t="shared" si="8"/>
        <v>0.1469615</v>
      </c>
      <c r="R303" s="57"/>
      <c r="S303" s="57"/>
      <c r="T303" s="57"/>
      <c r="U303" s="57"/>
      <c r="V303" s="57"/>
      <c r="W303" s="57"/>
      <c r="X303" s="57"/>
      <c r="Y303" s="57"/>
      <c r="Z303" s="61"/>
    </row>
    <row r="304" ht="34.5" customHeight="1">
      <c r="A304" s="54" t="s">
        <v>335</v>
      </c>
      <c r="B304" s="59" t="s">
        <v>336</v>
      </c>
      <c r="C304" s="5" t="s">
        <v>348</v>
      </c>
      <c r="D304" s="59" t="s">
        <v>353</v>
      </c>
      <c r="E304" s="59">
        <v>46.0</v>
      </c>
      <c r="F304" s="60">
        <v>12.11</v>
      </c>
      <c r="G304" s="62">
        <v>1.0</v>
      </c>
      <c r="H304" s="63">
        <v>100.0</v>
      </c>
      <c r="I304" s="60">
        <v>100.0</v>
      </c>
      <c r="J304" s="7">
        <f t="shared" si="1"/>
        <v>44.47234</v>
      </c>
      <c r="K304" s="7">
        <f t="shared" si="2"/>
        <v>40.4294</v>
      </c>
      <c r="L304" s="8">
        <f t="shared" si="3"/>
        <v>0.4095245921</v>
      </c>
      <c r="M304" s="8">
        <f t="shared" si="4"/>
        <v>0.1228573776</v>
      </c>
      <c r="N304" s="8">
        <f t="shared" si="5"/>
        <v>0.02457147553</v>
      </c>
      <c r="O304" s="8">
        <f t="shared" si="6"/>
        <v>0.0808588</v>
      </c>
      <c r="P304" s="8">
        <f t="shared" si="7"/>
        <v>0.1212882</v>
      </c>
      <c r="Q304" s="8">
        <f t="shared" si="8"/>
        <v>0.0404294</v>
      </c>
      <c r="R304" s="57"/>
      <c r="S304" s="57"/>
      <c r="T304" s="57"/>
      <c r="U304" s="57"/>
      <c r="V304" s="57"/>
      <c r="W304" s="57"/>
      <c r="X304" s="57"/>
      <c r="Y304" s="57"/>
      <c r="Z304" s="61"/>
    </row>
    <row r="305" ht="34.5" customHeight="1">
      <c r="A305" s="54" t="s">
        <v>335</v>
      </c>
      <c r="B305" s="59" t="s">
        <v>336</v>
      </c>
      <c r="C305" s="5" t="s">
        <v>348</v>
      </c>
      <c r="D305" s="59" t="s">
        <v>354</v>
      </c>
      <c r="E305" s="59">
        <v>36.0</v>
      </c>
      <c r="F305" s="60">
        <v>5.72</v>
      </c>
      <c r="G305" s="62">
        <v>2.0</v>
      </c>
      <c r="H305" s="63">
        <v>86.39</v>
      </c>
      <c r="I305" s="60">
        <v>86.39</v>
      </c>
      <c r="J305" s="7">
        <f t="shared" si="1"/>
        <v>37.33488</v>
      </c>
      <c r="K305" s="7">
        <f t="shared" si="2"/>
        <v>33.9408</v>
      </c>
      <c r="L305" s="8">
        <f t="shared" si="3"/>
        <v>0.3437991233</v>
      </c>
      <c r="M305" s="8">
        <f t="shared" si="4"/>
        <v>0.103139737</v>
      </c>
      <c r="N305" s="8">
        <f t="shared" si="5"/>
        <v>0.0206279474</v>
      </c>
      <c r="O305" s="8">
        <f t="shared" si="6"/>
        <v>0.0678816</v>
      </c>
      <c r="P305" s="8">
        <f t="shared" si="7"/>
        <v>0.1018224</v>
      </c>
      <c r="Q305" s="8">
        <f t="shared" si="8"/>
        <v>0.0339408</v>
      </c>
      <c r="R305" s="57"/>
      <c r="S305" s="57"/>
      <c r="T305" s="57"/>
      <c r="U305" s="57"/>
      <c r="V305" s="57"/>
      <c r="W305" s="57"/>
      <c r="X305" s="57"/>
      <c r="Y305" s="57"/>
      <c r="Z305" s="61"/>
    </row>
    <row r="306" ht="34.5" customHeight="1">
      <c r="A306" s="54" t="s">
        <v>335</v>
      </c>
      <c r="B306" s="59" t="s">
        <v>336</v>
      </c>
      <c r="C306" s="5" t="s">
        <v>348</v>
      </c>
      <c r="D306" s="59" t="s">
        <v>355</v>
      </c>
      <c r="E306" s="59">
        <v>222.0</v>
      </c>
      <c r="F306" s="60">
        <v>15.96</v>
      </c>
      <c r="G306" s="62">
        <v>6.0</v>
      </c>
      <c r="H306" s="63">
        <v>70.02</v>
      </c>
      <c r="I306" s="60">
        <v>85.34</v>
      </c>
      <c r="J306" s="7">
        <f t="shared" si="1"/>
        <v>205.22568</v>
      </c>
      <c r="K306" s="7">
        <f t="shared" si="2"/>
        <v>186.5688</v>
      </c>
      <c r="L306" s="8">
        <f t="shared" si="3"/>
        <v>1.889825516</v>
      </c>
      <c r="M306" s="8">
        <f t="shared" si="4"/>
        <v>0.5669476548</v>
      </c>
      <c r="N306" s="8">
        <f t="shared" si="5"/>
        <v>0.113389531</v>
      </c>
      <c r="O306" s="8">
        <f t="shared" si="6"/>
        <v>0.3731376</v>
      </c>
      <c r="P306" s="8">
        <f t="shared" si="7"/>
        <v>0.5597064</v>
      </c>
      <c r="Q306" s="8">
        <f t="shared" si="8"/>
        <v>0.1865688</v>
      </c>
      <c r="R306" s="57"/>
      <c r="S306" s="57"/>
      <c r="T306" s="57"/>
      <c r="U306" s="57"/>
      <c r="V306" s="57"/>
      <c r="W306" s="57"/>
      <c r="X306" s="57"/>
      <c r="Y306" s="57"/>
      <c r="Z306" s="61"/>
    </row>
    <row r="307" ht="34.5" customHeight="1">
      <c r="A307" s="54" t="s">
        <v>335</v>
      </c>
      <c r="B307" s="59" t="s">
        <v>336</v>
      </c>
      <c r="C307" s="5" t="s">
        <v>348</v>
      </c>
      <c r="D307" s="59" t="s">
        <v>356</v>
      </c>
      <c r="E307" s="59">
        <v>25.0</v>
      </c>
      <c r="F307" s="60">
        <v>12.94</v>
      </c>
      <c r="G307" s="62">
        <v>1.0</v>
      </c>
      <c r="H307" s="63">
        <v>100.0</v>
      </c>
      <c r="I307" s="60">
        <v>100.0</v>
      </c>
      <c r="J307" s="7">
        <f t="shared" si="1"/>
        <v>23.9415</v>
      </c>
      <c r="K307" s="7">
        <f t="shared" si="2"/>
        <v>21.765</v>
      </c>
      <c r="L307" s="8">
        <f t="shared" si="3"/>
        <v>0.2204658676</v>
      </c>
      <c r="M307" s="8">
        <f t="shared" si="4"/>
        <v>0.06613976027</v>
      </c>
      <c r="N307" s="8">
        <f t="shared" si="5"/>
        <v>0.01322795205</v>
      </c>
      <c r="O307" s="8">
        <f t="shared" si="6"/>
        <v>0.04353</v>
      </c>
      <c r="P307" s="8">
        <f t="shared" si="7"/>
        <v>0.065295</v>
      </c>
      <c r="Q307" s="8">
        <f t="shared" si="8"/>
        <v>0.021765</v>
      </c>
      <c r="R307" s="57"/>
      <c r="S307" s="57"/>
      <c r="T307" s="57"/>
      <c r="U307" s="57"/>
      <c r="V307" s="57"/>
      <c r="W307" s="57"/>
      <c r="X307" s="57"/>
      <c r="Y307" s="57"/>
      <c r="Z307" s="61"/>
    </row>
    <row r="308" ht="34.5" customHeight="1">
      <c r="A308" s="54" t="s">
        <v>335</v>
      </c>
      <c r="B308" s="59" t="s">
        <v>336</v>
      </c>
      <c r="C308" s="5" t="s">
        <v>348</v>
      </c>
      <c r="D308" s="59" t="s">
        <v>357</v>
      </c>
      <c r="E308" s="59">
        <v>51.0</v>
      </c>
      <c r="F308" s="60">
        <v>28.27</v>
      </c>
      <c r="G308" s="62">
        <v>2.0</v>
      </c>
      <c r="H308" s="63">
        <v>100.0</v>
      </c>
      <c r="I308" s="60">
        <v>100.0</v>
      </c>
      <c r="J308" s="7">
        <f t="shared" si="1"/>
        <v>40.24053</v>
      </c>
      <c r="K308" s="7">
        <f t="shared" si="2"/>
        <v>36.5823</v>
      </c>
      <c r="L308" s="8">
        <f t="shared" si="3"/>
        <v>0.3705558699</v>
      </c>
      <c r="M308" s="8">
        <f t="shared" si="4"/>
        <v>0.111166761</v>
      </c>
      <c r="N308" s="8">
        <f t="shared" si="5"/>
        <v>0.02223335219</v>
      </c>
      <c r="O308" s="8">
        <f t="shared" si="6"/>
        <v>0.0731646</v>
      </c>
      <c r="P308" s="8">
        <f t="shared" si="7"/>
        <v>0.1097469</v>
      </c>
      <c r="Q308" s="8">
        <f t="shared" si="8"/>
        <v>0.0365823</v>
      </c>
      <c r="R308" s="57"/>
      <c r="S308" s="57"/>
      <c r="T308" s="57"/>
      <c r="U308" s="57"/>
      <c r="V308" s="57"/>
      <c r="W308" s="57"/>
      <c r="X308" s="57"/>
      <c r="Y308" s="57"/>
      <c r="Z308" s="61"/>
    </row>
    <row r="309" ht="34.5" customHeight="1">
      <c r="A309" s="54" t="s">
        <v>335</v>
      </c>
      <c r="B309" s="59" t="s">
        <v>336</v>
      </c>
      <c r="C309" s="5" t="s">
        <v>348</v>
      </c>
      <c r="D309" s="59" t="s">
        <v>358</v>
      </c>
      <c r="E309" s="59">
        <v>235.0</v>
      </c>
      <c r="F309" s="60">
        <v>21.45</v>
      </c>
      <c r="G309" s="62">
        <v>6.0</v>
      </c>
      <c r="H309" s="63">
        <v>100.0</v>
      </c>
      <c r="I309" s="60">
        <v>100.0</v>
      </c>
      <c r="J309" s="7">
        <f t="shared" si="1"/>
        <v>203.05175</v>
      </c>
      <c r="K309" s="7">
        <f t="shared" si="2"/>
        <v>184.5925</v>
      </c>
      <c r="L309" s="8">
        <f t="shared" si="3"/>
        <v>1.86980683</v>
      </c>
      <c r="M309" s="8">
        <f t="shared" si="4"/>
        <v>0.5609420491</v>
      </c>
      <c r="N309" s="8">
        <f t="shared" si="5"/>
        <v>0.1121884098</v>
      </c>
      <c r="O309" s="8">
        <f t="shared" si="6"/>
        <v>0.369185</v>
      </c>
      <c r="P309" s="8">
        <f t="shared" si="7"/>
        <v>0.5537775</v>
      </c>
      <c r="Q309" s="8">
        <f t="shared" si="8"/>
        <v>0.1845925</v>
      </c>
      <c r="R309" s="57"/>
      <c r="S309" s="57"/>
      <c r="T309" s="57"/>
      <c r="U309" s="57"/>
      <c r="V309" s="57"/>
      <c r="W309" s="57"/>
      <c r="X309" s="57"/>
      <c r="Y309" s="57"/>
      <c r="Z309" s="61"/>
    </row>
    <row r="310" ht="34.5" customHeight="1">
      <c r="A310" s="54" t="s">
        <v>335</v>
      </c>
      <c r="B310" s="59" t="s">
        <v>336</v>
      </c>
      <c r="C310" s="5" t="s">
        <v>348</v>
      </c>
      <c r="D310" s="59" t="s">
        <v>359</v>
      </c>
      <c r="E310" s="59">
        <v>89.0</v>
      </c>
      <c r="F310" s="60">
        <v>23.25</v>
      </c>
      <c r="G310" s="62">
        <v>2.0</v>
      </c>
      <c r="H310" s="63">
        <v>100.0</v>
      </c>
      <c r="I310" s="60">
        <v>100.0</v>
      </c>
      <c r="J310" s="7">
        <f t="shared" si="1"/>
        <v>75.13825</v>
      </c>
      <c r="K310" s="7">
        <f t="shared" si="2"/>
        <v>68.3075</v>
      </c>
      <c r="L310" s="8">
        <f t="shared" si="3"/>
        <v>0.6919123478</v>
      </c>
      <c r="M310" s="8">
        <f t="shared" si="4"/>
        <v>0.2075737043</v>
      </c>
      <c r="N310" s="8">
        <f t="shared" si="5"/>
        <v>0.04151474087</v>
      </c>
      <c r="O310" s="8">
        <f t="shared" si="6"/>
        <v>0.136615</v>
      </c>
      <c r="P310" s="8">
        <f t="shared" si="7"/>
        <v>0.2049225</v>
      </c>
      <c r="Q310" s="8">
        <f t="shared" si="8"/>
        <v>0.0683075</v>
      </c>
      <c r="R310" s="57"/>
      <c r="S310" s="57"/>
      <c r="T310" s="57"/>
      <c r="U310" s="57"/>
      <c r="V310" s="57"/>
      <c r="W310" s="57"/>
      <c r="X310" s="57"/>
      <c r="Y310" s="57"/>
      <c r="Z310" s="61"/>
    </row>
    <row r="311" ht="34.5" customHeight="1">
      <c r="A311" s="54" t="s">
        <v>335</v>
      </c>
      <c r="B311" s="59" t="s">
        <v>336</v>
      </c>
      <c r="C311" s="5" t="s">
        <v>348</v>
      </c>
      <c r="D311" s="59" t="s">
        <v>360</v>
      </c>
      <c r="E311" s="59">
        <v>29.0</v>
      </c>
      <c r="F311" s="60">
        <v>39.77</v>
      </c>
      <c r="G311" s="62">
        <v>1.0</v>
      </c>
      <c r="H311" s="63">
        <v>0.0</v>
      </c>
      <c r="I311" s="60">
        <v>80.24</v>
      </c>
      <c r="J311" s="7">
        <f t="shared" si="1"/>
        <v>19.21337</v>
      </c>
      <c r="K311" s="7">
        <f t="shared" si="2"/>
        <v>17.4667</v>
      </c>
      <c r="L311" s="8">
        <f t="shared" si="3"/>
        <v>0.1769267709</v>
      </c>
      <c r="M311" s="8">
        <f t="shared" si="4"/>
        <v>0.05307803128</v>
      </c>
      <c r="N311" s="8">
        <f t="shared" si="5"/>
        <v>0.01061560626</v>
      </c>
      <c r="O311" s="8">
        <f t="shared" si="6"/>
        <v>0.0349334</v>
      </c>
      <c r="P311" s="8">
        <f t="shared" si="7"/>
        <v>0.0524001</v>
      </c>
      <c r="Q311" s="8">
        <f t="shared" si="8"/>
        <v>0.0174667</v>
      </c>
      <c r="R311" s="57"/>
      <c r="S311" s="57"/>
      <c r="T311" s="57"/>
      <c r="U311" s="57"/>
      <c r="V311" s="57"/>
      <c r="W311" s="57"/>
      <c r="X311" s="57"/>
      <c r="Y311" s="57"/>
      <c r="Z311" s="61"/>
    </row>
    <row r="312" ht="34.5" customHeight="1">
      <c r="A312" s="54" t="s">
        <v>335</v>
      </c>
      <c r="B312" s="59" t="s">
        <v>336</v>
      </c>
      <c r="C312" s="5" t="s">
        <v>361</v>
      </c>
      <c r="D312" s="59" t="s">
        <v>362</v>
      </c>
      <c r="E312" s="59">
        <v>37.0</v>
      </c>
      <c r="F312" s="60">
        <v>12.74</v>
      </c>
      <c r="G312" s="5">
        <v>1.0</v>
      </c>
      <c r="H312" s="6">
        <v>100.0</v>
      </c>
      <c r="I312" s="60">
        <v>100.0</v>
      </c>
      <c r="J312" s="7">
        <f t="shared" si="1"/>
        <v>35.51482</v>
      </c>
      <c r="K312" s="7">
        <f t="shared" si="2"/>
        <v>32.2862</v>
      </c>
      <c r="L312" s="8">
        <f t="shared" si="3"/>
        <v>0.3270390578</v>
      </c>
      <c r="M312" s="8">
        <f t="shared" si="4"/>
        <v>0.09811171735</v>
      </c>
      <c r="N312" s="8">
        <f t="shared" si="5"/>
        <v>0.01962234347</v>
      </c>
      <c r="O312" s="8">
        <f t="shared" si="6"/>
        <v>0.0645724</v>
      </c>
      <c r="P312" s="8">
        <f t="shared" si="7"/>
        <v>0.0968586</v>
      </c>
      <c r="Q312" s="8">
        <f t="shared" si="8"/>
        <v>0.0322862</v>
      </c>
      <c r="R312" s="57"/>
      <c r="S312" s="57"/>
      <c r="T312" s="57"/>
      <c r="U312" s="57"/>
      <c r="V312" s="57"/>
      <c r="W312" s="57"/>
      <c r="X312" s="57"/>
      <c r="Y312" s="57"/>
      <c r="Z312" s="61"/>
    </row>
    <row r="313" ht="34.5" customHeight="1">
      <c r="A313" s="54" t="s">
        <v>335</v>
      </c>
      <c r="B313" s="59" t="s">
        <v>336</v>
      </c>
      <c r="C313" s="5" t="s">
        <v>361</v>
      </c>
      <c r="D313" s="59" t="s">
        <v>363</v>
      </c>
      <c r="E313" s="59">
        <v>130.0</v>
      </c>
      <c r="F313" s="60">
        <v>12.23</v>
      </c>
      <c r="G313" s="5">
        <v>3.0</v>
      </c>
      <c r="H313" s="6">
        <v>75.83</v>
      </c>
      <c r="I313" s="60">
        <v>75.83</v>
      </c>
      <c r="J313" s="7">
        <f t="shared" si="1"/>
        <v>125.5111</v>
      </c>
      <c r="K313" s="7">
        <f t="shared" si="2"/>
        <v>114.101</v>
      </c>
      <c r="L313" s="8">
        <f t="shared" si="3"/>
        <v>1.155771925</v>
      </c>
      <c r="M313" s="8">
        <f t="shared" si="4"/>
        <v>0.3467315776</v>
      </c>
      <c r="N313" s="8">
        <f t="shared" si="5"/>
        <v>0.06934631553</v>
      </c>
      <c r="O313" s="8">
        <f t="shared" si="6"/>
        <v>0.228202</v>
      </c>
      <c r="P313" s="8">
        <f t="shared" si="7"/>
        <v>0.342303</v>
      </c>
      <c r="Q313" s="8">
        <f t="shared" si="8"/>
        <v>0.114101</v>
      </c>
      <c r="R313" s="57"/>
      <c r="S313" s="57"/>
      <c r="T313" s="57"/>
      <c r="U313" s="57"/>
      <c r="V313" s="57"/>
      <c r="W313" s="57"/>
      <c r="X313" s="57"/>
      <c r="Y313" s="57"/>
      <c r="Z313" s="61"/>
    </row>
    <row r="314" ht="34.5" customHeight="1">
      <c r="A314" s="54" t="s">
        <v>335</v>
      </c>
      <c r="B314" s="59" t="s">
        <v>336</v>
      </c>
      <c r="C314" s="5" t="s">
        <v>361</v>
      </c>
      <c r="D314" s="59" t="s">
        <v>364</v>
      </c>
      <c r="E314" s="59">
        <v>66.0</v>
      </c>
      <c r="F314" s="60">
        <v>6.64</v>
      </c>
      <c r="G314" s="5">
        <v>1.0</v>
      </c>
      <c r="H314" s="6">
        <v>93.22</v>
      </c>
      <c r="I314" s="60">
        <v>100.0</v>
      </c>
      <c r="J314" s="7">
        <f t="shared" si="1"/>
        <v>67.77936</v>
      </c>
      <c r="K314" s="7">
        <f t="shared" si="2"/>
        <v>61.6176</v>
      </c>
      <c r="L314" s="8">
        <f t="shared" si="3"/>
        <v>0.6241478356</v>
      </c>
      <c r="M314" s="8">
        <f t="shared" si="4"/>
        <v>0.1872443507</v>
      </c>
      <c r="N314" s="8">
        <f t="shared" si="5"/>
        <v>0.03744887014</v>
      </c>
      <c r="O314" s="8">
        <f t="shared" si="6"/>
        <v>0.1232352</v>
      </c>
      <c r="P314" s="8">
        <f t="shared" si="7"/>
        <v>0.1848528</v>
      </c>
      <c r="Q314" s="8">
        <f t="shared" si="8"/>
        <v>0.0616176</v>
      </c>
      <c r="R314" s="57"/>
      <c r="S314" s="57"/>
      <c r="T314" s="57"/>
      <c r="U314" s="57"/>
      <c r="V314" s="57"/>
      <c r="W314" s="57"/>
      <c r="X314" s="57"/>
      <c r="Y314" s="57"/>
      <c r="Z314" s="61"/>
    </row>
    <row r="315" ht="34.5" customHeight="1">
      <c r="A315" s="54" t="s">
        <v>335</v>
      </c>
      <c r="B315" s="59" t="s">
        <v>336</v>
      </c>
      <c r="C315" s="5" t="s">
        <v>361</v>
      </c>
      <c r="D315" s="59" t="s">
        <v>365</v>
      </c>
      <c r="E315" s="59">
        <v>1209.0</v>
      </c>
      <c r="F315" s="60">
        <v>27.63</v>
      </c>
      <c r="G315" s="5">
        <v>11.0</v>
      </c>
      <c r="H315" s="6">
        <v>55.81</v>
      </c>
      <c r="I315" s="60">
        <v>67.94</v>
      </c>
      <c r="J315" s="7">
        <f t="shared" si="1"/>
        <v>962.44863</v>
      </c>
      <c r="K315" s="7">
        <f t="shared" si="2"/>
        <v>874.9533</v>
      </c>
      <c r="L315" s="8">
        <f t="shared" si="3"/>
        <v>8.862730916</v>
      </c>
      <c r="M315" s="8">
        <f t="shared" si="4"/>
        <v>2.658819275</v>
      </c>
      <c r="N315" s="8">
        <f t="shared" si="5"/>
        <v>0.5317638549</v>
      </c>
      <c r="O315" s="8">
        <f t="shared" si="6"/>
        <v>1.7499066</v>
      </c>
      <c r="P315" s="8">
        <f t="shared" si="7"/>
        <v>2.6248599</v>
      </c>
      <c r="Q315" s="8">
        <f t="shared" si="8"/>
        <v>0.8749533</v>
      </c>
      <c r="R315" s="57"/>
      <c r="S315" s="57"/>
      <c r="T315" s="57"/>
      <c r="U315" s="57"/>
      <c r="V315" s="57"/>
      <c r="W315" s="57"/>
      <c r="X315" s="57"/>
      <c r="Y315" s="57"/>
      <c r="Z315" s="61"/>
    </row>
    <row r="316" ht="34.5" customHeight="1">
      <c r="A316" s="54" t="s">
        <v>335</v>
      </c>
      <c r="B316" s="59" t="s">
        <v>336</v>
      </c>
      <c r="C316" s="5" t="s">
        <v>361</v>
      </c>
      <c r="D316" s="59" t="s">
        <v>366</v>
      </c>
      <c r="E316" s="59">
        <v>62.0</v>
      </c>
      <c r="F316" s="60">
        <v>15.02</v>
      </c>
      <c r="G316" s="5">
        <v>1.0</v>
      </c>
      <c r="H316" s="6">
        <v>60.68</v>
      </c>
      <c r="I316" s="60">
        <v>100.0</v>
      </c>
      <c r="J316" s="7">
        <f t="shared" si="1"/>
        <v>57.95636</v>
      </c>
      <c r="K316" s="7">
        <f t="shared" si="2"/>
        <v>52.6876</v>
      </c>
      <c r="L316" s="8">
        <f t="shared" si="3"/>
        <v>0.5336925084</v>
      </c>
      <c r="M316" s="8">
        <f t="shared" si="4"/>
        <v>0.1601077525</v>
      </c>
      <c r="N316" s="8">
        <f t="shared" si="5"/>
        <v>0.0320215505</v>
      </c>
      <c r="O316" s="8">
        <f t="shared" si="6"/>
        <v>0.1053752</v>
      </c>
      <c r="P316" s="8">
        <f t="shared" si="7"/>
        <v>0.1580628</v>
      </c>
      <c r="Q316" s="8">
        <f t="shared" si="8"/>
        <v>0.0526876</v>
      </c>
      <c r="R316" s="57"/>
      <c r="S316" s="57"/>
      <c r="T316" s="57"/>
      <c r="U316" s="57"/>
      <c r="V316" s="57"/>
      <c r="W316" s="57"/>
      <c r="X316" s="57"/>
      <c r="Y316" s="57"/>
      <c r="Z316" s="61"/>
    </row>
    <row r="317" ht="34.5" customHeight="1">
      <c r="A317" s="54" t="s">
        <v>335</v>
      </c>
      <c r="B317" s="59" t="s">
        <v>336</v>
      </c>
      <c r="C317" s="5" t="s">
        <v>361</v>
      </c>
      <c r="D317" s="59" t="s">
        <v>367</v>
      </c>
      <c r="E317" s="59">
        <v>27.0</v>
      </c>
      <c r="F317" s="60">
        <v>15.68</v>
      </c>
      <c r="G317" s="5">
        <v>1.0</v>
      </c>
      <c r="H317" s="6">
        <v>100.0</v>
      </c>
      <c r="I317" s="60">
        <v>100.0</v>
      </c>
      <c r="J317" s="7">
        <f t="shared" si="1"/>
        <v>25.04304</v>
      </c>
      <c r="K317" s="7">
        <f t="shared" si="2"/>
        <v>22.7664</v>
      </c>
      <c r="L317" s="8">
        <f t="shared" si="3"/>
        <v>0.2306094247</v>
      </c>
      <c r="M317" s="8">
        <f t="shared" si="4"/>
        <v>0.0691828274</v>
      </c>
      <c r="N317" s="8">
        <f t="shared" si="5"/>
        <v>0.01383656548</v>
      </c>
      <c r="O317" s="8">
        <f t="shared" si="6"/>
        <v>0.0455328</v>
      </c>
      <c r="P317" s="8">
        <f t="shared" si="7"/>
        <v>0.0682992</v>
      </c>
      <c r="Q317" s="8">
        <f t="shared" si="8"/>
        <v>0.0227664</v>
      </c>
      <c r="R317" s="57"/>
      <c r="S317" s="57"/>
      <c r="T317" s="57"/>
      <c r="U317" s="57"/>
      <c r="V317" s="57"/>
      <c r="W317" s="57"/>
      <c r="X317" s="57"/>
      <c r="Y317" s="57"/>
      <c r="Z317" s="61"/>
    </row>
    <row r="318" ht="34.5" customHeight="1">
      <c r="A318" s="54" t="s">
        <v>335</v>
      </c>
      <c r="B318" s="59" t="s">
        <v>336</v>
      </c>
      <c r="C318" s="5" t="s">
        <v>361</v>
      </c>
      <c r="D318" s="59" t="s">
        <v>368</v>
      </c>
      <c r="E318" s="59">
        <v>177.0</v>
      </c>
      <c r="F318" s="60">
        <v>14.7</v>
      </c>
      <c r="G318" s="5">
        <v>2.0</v>
      </c>
      <c r="H318" s="6">
        <v>80.49</v>
      </c>
      <c r="I318" s="60">
        <v>93.1</v>
      </c>
      <c r="J318" s="7">
        <f t="shared" si="1"/>
        <v>166.0791</v>
      </c>
      <c r="K318" s="7">
        <f t="shared" si="2"/>
        <v>150.981</v>
      </c>
      <c r="L318" s="8">
        <f t="shared" si="3"/>
        <v>1.529343311</v>
      </c>
      <c r="M318" s="8">
        <f t="shared" si="4"/>
        <v>0.4588029932</v>
      </c>
      <c r="N318" s="8">
        <f t="shared" si="5"/>
        <v>0.09176059863</v>
      </c>
      <c r="O318" s="8">
        <f t="shared" si="6"/>
        <v>0.301962</v>
      </c>
      <c r="P318" s="8">
        <f t="shared" si="7"/>
        <v>0.452943</v>
      </c>
      <c r="Q318" s="8">
        <f t="shared" si="8"/>
        <v>0.150981</v>
      </c>
      <c r="R318" s="57"/>
      <c r="S318" s="57"/>
      <c r="T318" s="57"/>
      <c r="U318" s="57"/>
      <c r="V318" s="57"/>
      <c r="W318" s="57"/>
      <c r="X318" s="57"/>
      <c r="Y318" s="57"/>
      <c r="Z318" s="61"/>
    </row>
    <row r="319" ht="34.5" customHeight="1">
      <c r="A319" s="54" t="s">
        <v>335</v>
      </c>
      <c r="B319" s="59" t="s">
        <v>336</v>
      </c>
      <c r="C319" s="5" t="s">
        <v>361</v>
      </c>
      <c r="D319" s="59" t="s">
        <v>369</v>
      </c>
      <c r="E319" s="59">
        <v>84.0</v>
      </c>
      <c r="F319" s="60">
        <v>30.08</v>
      </c>
      <c r="G319" s="5">
        <v>1.0</v>
      </c>
      <c r="H319" s="6">
        <v>80.07</v>
      </c>
      <c r="I319" s="60">
        <v>82.8</v>
      </c>
      <c r="J319" s="7">
        <f t="shared" si="1"/>
        <v>64.60608</v>
      </c>
      <c r="K319" s="7">
        <f t="shared" si="2"/>
        <v>58.7328</v>
      </c>
      <c r="L319" s="8">
        <f t="shared" si="3"/>
        <v>0.5949266119</v>
      </c>
      <c r="M319" s="8">
        <f t="shared" si="4"/>
        <v>0.1784779836</v>
      </c>
      <c r="N319" s="8">
        <f t="shared" si="5"/>
        <v>0.03569559671</v>
      </c>
      <c r="O319" s="8">
        <f t="shared" si="6"/>
        <v>0.1174656</v>
      </c>
      <c r="P319" s="8">
        <f t="shared" si="7"/>
        <v>0.1761984</v>
      </c>
      <c r="Q319" s="8">
        <f t="shared" si="8"/>
        <v>0.0587328</v>
      </c>
      <c r="R319" s="57"/>
      <c r="S319" s="57"/>
      <c r="T319" s="57"/>
      <c r="U319" s="57"/>
      <c r="V319" s="57"/>
      <c r="W319" s="57"/>
      <c r="X319" s="57"/>
      <c r="Y319" s="57"/>
      <c r="Z319" s="61"/>
    </row>
    <row r="320" ht="34.5" customHeight="1">
      <c r="A320" s="54" t="s">
        <v>335</v>
      </c>
      <c r="B320" s="59" t="s">
        <v>336</v>
      </c>
      <c r="C320" s="5" t="s">
        <v>361</v>
      </c>
      <c r="D320" s="59" t="s">
        <v>370</v>
      </c>
      <c r="E320" s="59">
        <v>47.0</v>
      </c>
      <c r="F320" s="60">
        <v>17.22</v>
      </c>
      <c r="G320" s="5">
        <v>1.0</v>
      </c>
      <c r="H320" s="6">
        <v>100.0</v>
      </c>
      <c r="I320" s="60">
        <v>100.0</v>
      </c>
      <c r="J320" s="7">
        <f t="shared" si="1"/>
        <v>42.79726</v>
      </c>
      <c r="K320" s="7">
        <f t="shared" si="2"/>
        <v>38.9066</v>
      </c>
      <c r="L320" s="8">
        <f t="shared" si="3"/>
        <v>0.3940995784</v>
      </c>
      <c r="M320" s="8">
        <f t="shared" si="4"/>
        <v>0.1182298735</v>
      </c>
      <c r="N320" s="8">
        <f t="shared" si="5"/>
        <v>0.0236459747</v>
      </c>
      <c r="O320" s="8">
        <f t="shared" si="6"/>
        <v>0.0778132</v>
      </c>
      <c r="P320" s="8">
        <f t="shared" si="7"/>
        <v>0.1167198</v>
      </c>
      <c r="Q320" s="8">
        <f t="shared" si="8"/>
        <v>0.0389066</v>
      </c>
      <c r="R320" s="57"/>
      <c r="S320" s="57"/>
      <c r="T320" s="57"/>
      <c r="U320" s="57"/>
      <c r="V320" s="57"/>
      <c r="W320" s="57"/>
      <c r="X320" s="57"/>
      <c r="Y320" s="57"/>
      <c r="Z320" s="61"/>
    </row>
    <row r="321" ht="34.5" customHeight="1">
      <c r="A321" s="54" t="s">
        <v>335</v>
      </c>
      <c r="B321" s="59" t="s">
        <v>336</v>
      </c>
      <c r="C321" s="5" t="s">
        <v>361</v>
      </c>
      <c r="D321" s="59" t="s">
        <v>371</v>
      </c>
      <c r="E321" s="59">
        <v>29.0</v>
      </c>
      <c r="F321" s="60">
        <v>23.19</v>
      </c>
      <c r="G321" s="5">
        <v>1.0</v>
      </c>
      <c r="H321" s="6">
        <v>0.0</v>
      </c>
      <c r="I321" s="60">
        <v>0.0</v>
      </c>
      <c r="J321" s="7">
        <f t="shared" si="1"/>
        <v>24.50239</v>
      </c>
      <c r="K321" s="7">
        <f t="shared" si="2"/>
        <v>22.2749</v>
      </c>
      <c r="L321" s="8">
        <f t="shared" si="3"/>
        <v>0.2256308364</v>
      </c>
      <c r="M321" s="8">
        <f t="shared" si="4"/>
        <v>0.06768925091</v>
      </c>
      <c r="N321" s="8">
        <f t="shared" si="5"/>
        <v>0.01353785018</v>
      </c>
      <c r="O321" s="8">
        <f t="shared" si="6"/>
        <v>0.0445498</v>
      </c>
      <c r="P321" s="8">
        <f t="shared" si="7"/>
        <v>0.0668247</v>
      </c>
      <c r="Q321" s="8">
        <f t="shared" si="8"/>
        <v>0.0222749</v>
      </c>
      <c r="R321" s="57"/>
      <c r="S321" s="57"/>
      <c r="T321" s="57"/>
      <c r="U321" s="57"/>
      <c r="V321" s="57"/>
      <c r="W321" s="57"/>
      <c r="X321" s="57"/>
      <c r="Y321" s="57"/>
      <c r="Z321" s="61"/>
    </row>
    <row r="322" ht="34.5" customHeight="1">
      <c r="A322" s="54" t="s">
        <v>335</v>
      </c>
      <c r="B322" s="59" t="s">
        <v>336</v>
      </c>
      <c r="C322" s="5" t="s">
        <v>361</v>
      </c>
      <c r="D322" s="59" t="s">
        <v>372</v>
      </c>
      <c r="E322" s="59">
        <v>41.0</v>
      </c>
      <c r="F322" s="60">
        <v>10.28</v>
      </c>
      <c r="G322" s="5">
        <v>2.0</v>
      </c>
      <c r="H322" s="6">
        <v>71.65</v>
      </c>
      <c r="I322" s="60">
        <v>71.65</v>
      </c>
      <c r="J322" s="7">
        <f t="shared" si="1"/>
        <v>40.46372</v>
      </c>
      <c r="K322" s="7">
        <f t="shared" si="2"/>
        <v>36.7852</v>
      </c>
      <c r="L322" s="8">
        <f t="shared" si="3"/>
        <v>0.3726111202</v>
      </c>
      <c r="M322" s="8">
        <f t="shared" si="4"/>
        <v>0.1117833361</v>
      </c>
      <c r="N322" s="8">
        <f t="shared" si="5"/>
        <v>0.02235666721</v>
      </c>
      <c r="O322" s="8">
        <f t="shared" si="6"/>
        <v>0.0735704</v>
      </c>
      <c r="P322" s="8">
        <f t="shared" si="7"/>
        <v>0.1103556</v>
      </c>
      <c r="Q322" s="8">
        <f t="shared" si="8"/>
        <v>0.0367852</v>
      </c>
      <c r="R322" s="57"/>
      <c r="S322" s="57"/>
      <c r="T322" s="57"/>
      <c r="U322" s="57"/>
      <c r="V322" s="57"/>
      <c r="W322" s="57"/>
      <c r="X322" s="57"/>
      <c r="Y322" s="57"/>
      <c r="Z322" s="61"/>
    </row>
    <row r="323" ht="34.5" customHeight="1">
      <c r="A323" s="54" t="s">
        <v>335</v>
      </c>
      <c r="B323" s="59" t="s">
        <v>336</v>
      </c>
      <c r="C323" s="5" t="s">
        <v>361</v>
      </c>
      <c r="D323" s="59" t="s">
        <v>373</v>
      </c>
      <c r="E323" s="59">
        <v>17.0</v>
      </c>
      <c r="F323" s="60">
        <v>12.89</v>
      </c>
      <c r="G323" s="5">
        <v>1.0</v>
      </c>
      <c r="H323" s="6">
        <v>100.0</v>
      </c>
      <c r="I323" s="60">
        <v>100.0</v>
      </c>
      <c r="J323" s="7">
        <f t="shared" si="1"/>
        <v>16.28957</v>
      </c>
      <c r="K323" s="7">
        <f t="shared" si="2"/>
        <v>14.8087</v>
      </c>
      <c r="L323" s="8">
        <f t="shared" si="3"/>
        <v>0.1500028896</v>
      </c>
      <c r="M323" s="8">
        <f t="shared" si="4"/>
        <v>0.04500086689</v>
      </c>
      <c r="N323" s="8">
        <f t="shared" si="5"/>
        <v>0.009000173379</v>
      </c>
      <c r="O323" s="8">
        <f t="shared" si="6"/>
        <v>0.0296174</v>
      </c>
      <c r="P323" s="8">
        <f t="shared" si="7"/>
        <v>0.0444261</v>
      </c>
      <c r="Q323" s="8">
        <f t="shared" si="8"/>
        <v>0.0148087</v>
      </c>
      <c r="R323" s="57"/>
      <c r="S323" s="57"/>
      <c r="T323" s="57"/>
      <c r="U323" s="57"/>
      <c r="V323" s="57"/>
      <c r="W323" s="57"/>
      <c r="X323" s="57"/>
      <c r="Y323" s="57"/>
      <c r="Z323" s="61"/>
    </row>
    <row r="324" ht="34.5" customHeight="1">
      <c r="A324" s="54" t="s">
        <v>335</v>
      </c>
      <c r="B324" s="59" t="s">
        <v>336</v>
      </c>
      <c r="C324" s="5" t="s">
        <v>361</v>
      </c>
      <c r="D324" s="59" t="s">
        <v>374</v>
      </c>
      <c r="E324" s="59">
        <v>66.0</v>
      </c>
      <c r="F324" s="60">
        <v>17.23</v>
      </c>
      <c r="G324" s="5">
        <v>1.0</v>
      </c>
      <c r="H324" s="6">
        <v>100.0</v>
      </c>
      <c r="I324" s="60">
        <v>100.0</v>
      </c>
      <c r="J324" s="7">
        <f t="shared" si="1"/>
        <v>60.09102</v>
      </c>
      <c r="K324" s="7">
        <f t="shared" si="2"/>
        <v>54.6282</v>
      </c>
      <c r="L324" s="8">
        <f t="shared" si="3"/>
        <v>0.5533495753</v>
      </c>
      <c r="M324" s="8">
        <f t="shared" si="4"/>
        <v>0.1660048726</v>
      </c>
      <c r="N324" s="8">
        <f t="shared" si="5"/>
        <v>0.03320097452</v>
      </c>
      <c r="O324" s="8">
        <f t="shared" si="6"/>
        <v>0.1092564</v>
      </c>
      <c r="P324" s="8">
        <f t="shared" si="7"/>
        <v>0.1638846</v>
      </c>
      <c r="Q324" s="8">
        <f t="shared" si="8"/>
        <v>0.0546282</v>
      </c>
      <c r="R324" s="57"/>
      <c r="S324" s="57"/>
      <c r="T324" s="57"/>
      <c r="U324" s="57"/>
      <c r="V324" s="57"/>
      <c r="W324" s="57"/>
      <c r="X324" s="57"/>
      <c r="Y324" s="57"/>
      <c r="Z324" s="61"/>
    </row>
    <row r="325" ht="34.5" customHeight="1">
      <c r="A325" s="54" t="s">
        <v>335</v>
      </c>
      <c r="B325" s="59" t="s">
        <v>336</v>
      </c>
      <c r="C325" s="5" t="s">
        <v>361</v>
      </c>
      <c r="D325" s="59" t="s">
        <v>375</v>
      </c>
      <c r="E325" s="59">
        <v>717.0</v>
      </c>
      <c r="F325" s="60">
        <v>19.04</v>
      </c>
      <c r="G325" s="5">
        <v>9.0</v>
      </c>
      <c r="H325" s="6">
        <v>70.73</v>
      </c>
      <c r="I325" s="60">
        <v>80.95</v>
      </c>
      <c r="J325" s="7">
        <f t="shared" si="1"/>
        <v>638.53152</v>
      </c>
      <c r="K325" s="7">
        <f t="shared" si="2"/>
        <v>580.4832</v>
      </c>
      <c r="L325" s="8">
        <f t="shared" si="3"/>
        <v>5.879932566</v>
      </c>
      <c r="M325" s="8">
        <f t="shared" si="4"/>
        <v>1.76397977</v>
      </c>
      <c r="N325" s="8">
        <f t="shared" si="5"/>
        <v>0.352795954</v>
      </c>
      <c r="O325" s="8">
        <f t="shared" si="6"/>
        <v>1.1609664</v>
      </c>
      <c r="P325" s="8">
        <f t="shared" si="7"/>
        <v>1.7414496</v>
      </c>
      <c r="Q325" s="8">
        <f t="shared" si="8"/>
        <v>0.5804832</v>
      </c>
      <c r="R325" s="57"/>
      <c r="S325" s="57"/>
      <c r="T325" s="57"/>
      <c r="U325" s="57"/>
      <c r="V325" s="57"/>
      <c r="W325" s="57"/>
      <c r="X325" s="57"/>
      <c r="Y325" s="57"/>
      <c r="Z325" s="61"/>
    </row>
    <row r="326" ht="34.5" customHeight="1">
      <c r="A326" s="54" t="s">
        <v>335</v>
      </c>
      <c r="B326" s="59" t="s">
        <v>336</v>
      </c>
      <c r="C326" s="5" t="s">
        <v>361</v>
      </c>
      <c r="D326" s="59" t="s">
        <v>376</v>
      </c>
      <c r="E326" s="59">
        <v>52.0</v>
      </c>
      <c r="F326" s="60">
        <v>18.28</v>
      </c>
      <c r="G326" s="5">
        <v>1.0</v>
      </c>
      <c r="H326" s="6">
        <v>100.0</v>
      </c>
      <c r="I326" s="60">
        <v>100.0</v>
      </c>
      <c r="J326" s="7">
        <f t="shared" si="1"/>
        <v>46.74384</v>
      </c>
      <c r="K326" s="7">
        <f t="shared" si="2"/>
        <v>42.4944</v>
      </c>
      <c r="L326" s="8">
        <f t="shared" si="3"/>
        <v>0.4304417534</v>
      </c>
      <c r="M326" s="8">
        <f t="shared" si="4"/>
        <v>0.129132526</v>
      </c>
      <c r="N326" s="8">
        <f t="shared" si="5"/>
        <v>0.02582650521</v>
      </c>
      <c r="O326" s="8">
        <f t="shared" si="6"/>
        <v>0.0849888</v>
      </c>
      <c r="P326" s="8">
        <f t="shared" si="7"/>
        <v>0.1274832</v>
      </c>
      <c r="Q326" s="8">
        <f t="shared" si="8"/>
        <v>0.0424944</v>
      </c>
      <c r="R326" s="57"/>
      <c r="S326" s="57"/>
      <c r="T326" s="57"/>
      <c r="U326" s="57"/>
      <c r="V326" s="57"/>
      <c r="W326" s="57"/>
      <c r="X326" s="57"/>
      <c r="Y326" s="57"/>
      <c r="Z326" s="61"/>
    </row>
    <row r="327" ht="34.5" customHeight="1">
      <c r="A327" s="54" t="s">
        <v>335</v>
      </c>
      <c r="B327" s="59" t="s">
        <v>336</v>
      </c>
      <c r="C327" s="5" t="s">
        <v>361</v>
      </c>
      <c r="D327" s="59" t="s">
        <v>377</v>
      </c>
      <c r="E327" s="59">
        <v>44.0</v>
      </c>
      <c r="F327" s="60">
        <v>24.25</v>
      </c>
      <c r="G327" s="5">
        <v>1.0</v>
      </c>
      <c r="H327" s="6">
        <v>100.0</v>
      </c>
      <c r="I327" s="60">
        <v>100.0</v>
      </c>
      <c r="J327" s="7">
        <f t="shared" si="1"/>
        <v>36.663</v>
      </c>
      <c r="K327" s="7">
        <f t="shared" si="2"/>
        <v>33.33</v>
      </c>
      <c r="L327" s="8">
        <f t="shared" si="3"/>
        <v>0.3376121005</v>
      </c>
      <c r="M327" s="8">
        <f t="shared" si="4"/>
        <v>0.1012836301</v>
      </c>
      <c r="N327" s="8">
        <f t="shared" si="5"/>
        <v>0.02025672603</v>
      </c>
      <c r="O327" s="8">
        <f t="shared" si="6"/>
        <v>0.06666</v>
      </c>
      <c r="P327" s="8">
        <f t="shared" si="7"/>
        <v>0.09999</v>
      </c>
      <c r="Q327" s="8">
        <f t="shared" si="8"/>
        <v>0.03333</v>
      </c>
      <c r="R327" s="57"/>
      <c r="S327" s="57"/>
      <c r="T327" s="57"/>
      <c r="U327" s="57"/>
      <c r="V327" s="57"/>
      <c r="W327" s="57"/>
      <c r="X327" s="57"/>
      <c r="Y327" s="57"/>
      <c r="Z327" s="61"/>
    </row>
    <row r="328" ht="34.5" customHeight="1">
      <c r="A328" s="54" t="s">
        <v>335</v>
      </c>
      <c r="B328" s="64" t="s">
        <v>336</v>
      </c>
      <c r="C328" s="25" t="s">
        <v>361</v>
      </c>
      <c r="D328" s="64" t="s">
        <v>378</v>
      </c>
      <c r="E328" s="59">
        <v>11.0</v>
      </c>
      <c r="F328" s="60">
        <v>20.6</v>
      </c>
      <c r="G328" s="5">
        <v>1.0</v>
      </c>
      <c r="H328" s="6">
        <v>100.0</v>
      </c>
      <c r="I328" s="60">
        <v>100.0</v>
      </c>
      <c r="J328" s="7">
        <f t="shared" si="1"/>
        <v>9.6074</v>
      </c>
      <c r="K328" s="7">
        <f t="shared" si="2"/>
        <v>8.734</v>
      </c>
      <c r="L328" s="8">
        <f t="shared" si="3"/>
        <v>0.08846996956</v>
      </c>
      <c r="M328" s="8">
        <f t="shared" si="4"/>
        <v>0.02654099087</v>
      </c>
      <c r="N328" s="8">
        <f t="shared" si="5"/>
        <v>0.005308198174</v>
      </c>
      <c r="O328" s="8">
        <f t="shared" si="6"/>
        <v>0.017468</v>
      </c>
      <c r="P328" s="8">
        <f t="shared" si="7"/>
        <v>0.026202</v>
      </c>
      <c r="Q328" s="8">
        <f t="shared" si="8"/>
        <v>0.008734</v>
      </c>
      <c r="R328" s="57"/>
      <c r="S328" s="57"/>
      <c r="T328" s="57"/>
      <c r="U328" s="57"/>
      <c r="V328" s="57"/>
      <c r="W328" s="57"/>
      <c r="X328" s="57"/>
      <c r="Y328" s="57"/>
      <c r="Z328" s="61"/>
    </row>
    <row r="329" ht="34.5" customHeight="1">
      <c r="A329" s="24" t="s">
        <v>335</v>
      </c>
      <c r="B329" s="65" t="s">
        <v>379</v>
      </c>
      <c r="C329" s="65" t="s">
        <v>380</v>
      </c>
      <c r="D329" s="65" t="s">
        <v>381</v>
      </c>
      <c r="E329" s="65">
        <v>46.0</v>
      </c>
      <c r="F329" s="66">
        <v>38.33</v>
      </c>
      <c r="G329" s="62">
        <v>3.0</v>
      </c>
      <c r="H329" s="63">
        <v>100.0</v>
      </c>
      <c r="I329" s="63">
        <v>100.0</v>
      </c>
      <c r="J329" s="67">
        <v>61.03856</v>
      </c>
      <c r="K329" s="67">
        <v>55.4896</v>
      </c>
      <c r="L329" s="8">
        <f t="shared" si="3"/>
        <v>0.5620750198</v>
      </c>
      <c r="M329" s="8">
        <f t="shared" si="4"/>
        <v>0.1686225059</v>
      </c>
      <c r="N329" s="8">
        <f t="shared" si="5"/>
        <v>0.03372450119</v>
      </c>
      <c r="O329" s="8">
        <f t="shared" si="6"/>
        <v>0.1109792</v>
      </c>
      <c r="P329" s="8">
        <f t="shared" si="7"/>
        <v>0.1664688</v>
      </c>
      <c r="Q329" s="8">
        <f t="shared" si="8"/>
        <v>0.0554896</v>
      </c>
      <c r="R329" s="57"/>
      <c r="S329" s="57"/>
      <c r="T329" s="57"/>
      <c r="U329" s="57"/>
      <c r="V329" s="57"/>
      <c r="W329" s="57"/>
      <c r="X329" s="57"/>
      <c r="Y329" s="57"/>
      <c r="Z329" s="17"/>
    </row>
    <row r="330" ht="34.5" customHeight="1">
      <c r="A330" s="24" t="s">
        <v>335</v>
      </c>
      <c r="B330" s="62" t="s">
        <v>379</v>
      </c>
      <c r="C330" s="65" t="s">
        <v>380</v>
      </c>
      <c r="D330" s="65" t="s">
        <v>380</v>
      </c>
      <c r="E330" s="65">
        <v>1153.0</v>
      </c>
      <c r="F330" s="66">
        <v>40.84</v>
      </c>
      <c r="G330" s="62">
        <v>23.0</v>
      </c>
      <c r="H330" s="63">
        <v>65.11</v>
      </c>
      <c r="I330" s="63">
        <v>97.51</v>
      </c>
      <c r="J330" s="67">
        <v>844.65051</v>
      </c>
      <c r="K330" s="67">
        <v>767.8641</v>
      </c>
      <c r="L330" s="8">
        <f t="shared" si="3"/>
        <v>7.777984148</v>
      </c>
      <c r="M330" s="8">
        <f t="shared" si="4"/>
        <v>2.333395245</v>
      </c>
      <c r="N330" s="8">
        <f t="shared" si="5"/>
        <v>0.4666790489</v>
      </c>
      <c r="O330" s="8">
        <f t="shared" si="6"/>
        <v>1.5357282</v>
      </c>
      <c r="P330" s="8">
        <f t="shared" si="7"/>
        <v>2.3035923</v>
      </c>
      <c r="Q330" s="8">
        <f t="shared" si="8"/>
        <v>0.7678641</v>
      </c>
      <c r="R330" s="57"/>
      <c r="S330" s="57"/>
      <c r="T330" s="57"/>
      <c r="U330" s="57"/>
      <c r="V330" s="57"/>
      <c r="W330" s="57"/>
      <c r="X330" s="57"/>
      <c r="Y330" s="57"/>
      <c r="Z330" s="17"/>
    </row>
    <row r="331" ht="34.5" customHeight="1">
      <c r="A331" s="24" t="s">
        <v>335</v>
      </c>
      <c r="B331" s="62" t="s">
        <v>379</v>
      </c>
      <c r="C331" s="65" t="s">
        <v>380</v>
      </c>
      <c r="D331" s="65" t="s">
        <v>382</v>
      </c>
      <c r="E331" s="65">
        <v>52.0</v>
      </c>
      <c r="F331" s="66">
        <v>45.91</v>
      </c>
      <c r="G331" s="62">
        <v>2.0</v>
      </c>
      <c r="H331" s="63">
        <v>0.0</v>
      </c>
      <c r="I331" s="63">
        <v>100.0</v>
      </c>
      <c r="J331" s="67">
        <v>44.24365</v>
      </c>
      <c r="K331" s="67">
        <v>40.2215</v>
      </c>
      <c r="L331" s="8">
        <f t="shared" si="3"/>
        <v>0.4074186948</v>
      </c>
      <c r="M331" s="8">
        <f t="shared" si="4"/>
        <v>0.1222256084</v>
      </c>
      <c r="N331" s="8">
        <f t="shared" si="5"/>
        <v>0.02444512169</v>
      </c>
      <c r="O331" s="8">
        <f t="shared" si="6"/>
        <v>0.080443</v>
      </c>
      <c r="P331" s="8">
        <f t="shared" si="7"/>
        <v>0.1206645</v>
      </c>
      <c r="Q331" s="8">
        <f t="shared" si="8"/>
        <v>0.0402215</v>
      </c>
      <c r="R331" s="57"/>
      <c r="S331" s="57"/>
      <c r="T331" s="57"/>
      <c r="U331" s="57"/>
      <c r="V331" s="57"/>
      <c r="W331" s="57"/>
      <c r="X331" s="57"/>
      <c r="Y331" s="57"/>
      <c r="Z331" s="17"/>
    </row>
    <row r="332" ht="34.5" customHeight="1">
      <c r="A332" s="24" t="s">
        <v>335</v>
      </c>
      <c r="B332" s="62" t="s">
        <v>379</v>
      </c>
      <c r="C332" s="65" t="s">
        <v>380</v>
      </c>
      <c r="D332" s="65" t="s">
        <v>383</v>
      </c>
      <c r="E332" s="65">
        <v>29.0</v>
      </c>
      <c r="F332" s="66">
        <v>34.41</v>
      </c>
      <c r="G332" s="62">
        <v>1.0</v>
      </c>
      <c r="H332" s="63">
        <v>0.0</v>
      </c>
      <c r="I332" s="63">
        <v>0.0</v>
      </c>
      <c r="J332" s="67">
        <v>22.30767</v>
      </c>
      <c r="K332" s="67">
        <v>20.2797</v>
      </c>
      <c r="L332" s="8">
        <f t="shared" si="3"/>
        <v>0.2054207055</v>
      </c>
      <c r="M332" s="8">
        <f t="shared" si="4"/>
        <v>0.06162621164</v>
      </c>
      <c r="N332" s="8">
        <f t="shared" si="5"/>
        <v>0.01232524233</v>
      </c>
      <c r="O332" s="8">
        <f t="shared" si="6"/>
        <v>0.0405594</v>
      </c>
      <c r="P332" s="8">
        <f t="shared" si="7"/>
        <v>0.0608391</v>
      </c>
      <c r="Q332" s="8">
        <f t="shared" si="8"/>
        <v>0.0202797</v>
      </c>
      <c r="R332" s="57"/>
      <c r="S332" s="57"/>
      <c r="T332" s="57"/>
      <c r="U332" s="57"/>
      <c r="V332" s="57"/>
      <c r="W332" s="57"/>
      <c r="X332" s="57"/>
      <c r="Y332" s="57"/>
      <c r="Z332" s="17"/>
    </row>
    <row r="333" ht="34.5" customHeight="1">
      <c r="A333" s="24" t="s">
        <v>335</v>
      </c>
      <c r="B333" s="62" t="s">
        <v>379</v>
      </c>
      <c r="C333" s="65" t="s">
        <v>380</v>
      </c>
      <c r="D333" s="65" t="s">
        <v>384</v>
      </c>
      <c r="E333" s="65">
        <v>19.0</v>
      </c>
      <c r="F333" s="66">
        <v>26.47</v>
      </c>
      <c r="G333" s="62">
        <v>1.0</v>
      </c>
      <c r="H333" s="63">
        <v>0.0</v>
      </c>
      <c r="I333" s="63">
        <v>100.0</v>
      </c>
      <c r="J333" s="67">
        <v>21.13375</v>
      </c>
      <c r="K333" s="67">
        <v>19.2125</v>
      </c>
      <c r="L333" s="8">
        <f t="shared" si="3"/>
        <v>0.1946106355</v>
      </c>
      <c r="M333" s="8">
        <f t="shared" si="4"/>
        <v>0.05838319064</v>
      </c>
      <c r="N333" s="8">
        <f t="shared" si="5"/>
        <v>0.01167663813</v>
      </c>
      <c r="O333" s="8">
        <f t="shared" si="6"/>
        <v>0.038425</v>
      </c>
      <c r="P333" s="8">
        <f t="shared" si="7"/>
        <v>0.0576375</v>
      </c>
      <c r="Q333" s="8">
        <f t="shared" si="8"/>
        <v>0.0192125</v>
      </c>
      <c r="R333" s="57"/>
      <c r="S333" s="57"/>
      <c r="T333" s="57"/>
      <c r="U333" s="57"/>
      <c r="V333" s="57"/>
      <c r="W333" s="57"/>
      <c r="X333" s="57"/>
      <c r="Y333" s="57"/>
      <c r="Z333" s="17"/>
    </row>
    <row r="334" ht="34.5" customHeight="1">
      <c r="A334" s="24" t="s">
        <v>335</v>
      </c>
      <c r="B334" s="62" t="s">
        <v>379</v>
      </c>
      <c r="C334" s="65" t="s">
        <v>380</v>
      </c>
      <c r="D334" s="65" t="s">
        <v>385</v>
      </c>
      <c r="E334" s="65">
        <v>45.0</v>
      </c>
      <c r="F334" s="66">
        <v>26.64</v>
      </c>
      <c r="G334" s="62">
        <v>2.0</v>
      </c>
      <c r="H334" s="63">
        <v>100.0</v>
      </c>
      <c r="I334" s="63">
        <v>100.0</v>
      </c>
      <c r="J334" s="67">
        <v>40.8683</v>
      </c>
      <c r="K334" s="67">
        <v>37.153</v>
      </c>
      <c r="L334" s="8">
        <f t="shared" si="3"/>
        <v>0.3763367047</v>
      </c>
      <c r="M334" s="8">
        <f t="shared" si="4"/>
        <v>0.1129010114</v>
      </c>
      <c r="N334" s="8">
        <f t="shared" si="5"/>
        <v>0.02258020228</v>
      </c>
      <c r="O334" s="8">
        <f t="shared" si="6"/>
        <v>0.074306</v>
      </c>
      <c r="P334" s="8">
        <f t="shared" si="7"/>
        <v>0.111459</v>
      </c>
      <c r="Q334" s="8">
        <f t="shared" si="8"/>
        <v>0.037153</v>
      </c>
      <c r="R334" s="57"/>
      <c r="S334" s="57"/>
      <c r="T334" s="57"/>
      <c r="U334" s="57"/>
      <c r="V334" s="57"/>
      <c r="W334" s="57"/>
      <c r="X334" s="57"/>
      <c r="Y334" s="57"/>
      <c r="Z334" s="17"/>
    </row>
    <row r="335" ht="34.5" customHeight="1">
      <c r="A335" s="24" t="s">
        <v>335</v>
      </c>
      <c r="B335" s="62" t="s">
        <v>379</v>
      </c>
      <c r="C335" s="65" t="s">
        <v>380</v>
      </c>
      <c r="D335" s="65" t="s">
        <v>386</v>
      </c>
      <c r="E335" s="65">
        <v>100.0</v>
      </c>
      <c r="F335" s="66">
        <v>22.04</v>
      </c>
      <c r="G335" s="62">
        <v>3.0</v>
      </c>
      <c r="H335" s="63">
        <v>43.16</v>
      </c>
      <c r="I335" s="63">
        <v>80.7</v>
      </c>
      <c r="J335" s="67">
        <v>68.77728</v>
      </c>
      <c r="K335" s="67">
        <v>62.5248</v>
      </c>
      <c r="L335" s="8">
        <f t="shared" si="3"/>
        <v>0.6333372055</v>
      </c>
      <c r="M335" s="8">
        <f t="shared" si="4"/>
        <v>0.1900011616</v>
      </c>
      <c r="N335" s="8">
        <f t="shared" si="5"/>
        <v>0.03800023233</v>
      </c>
      <c r="O335" s="8">
        <f t="shared" si="6"/>
        <v>0.1250496</v>
      </c>
      <c r="P335" s="8">
        <f t="shared" si="7"/>
        <v>0.1875744</v>
      </c>
      <c r="Q335" s="8">
        <f t="shared" si="8"/>
        <v>0.0625248</v>
      </c>
      <c r="R335" s="57"/>
      <c r="S335" s="57"/>
      <c r="T335" s="57"/>
      <c r="U335" s="57"/>
      <c r="V335" s="57"/>
      <c r="W335" s="57"/>
      <c r="X335" s="57"/>
      <c r="Y335" s="57"/>
      <c r="Z335" s="17"/>
    </row>
    <row r="336" ht="34.5" customHeight="1">
      <c r="A336" s="24" t="s">
        <v>335</v>
      </c>
      <c r="B336" s="62" t="s">
        <v>379</v>
      </c>
      <c r="C336" s="65" t="s">
        <v>380</v>
      </c>
      <c r="D336" s="65" t="s">
        <v>387</v>
      </c>
      <c r="E336" s="65">
        <v>212.0</v>
      </c>
      <c r="F336" s="66">
        <v>21.95</v>
      </c>
      <c r="G336" s="62">
        <v>5.0</v>
      </c>
      <c r="H336" s="63">
        <v>0.0</v>
      </c>
      <c r="I336" s="63">
        <v>19.66</v>
      </c>
      <c r="J336" s="67">
        <v>169.69425</v>
      </c>
      <c r="K336" s="67">
        <v>154.2675</v>
      </c>
      <c r="L336" s="8">
        <f t="shared" si="3"/>
        <v>1.562633505</v>
      </c>
      <c r="M336" s="8">
        <f t="shared" si="4"/>
        <v>0.4687900514</v>
      </c>
      <c r="N336" s="8">
        <f t="shared" si="5"/>
        <v>0.09375801027</v>
      </c>
      <c r="O336" s="8">
        <f t="shared" si="6"/>
        <v>0.308535</v>
      </c>
      <c r="P336" s="8">
        <f t="shared" si="7"/>
        <v>0.4628025</v>
      </c>
      <c r="Q336" s="8">
        <f t="shared" si="8"/>
        <v>0.1542675</v>
      </c>
      <c r="R336" s="57"/>
      <c r="S336" s="57"/>
      <c r="T336" s="57"/>
      <c r="U336" s="57"/>
      <c r="V336" s="57"/>
      <c r="W336" s="57"/>
      <c r="X336" s="57"/>
      <c r="Y336" s="57"/>
      <c r="Z336" s="17"/>
    </row>
    <row r="337" ht="34.5" customHeight="1">
      <c r="A337" s="24" t="s">
        <v>335</v>
      </c>
      <c r="B337" s="62" t="s">
        <v>379</v>
      </c>
      <c r="C337" s="65" t="s">
        <v>380</v>
      </c>
      <c r="D337" s="65" t="s">
        <v>388</v>
      </c>
      <c r="E337" s="65">
        <v>46.0</v>
      </c>
      <c r="F337" s="66">
        <v>19.05</v>
      </c>
      <c r="G337" s="62">
        <v>1.0</v>
      </c>
      <c r="H337" s="63">
        <v>0.0</v>
      </c>
      <c r="I337" s="63">
        <v>0.0</v>
      </c>
      <c r="J337" s="67">
        <v>28.91658</v>
      </c>
      <c r="K337" s="67">
        <v>26.2878</v>
      </c>
      <c r="L337" s="8">
        <f t="shared" si="3"/>
        <v>0.2662790091</v>
      </c>
      <c r="M337" s="8">
        <f t="shared" si="4"/>
        <v>0.07988370274</v>
      </c>
      <c r="N337" s="8">
        <f t="shared" si="5"/>
        <v>0.01597674055</v>
      </c>
      <c r="O337" s="8">
        <f t="shared" si="6"/>
        <v>0.0525756</v>
      </c>
      <c r="P337" s="8">
        <f t="shared" si="7"/>
        <v>0.0788634</v>
      </c>
      <c r="Q337" s="8">
        <f t="shared" si="8"/>
        <v>0.0262878</v>
      </c>
      <c r="R337" s="57"/>
      <c r="S337" s="57"/>
      <c r="T337" s="57"/>
      <c r="U337" s="57"/>
      <c r="V337" s="57"/>
      <c r="W337" s="57"/>
      <c r="X337" s="57"/>
      <c r="Y337" s="57"/>
      <c r="Z337" s="17"/>
    </row>
    <row r="338" ht="34.5" customHeight="1">
      <c r="A338" s="24" t="s">
        <v>335</v>
      </c>
      <c r="B338" s="62" t="s">
        <v>379</v>
      </c>
      <c r="C338" s="65" t="s">
        <v>380</v>
      </c>
      <c r="D338" s="65" t="s">
        <v>389</v>
      </c>
      <c r="E338" s="65">
        <v>67.0</v>
      </c>
      <c r="F338" s="66">
        <v>23.5</v>
      </c>
      <c r="G338" s="62">
        <v>1.0</v>
      </c>
      <c r="H338" s="63">
        <v>100.0</v>
      </c>
      <c r="I338" s="63">
        <v>100.0</v>
      </c>
      <c r="J338" s="67">
        <v>51.6648</v>
      </c>
      <c r="K338" s="67">
        <v>46.968</v>
      </c>
      <c r="L338" s="8">
        <f t="shared" si="3"/>
        <v>0.4757565297</v>
      </c>
      <c r="M338" s="8">
        <f t="shared" si="4"/>
        <v>0.1427269589</v>
      </c>
      <c r="N338" s="8">
        <f t="shared" si="5"/>
        <v>0.02854539178</v>
      </c>
      <c r="O338" s="8">
        <f t="shared" si="6"/>
        <v>0.093936</v>
      </c>
      <c r="P338" s="8">
        <f t="shared" si="7"/>
        <v>0.140904</v>
      </c>
      <c r="Q338" s="8">
        <f t="shared" si="8"/>
        <v>0.046968</v>
      </c>
      <c r="R338" s="57"/>
      <c r="S338" s="57"/>
      <c r="T338" s="57"/>
      <c r="U338" s="57"/>
      <c r="V338" s="57"/>
      <c r="W338" s="57"/>
      <c r="X338" s="57"/>
      <c r="Y338" s="57"/>
      <c r="Z338" s="17"/>
    </row>
    <row r="339" ht="34.5" customHeight="1">
      <c r="A339" s="24" t="s">
        <v>335</v>
      </c>
      <c r="B339" s="62" t="s">
        <v>379</v>
      </c>
      <c r="C339" s="65" t="s">
        <v>380</v>
      </c>
      <c r="D339" s="65" t="s">
        <v>390</v>
      </c>
      <c r="E339" s="65">
        <v>407.0</v>
      </c>
      <c r="F339" s="66">
        <v>26.43</v>
      </c>
      <c r="G339" s="62">
        <v>5.0</v>
      </c>
      <c r="H339" s="63">
        <v>0.0</v>
      </c>
      <c r="I339" s="63">
        <v>80.39</v>
      </c>
      <c r="J339" s="67">
        <v>351.2124</v>
      </c>
      <c r="K339" s="67">
        <v>319.284</v>
      </c>
      <c r="L339" s="8">
        <f t="shared" si="3"/>
        <v>3.234147671</v>
      </c>
      <c r="M339" s="8">
        <f t="shared" si="4"/>
        <v>0.9702443014</v>
      </c>
      <c r="N339" s="8">
        <f t="shared" si="5"/>
        <v>0.1940488603</v>
      </c>
      <c r="O339" s="8">
        <f t="shared" si="6"/>
        <v>0.638568</v>
      </c>
      <c r="P339" s="8">
        <f t="shared" si="7"/>
        <v>0.957852</v>
      </c>
      <c r="Q339" s="8">
        <f t="shared" si="8"/>
        <v>0.319284</v>
      </c>
      <c r="R339" s="57"/>
      <c r="S339" s="57"/>
      <c r="T339" s="57"/>
      <c r="U339" s="57"/>
      <c r="V339" s="57"/>
      <c r="W339" s="57"/>
      <c r="X339" s="57"/>
      <c r="Y339" s="57"/>
      <c r="Z339" s="17"/>
    </row>
    <row r="340" ht="34.5" customHeight="1">
      <c r="A340" s="24" t="s">
        <v>335</v>
      </c>
      <c r="B340" s="62" t="s">
        <v>379</v>
      </c>
      <c r="C340" s="65" t="s">
        <v>380</v>
      </c>
      <c r="D340" s="65" t="s">
        <v>391</v>
      </c>
      <c r="E340" s="65">
        <v>89.0</v>
      </c>
      <c r="F340" s="66">
        <v>29.19</v>
      </c>
      <c r="G340" s="62">
        <v>3.0</v>
      </c>
      <c r="H340" s="63">
        <v>77.97</v>
      </c>
      <c r="I340" s="63">
        <v>100.0</v>
      </c>
      <c r="J340" s="67">
        <v>107.1972</v>
      </c>
      <c r="K340" s="67">
        <v>97.452</v>
      </c>
      <c r="L340" s="8">
        <f t="shared" si="3"/>
        <v>0.9871279452</v>
      </c>
      <c r="M340" s="8">
        <f t="shared" si="4"/>
        <v>0.2961383836</v>
      </c>
      <c r="N340" s="8">
        <f t="shared" si="5"/>
        <v>0.05922767671</v>
      </c>
      <c r="O340" s="8">
        <f t="shared" si="6"/>
        <v>0.194904</v>
      </c>
      <c r="P340" s="8">
        <f t="shared" si="7"/>
        <v>0.292356</v>
      </c>
      <c r="Q340" s="8">
        <f t="shared" si="8"/>
        <v>0.097452</v>
      </c>
      <c r="R340" s="57"/>
      <c r="S340" s="57"/>
      <c r="T340" s="57"/>
      <c r="U340" s="57"/>
      <c r="V340" s="57"/>
      <c r="W340" s="57"/>
      <c r="X340" s="57"/>
      <c r="Y340" s="57"/>
      <c r="Z340" s="17"/>
    </row>
    <row r="341" ht="34.5" customHeight="1">
      <c r="A341" s="24" t="s">
        <v>335</v>
      </c>
      <c r="B341" s="62" t="s">
        <v>379</v>
      </c>
      <c r="C341" s="65" t="s">
        <v>380</v>
      </c>
      <c r="D341" s="65" t="s">
        <v>392</v>
      </c>
      <c r="E341" s="65">
        <v>56.0</v>
      </c>
      <c r="F341" s="66">
        <v>29.19</v>
      </c>
      <c r="G341" s="62">
        <v>2.0</v>
      </c>
      <c r="H341" s="63">
        <v>0.0</v>
      </c>
      <c r="I341" s="63">
        <v>0.0</v>
      </c>
      <c r="J341" s="67">
        <v>43.94643</v>
      </c>
      <c r="K341" s="67">
        <v>39.9513</v>
      </c>
      <c r="L341" s="8">
        <f t="shared" si="3"/>
        <v>0.4046817374</v>
      </c>
      <c r="M341" s="8">
        <f t="shared" si="4"/>
        <v>0.1214045212</v>
      </c>
      <c r="N341" s="8">
        <f t="shared" si="5"/>
        <v>0.02428090425</v>
      </c>
      <c r="O341" s="8">
        <f t="shared" si="6"/>
        <v>0.0799026</v>
      </c>
      <c r="P341" s="8">
        <f t="shared" si="7"/>
        <v>0.1198539</v>
      </c>
      <c r="Q341" s="8">
        <f t="shared" si="8"/>
        <v>0.0399513</v>
      </c>
      <c r="R341" s="57"/>
      <c r="S341" s="57"/>
      <c r="T341" s="57"/>
      <c r="U341" s="57"/>
      <c r="V341" s="57"/>
      <c r="W341" s="57"/>
      <c r="X341" s="57"/>
      <c r="Y341" s="57"/>
      <c r="Z341" s="17"/>
    </row>
    <row r="342" ht="34.5" customHeight="1">
      <c r="A342" s="24" t="s">
        <v>335</v>
      </c>
      <c r="B342" s="62" t="s">
        <v>379</v>
      </c>
      <c r="C342" s="65" t="s">
        <v>380</v>
      </c>
      <c r="D342" s="65" t="s">
        <v>393</v>
      </c>
      <c r="E342" s="65">
        <v>134.0</v>
      </c>
      <c r="F342" s="66">
        <v>34.42</v>
      </c>
      <c r="G342" s="62">
        <v>4.0</v>
      </c>
      <c r="H342" s="63">
        <v>24.24</v>
      </c>
      <c r="I342" s="63">
        <v>37.83</v>
      </c>
      <c r="J342" s="67">
        <v>106.51014</v>
      </c>
      <c r="K342" s="67">
        <v>96.8274</v>
      </c>
      <c r="L342" s="8">
        <f t="shared" si="3"/>
        <v>0.980801137</v>
      </c>
      <c r="M342" s="8">
        <f t="shared" si="4"/>
        <v>0.2942403411</v>
      </c>
      <c r="N342" s="8">
        <f t="shared" si="5"/>
        <v>0.05884806822</v>
      </c>
      <c r="O342" s="8">
        <f t="shared" si="6"/>
        <v>0.1936548</v>
      </c>
      <c r="P342" s="8">
        <f t="shared" si="7"/>
        <v>0.2904822</v>
      </c>
      <c r="Q342" s="8">
        <f t="shared" si="8"/>
        <v>0.0968274</v>
      </c>
      <c r="R342" s="57"/>
      <c r="S342" s="57"/>
      <c r="T342" s="57"/>
      <c r="U342" s="57"/>
      <c r="V342" s="57"/>
      <c r="W342" s="57"/>
      <c r="X342" s="57"/>
      <c r="Y342" s="57"/>
      <c r="Z342" s="17"/>
    </row>
    <row r="343" ht="34.5" customHeight="1">
      <c r="A343" s="24" t="s">
        <v>335</v>
      </c>
      <c r="B343" s="62" t="s">
        <v>379</v>
      </c>
      <c r="C343" s="65" t="s">
        <v>380</v>
      </c>
      <c r="D343" s="65" t="s">
        <v>394</v>
      </c>
      <c r="E343" s="65">
        <v>102.0</v>
      </c>
      <c r="F343" s="66">
        <v>22.75</v>
      </c>
      <c r="G343" s="62">
        <v>3.0</v>
      </c>
      <c r="H343" s="63">
        <v>0.0</v>
      </c>
      <c r="I343" s="63">
        <v>26.28</v>
      </c>
      <c r="J343" s="67">
        <v>100.37016</v>
      </c>
      <c r="K343" s="67">
        <v>91.2456</v>
      </c>
      <c r="L343" s="8">
        <f t="shared" si="3"/>
        <v>0.9242609863</v>
      </c>
      <c r="M343" s="8">
        <f t="shared" si="4"/>
        <v>0.2772782959</v>
      </c>
      <c r="N343" s="8">
        <f t="shared" si="5"/>
        <v>0.05545565918</v>
      </c>
      <c r="O343" s="8">
        <f t="shared" si="6"/>
        <v>0.1824912</v>
      </c>
      <c r="P343" s="8">
        <f t="shared" si="7"/>
        <v>0.2737368</v>
      </c>
      <c r="Q343" s="8">
        <f t="shared" si="8"/>
        <v>0.0912456</v>
      </c>
      <c r="R343" s="57"/>
      <c r="S343" s="57"/>
      <c r="T343" s="57"/>
      <c r="U343" s="57"/>
      <c r="V343" s="57"/>
      <c r="W343" s="57"/>
      <c r="X343" s="57"/>
      <c r="Y343" s="57"/>
      <c r="Z343" s="17"/>
    </row>
    <row r="344" ht="34.5" customHeight="1">
      <c r="A344" s="24" t="s">
        <v>335</v>
      </c>
      <c r="B344" s="62" t="s">
        <v>379</v>
      </c>
      <c r="C344" s="65" t="s">
        <v>380</v>
      </c>
      <c r="D344" s="65" t="s">
        <v>395</v>
      </c>
      <c r="E344" s="65">
        <v>74.0</v>
      </c>
      <c r="F344" s="66">
        <v>17.71</v>
      </c>
      <c r="G344" s="62">
        <v>3.0</v>
      </c>
      <c r="H344" s="63">
        <v>0.0</v>
      </c>
      <c r="I344" s="63">
        <v>0.0</v>
      </c>
      <c r="J344" s="67">
        <v>37.58832</v>
      </c>
      <c r="K344" s="67">
        <v>34.1712</v>
      </c>
      <c r="L344" s="8">
        <f t="shared" si="3"/>
        <v>0.3461329315</v>
      </c>
      <c r="M344" s="8">
        <f t="shared" si="4"/>
        <v>0.1038398795</v>
      </c>
      <c r="N344" s="8">
        <f t="shared" si="5"/>
        <v>0.02076797589</v>
      </c>
      <c r="O344" s="8">
        <f t="shared" si="6"/>
        <v>0.0683424</v>
      </c>
      <c r="P344" s="8">
        <f t="shared" si="7"/>
        <v>0.1025136</v>
      </c>
      <c r="Q344" s="8">
        <f t="shared" si="8"/>
        <v>0.0341712</v>
      </c>
      <c r="R344" s="57"/>
      <c r="S344" s="57"/>
      <c r="T344" s="57"/>
      <c r="U344" s="57"/>
      <c r="V344" s="57"/>
      <c r="W344" s="57"/>
      <c r="X344" s="57"/>
      <c r="Y344" s="57"/>
      <c r="Z344" s="17"/>
    </row>
    <row r="345" ht="34.5" customHeight="1">
      <c r="A345" s="24" t="s">
        <v>335</v>
      </c>
      <c r="B345" s="62" t="s">
        <v>379</v>
      </c>
      <c r="C345" s="65" t="s">
        <v>380</v>
      </c>
      <c r="D345" s="65" t="s">
        <v>396</v>
      </c>
      <c r="E345" s="65">
        <v>138.0</v>
      </c>
      <c r="F345" s="66">
        <v>37.51</v>
      </c>
      <c r="G345" s="62">
        <v>5.0</v>
      </c>
      <c r="H345" s="63">
        <v>89.15</v>
      </c>
      <c r="I345" s="63">
        <v>100.0</v>
      </c>
      <c r="J345" s="67">
        <v>105.897</v>
      </c>
      <c r="K345" s="67">
        <v>96.27</v>
      </c>
      <c r="L345" s="8">
        <f t="shared" si="3"/>
        <v>0.9751550228</v>
      </c>
      <c r="M345" s="8">
        <f t="shared" si="4"/>
        <v>0.2925465068</v>
      </c>
      <c r="N345" s="8">
        <f t="shared" si="5"/>
        <v>0.05850930137</v>
      </c>
      <c r="O345" s="8">
        <f t="shared" si="6"/>
        <v>0.19254</v>
      </c>
      <c r="P345" s="8">
        <f t="shared" si="7"/>
        <v>0.28881</v>
      </c>
      <c r="Q345" s="8">
        <f t="shared" si="8"/>
        <v>0.09627</v>
      </c>
      <c r="R345" s="57"/>
      <c r="S345" s="57"/>
      <c r="T345" s="57"/>
      <c r="U345" s="57"/>
      <c r="V345" s="57"/>
      <c r="W345" s="57"/>
      <c r="X345" s="57"/>
      <c r="Y345" s="57"/>
      <c r="Z345" s="17"/>
    </row>
    <row r="346" ht="34.5" customHeight="1">
      <c r="A346" s="24" t="s">
        <v>335</v>
      </c>
      <c r="B346" s="62" t="s">
        <v>379</v>
      </c>
      <c r="C346" s="65" t="s">
        <v>380</v>
      </c>
      <c r="D346" s="65" t="s">
        <v>397</v>
      </c>
      <c r="E346" s="65">
        <v>112.0</v>
      </c>
      <c r="F346" s="66">
        <v>28.7</v>
      </c>
      <c r="G346" s="62">
        <v>1.0</v>
      </c>
      <c r="H346" s="63">
        <v>100.0</v>
      </c>
      <c r="I346" s="63">
        <v>100.0</v>
      </c>
      <c r="J346" s="67">
        <v>83.53488</v>
      </c>
      <c r="K346" s="67">
        <v>75.9408</v>
      </c>
      <c r="L346" s="8">
        <f t="shared" si="3"/>
        <v>0.7692329132</v>
      </c>
      <c r="M346" s="8">
        <f t="shared" si="4"/>
        <v>0.230769874</v>
      </c>
      <c r="N346" s="8">
        <f t="shared" si="5"/>
        <v>0.04615397479</v>
      </c>
      <c r="O346" s="8">
        <f t="shared" si="6"/>
        <v>0.1518816</v>
      </c>
      <c r="P346" s="8">
        <f t="shared" si="7"/>
        <v>0.2278224</v>
      </c>
      <c r="Q346" s="8">
        <f t="shared" si="8"/>
        <v>0.0759408</v>
      </c>
      <c r="R346" s="57"/>
      <c r="S346" s="57"/>
      <c r="T346" s="57"/>
      <c r="U346" s="57"/>
      <c r="V346" s="57"/>
      <c r="W346" s="57"/>
      <c r="X346" s="57"/>
      <c r="Y346" s="57"/>
      <c r="Z346" s="17"/>
    </row>
    <row r="347" ht="34.5" customHeight="1">
      <c r="A347" s="24" t="s">
        <v>335</v>
      </c>
      <c r="B347" s="62" t="s">
        <v>379</v>
      </c>
      <c r="C347" s="65" t="s">
        <v>380</v>
      </c>
      <c r="D347" s="65" t="s">
        <v>398</v>
      </c>
      <c r="E347" s="65">
        <v>123.0</v>
      </c>
      <c r="F347" s="66">
        <v>27.89</v>
      </c>
      <c r="G347" s="62">
        <v>5.0</v>
      </c>
      <c r="H347" s="63">
        <v>100.0</v>
      </c>
      <c r="I347" s="63">
        <v>100.0</v>
      </c>
      <c r="J347" s="67">
        <v>85.73389</v>
      </c>
      <c r="K347" s="67">
        <v>77.9399</v>
      </c>
      <c r="L347" s="8">
        <f t="shared" si="3"/>
        <v>0.7894825487</v>
      </c>
      <c r="M347" s="8">
        <f t="shared" si="4"/>
        <v>0.2368447646</v>
      </c>
      <c r="N347" s="8">
        <f t="shared" si="5"/>
        <v>0.04736895292</v>
      </c>
      <c r="O347" s="8">
        <f t="shared" si="6"/>
        <v>0.1558798</v>
      </c>
      <c r="P347" s="8">
        <f t="shared" si="7"/>
        <v>0.2338197</v>
      </c>
      <c r="Q347" s="8">
        <f t="shared" si="8"/>
        <v>0.0779399</v>
      </c>
      <c r="R347" s="57"/>
      <c r="S347" s="57"/>
      <c r="T347" s="57"/>
      <c r="U347" s="57"/>
      <c r="V347" s="57"/>
      <c r="W347" s="57"/>
      <c r="X347" s="57"/>
      <c r="Y347" s="57"/>
      <c r="Z347" s="17"/>
    </row>
    <row r="348" ht="34.5" customHeight="1">
      <c r="A348" s="24" t="s">
        <v>335</v>
      </c>
      <c r="B348" s="62" t="s">
        <v>379</v>
      </c>
      <c r="C348" s="65" t="s">
        <v>399</v>
      </c>
      <c r="D348" s="65" t="s">
        <v>400</v>
      </c>
      <c r="E348" s="65">
        <v>10.0</v>
      </c>
      <c r="F348" s="66">
        <v>6.54</v>
      </c>
      <c r="G348" s="62">
        <v>1.0</v>
      </c>
      <c r="H348" s="63">
        <v>100.0</v>
      </c>
      <c r="I348" s="63">
        <v>100.0</v>
      </c>
      <c r="J348" s="67">
        <v>15.5298</v>
      </c>
      <c r="K348" s="67">
        <v>14.118</v>
      </c>
      <c r="L348" s="8">
        <f t="shared" si="3"/>
        <v>0.1430065297</v>
      </c>
      <c r="M348" s="8">
        <f t="shared" si="4"/>
        <v>0.0429019589</v>
      </c>
      <c r="N348" s="8">
        <f t="shared" si="5"/>
        <v>0.008580391781</v>
      </c>
      <c r="O348" s="8">
        <f t="shared" si="6"/>
        <v>0.028236</v>
      </c>
      <c r="P348" s="8">
        <f t="shared" si="7"/>
        <v>0.042354</v>
      </c>
      <c r="Q348" s="8">
        <f t="shared" si="8"/>
        <v>0.014118</v>
      </c>
      <c r="R348" s="57"/>
      <c r="S348" s="57"/>
      <c r="T348" s="57"/>
      <c r="U348" s="57"/>
      <c r="V348" s="57"/>
      <c r="W348" s="57"/>
      <c r="X348" s="57"/>
      <c r="Y348" s="57"/>
      <c r="Z348" s="17"/>
    </row>
    <row r="349" ht="34.5" customHeight="1">
      <c r="A349" s="24" t="s">
        <v>335</v>
      </c>
      <c r="B349" s="62" t="s">
        <v>379</v>
      </c>
      <c r="C349" s="65" t="s">
        <v>399</v>
      </c>
      <c r="D349" s="65" t="s">
        <v>401</v>
      </c>
      <c r="E349" s="65">
        <v>24.0</v>
      </c>
      <c r="F349" s="66">
        <v>7.98</v>
      </c>
      <c r="G349" s="62">
        <v>1.0</v>
      </c>
      <c r="H349" s="63">
        <v>0.0</v>
      </c>
      <c r="I349" s="63">
        <v>0.0</v>
      </c>
      <c r="J349" s="67">
        <v>37.26492</v>
      </c>
      <c r="K349" s="67">
        <v>33.8772</v>
      </c>
      <c r="L349" s="8">
        <f t="shared" si="3"/>
        <v>0.343154895</v>
      </c>
      <c r="M349" s="8">
        <f t="shared" si="4"/>
        <v>0.1029464685</v>
      </c>
      <c r="N349" s="8">
        <f t="shared" si="5"/>
        <v>0.0205892937</v>
      </c>
      <c r="O349" s="8">
        <f t="shared" si="6"/>
        <v>0.0677544</v>
      </c>
      <c r="P349" s="8">
        <f t="shared" si="7"/>
        <v>0.1016316</v>
      </c>
      <c r="Q349" s="8">
        <f t="shared" si="8"/>
        <v>0.0338772</v>
      </c>
      <c r="R349" s="57"/>
      <c r="S349" s="57"/>
      <c r="T349" s="57"/>
      <c r="U349" s="57"/>
      <c r="V349" s="57"/>
      <c r="W349" s="57"/>
      <c r="X349" s="57"/>
      <c r="Y349" s="57"/>
      <c r="Z349" s="17"/>
    </row>
    <row r="350" ht="34.5" customHeight="1">
      <c r="A350" s="24" t="s">
        <v>335</v>
      </c>
      <c r="B350" s="62" t="s">
        <v>379</v>
      </c>
      <c r="C350" s="65" t="s">
        <v>399</v>
      </c>
      <c r="D350" s="65" t="s">
        <v>402</v>
      </c>
      <c r="E350" s="65">
        <v>17.0</v>
      </c>
      <c r="F350" s="66">
        <v>6.46</v>
      </c>
      <c r="G350" s="62">
        <v>1.0</v>
      </c>
      <c r="H350" s="63">
        <v>100.0</v>
      </c>
      <c r="I350" s="63">
        <v>100.0</v>
      </c>
      <c r="J350" s="67">
        <v>32.64448</v>
      </c>
      <c r="K350" s="67">
        <v>29.6768</v>
      </c>
      <c r="L350" s="8">
        <f t="shared" si="3"/>
        <v>0.3006074642</v>
      </c>
      <c r="M350" s="8">
        <f t="shared" si="4"/>
        <v>0.09018223927</v>
      </c>
      <c r="N350" s="8">
        <f t="shared" si="5"/>
        <v>0.01803644785</v>
      </c>
      <c r="O350" s="8">
        <f t="shared" si="6"/>
        <v>0.0593536</v>
      </c>
      <c r="P350" s="8">
        <f t="shared" si="7"/>
        <v>0.0890304</v>
      </c>
      <c r="Q350" s="8">
        <f t="shared" si="8"/>
        <v>0.0296768</v>
      </c>
      <c r="R350" s="57"/>
      <c r="S350" s="57"/>
      <c r="T350" s="57"/>
      <c r="U350" s="57"/>
      <c r="V350" s="57"/>
      <c r="W350" s="57"/>
      <c r="X350" s="57"/>
      <c r="Y350" s="57"/>
      <c r="Z350" s="17"/>
    </row>
    <row r="351" ht="34.5" customHeight="1">
      <c r="A351" s="24" t="s">
        <v>335</v>
      </c>
      <c r="B351" s="62" t="s">
        <v>379</v>
      </c>
      <c r="C351" s="65" t="s">
        <v>399</v>
      </c>
      <c r="D351" s="65" t="s">
        <v>399</v>
      </c>
      <c r="E351" s="65">
        <v>361.0</v>
      </c>
      <c r="F351" s="66">
        <v>19.79</v>
      </c>
      <c r="G351" s="62">
        <v>9.0</v>
      </c>
      <c r="H351" s="63">
        <v>96.08</v>
      </c>
      <c r="I351" s="63">
        <v>0.9608</v>
      </c>
      <c r="J351" s="67">
        <v>365.1252</v>
      </c>
      <c r="K351" s="67">
        <v>331.932</v>
      </c>
      <c r="L351" s="8">
        <f t="shared" si="3"/>
        <v>3.362264018</v>
      </c>
      <c r="M351" s="8">
        <f t="shared" si="4"/>
        <v>1.008679205</v>
      </c>
      <c r="N351" s="8">
        <f t="shared" si="5"/>
        <v>0.2017358411</v>
      </c>
      <c r="O351" s="8">
        <f t="shared" si="6"/>
        <v>0.663864</v>
      </c>
      <c r="P351" s="8">
        <f t="shared" si="7"/>
        <v>0.995796</v>
      </c>
      <c r="Q351" s="8">
        <f t="shared" si="8"/>
        <v>0.331932</v>
      </c>
      <c r="R351" s="57"/>
      <c r="S351" s="57"/>
      <c r="T351" s="57"/>
      <c r="U351" s="57"/>
      <c r="V351" s="57"/>
      <c r="W351" s="57"/>
      <c r="X351" s="57"/>
      <c r="Y351" s="57"/>
      <c r="Z351" s="17"/>
    </row>
    <row r="352" ht="34.5" customHeight="1">
      <c r="A352" s="24" t="s">
        <v>335</v>
      </c>
      <c r="B352" s="62" t="s">
        <v>379</v>
      </c>
      <c r="C352" s="65" t="s">
        <v>399</v>
      </c>
      <c r="D352" s="65" t="s">
        <v>403</v>
      </c>
      <c r="E352" s="65">
        <v>14.0</v>
      </c>
      <c r="F352" s="66">
        <v>9.15</v>
      </c>
      <c r="G352" s="62">
        <v>1.0</v>
      </c>
      <c r="H352" s="63">
        <v>0.0</v>
      </c>
      <c r="I352" s="63">
        <v>0.0</v>
      </c>
      <c r="J352" s="67">
        <v>24.60975</v>
      </c>
      <c r="K352" s="67">
        <v>22.3725</v>
      </c>
      <c r="L352" s="8">
        <f t="shared" si="3"/>
        <v>0.2266194635</v>
      </c>
      <c r="M352" s="8">
        <f t="shared" si="4"/>
        <v>0.06798583904</v>
      </c>
      <c r="N352" s="8">
        <f t="shared" si="5"/>
        <v>0.01359716781</v>
      </c>
      <c r="O352" s="8">
        <f t="shared" si="6"/>
        <v>0.044745</v>
      </c>
      <c r="P352" s="8">
        <f t="shared" si="7"/>
        <v>0.0671175</v>
      </c>
      <c r="Q352" s="8">
        <f t="shared" si="8"/>
        <v>0.0223725</v>
      </c>
      <c r="R352" s="57"/>
      <c r="S352" s="57"/>
      <c r="T352" s="57"/>
      <c r="U352" s="57"/>
      <c r="V352" s="57"/>
      <c r="W352" s="57"/>
      <c r="X352" s="57"/>
      <c r="Y352" s="57"/>
      <c r="Z352" s="17"/>
    </row>
    <row r="353" ht="34.5" customHeight="1">
      <c r="A353" s="24" t="s">
        <v>335</v>
      </c>
      <c r="B353" s="62" t="s">
        <v>379</v>
      </c>
      <c r="C353" s="65" t="s">
        <v>399</v>
      </c>
      <c r="D353" s="65" t="s">
        <v>404</v>
      </c>
      <c r="E353" s="65">
        <v>65.0</v>
      </c>
      <c r="F353" s="66">
        <v>12.69</v>
      </c>
      <c r="G353" s="62">
        <v>2.0</v>
      </c>
      <c r="H353" s="63">
        <v>100.0</v>
      </c>
      <c r="I353" s="63">
        <v>100.0</v>
      </c>
      <c r="J353" s="67">
        <v>68.92952</v>
      </c>
      <c r="K353" s="67">
        <v>62.6632</v>
      </c>
      <c r="L353" s="8">
        <f t="shared" si="3"/>
        <v>0.6347391111</v>
      </c>
      <c r="M353" s="8">
        <f t="shared" si="4"/>
        <v>0.1904217333</v>
      </c>
      <c r="N353" s="8">
        <f t="shared" si="5"/>
        <v>0.03808434667</v>
      </c>
      <c r="O353" s="8">
        <f t="shared" si="6"/>
        <v>0.1253264</v>
      </c>
      <c r="P353" s="8">
        <f t="shared" si="7"/>
        <v>0.1879896</v>
      </c>
      <c r="Q353" s="8">
        <f t="shared" si="8"/>
        <v>0.0626632</v>
      </c>
      <c r="R353" s="57"/>
      <c r="S353" s="57"/>
      <c r="T353" s="57"/>
      <c r="U353" s="57"/>
      <c r="V353" s="57"/>
      <c r="W353" s="57"/>
      <c r="X353" s="57"/>
      <c r="Y353" s="57"/>
      <c r="Z353" s="17"/>
    </row>
    <row r="354" ht="34.5" customHeight="1">
      <c r="A354" s="24" t="s">
        <v>335</v>
      </c>
      <c r="B354" s="62" t="s">
        <v>379</v>
      </c>
      <c r="C354" s="65" t="s">
        <v>405</v>
      </c>
      <c r="D354" s="65" t="s">
        <v>406</v>
      </c>
      <c r="E354" s="65">
        <v>37.0</v>
      </c>
      <c r="F354" s="66">
        <v>14.93</v>
      </c>
      <c r="G354" s="62">
        <v>2.0</v>
      </c>
      <c r="H354" s="63">
        <v>100.0</v>
      </c>
      <c r="I354" s="63">
        <v>100.0</v>
      </c>
      <c r="J354" s="67">
        <v>36.575</v>
      </c>
      <c r="K354" s="67">
        <v>33.25</v>
      </c>
      <c r="L354" s="8">
        <f t="shared" si="3"/>
        <v>0.3368017504</v>
      </c>
      <c r="M354" s="8">
        <f t="shared" si="4"/>
        <v>0.1010405251</v>
      </c>
      <c r="N354" s="8">
        <f t="shared" si="5"/>
        <v>0.02020810502</v>
      </c>
      <c r="O354" s="8">
        <f t="shared" si="6"/>
        <v>0.0665</v>
      </c>
      <c r="P354" s="8">
        <f t="shared" si="7"/>
        <v>0.09975</v>
      </c>
      <c r="Q354" s="8">
        <f t="shared" si="8"/>
        <v>0.03325</v>
      </c>
      <c r="R354" s="57"/>
      <c r="S354" s="57"/>
      <c r="T354" s="57"/>
      <c r="U354" s="57"/>
      <c r="V354" s="57"/>
      <c r="W354" s="57"/>
      <c r="X354" s="57"/>
      <c r="Y354" s="57"/>
      <c r="Z354" s="17"/>
    </row>
    <row r="355" ht="34.5" customHeight="1">
      <c r="A355" s="24" t="s">
        <v>335</v>
      </c>
      <c r="B355" s="62" t="s">
        <v>379</v>
      </c>
      <c r="C355" s="65" t="s">
        <v>405</v>
      </c>
      <c r="D355" s="65" t="s">
        <v>407</v>
      </c>
      <c r="E355" s="65">
        <v>19.0</v>
      </c>
      <c r="F355" s="66">
        <v>10.88</v>
      </c>
      <c r="G355" s="62">
        <v>1.0</v>
      </c>
      <c r="H355" s="63">
        <v>100.0</v>
      </c>
      <c r="I355" s="63">
        <v>100.0</v>
      </c>
      <c r="J355" s="67">
        <v>21.15729</v>
      </c>
      <c r="K355" s="67">
        <v>19.2339</v>
      </c>
      <c r="L355" s="8">
        <f t="shared" si="3"/>
        <v>0.1948274041</v>
      </c>
      <c r="M355" s="8">
        <f t="shared" si="4"/>
        <v>0.05844822123</v>
      </c>
      <c r="N355" s="8">
        <f t="shared" si="5"/>
        <v>0.01168964425</v>
      </c>
      <c r="O355" s="8">
        <f t="shared" si="6"/>
        <v>0.0384678</v>
      </c>
      <c r="P355" s="8">
        <f t="shared" si="7"/>
        <v>0.0577017</v>
      </c>
      <c r="Q355" s="8">
        <f t="shared" si="8"/>
        <v>0.0192339</v>
      </c>
      <c r="R355" s="57"/>
      <c r="S355" s="57"/>
      <c r="T355" s="57"/>
      <c r="U355" s="57"/>
      <c r="V355" s="57"/>
      <c r="W355" s="57"/>
      <c r="X355" s="57"/>
      <c r="Y355" s="57"/>
      <c r="Z355" s="17"/>
    </row>
    <row r="356" ht="34.5" customHeight="1">
      <c r="A356" s="24" t="s">
        <v>335</v>
      </c>
      <c r="B356" s="62" t="s">
        <v>379</v>
      </c>
      <c r="C356" s="65" t="s">
        <v>405</v>
      </c>
      <c r="D356" s="65" t="s">
        <v>408</v>
      </c>
      <c r="E356" s="65">
        <v>13.0</v>
      </c>
      <c r="F356" s="66">
        <v>8.76</v>
      </c>
      <c r="G356" s="62">
        <v>1.0</v>
      </c>
      <c r="H356" s="63">
        <v>100.0</v>
      </c>
      <c r="I356" s="63">
        <v>100.0</v>
      </c>
      <c r="J356" s="67">
        <v>18.44964</v>
      </c>
      <c r="K356" s="67">
        <v>16.7724</v>
      </c>
      <c r="L356" s="8">
        <f t="shared" si="3"/>
        <v>0.1698939452</v>
      </c>
      <c r="M356" s="8">
        <f t="shared" si="4"/>
        <v>0.05096818356</v>
      </c>
      <c r="N356" s="8">
        <f t="shared" si="5"/>
        <v>0.01019363671</v>
      </c>
      <c r="O356" s="8">
        <f t="shared" si="6"/>
        <v>0.0335448</v>
      </c>
      <c r="P356" s="8">
        <f t="shared" si="7"/>
        <v>0.0503172</v>
      </c>
      <c r="Q356" s="8">
        <f t="shared" si="8"/>
        <v>0.0167724</v>
      </c>
      <c r="R356" s="57"/>
      <c r="S356" s="57"/>
      <c r="T356" s="57"/>
      <c r="U356" s="57"/>
      <c r="V356" s="57"/>
      <c r="W356" s="57"/>
      <c r="X356" s="57"/>
      <c r="Y356" s="57"/>
      <c r="Z356" s="17"/>
    </row>
    <row r="357" ht="34.5" customHeight="1">
      <c r="A357" s="24" t="s">
        <v>335</v>
      </c>
      <c r="B357" s="62" t="s">
        <v>379</v>
      </c>
      <c r="C357" s="65" t="s">
        <v>405</v>
      </c>
      <c r="D357" s="65" t="s">
        <v>409</v>
      </c>
      <c r="E357" s="65">
        <v>20.0</v>
      </c>
      <c r="F357" s="66">
        <v>11.51</v>
      </c>
      <c r="G357" s="62">
        <v>1.0</v>
      </c>
      <c r="H357" s="63">
        <v>100.0</v>
      </c>
      <c r="I357" s="63">
        <v>100.0</v>
      </c>
      <c r="J357" s="67">
        <v>25.49151</v>
      </c>
      <c r="K357" s="67">
        <v>23.1741</v>
      </c>
      <c r="L357" s="8">
        <f t="shared" si="3"/>
        <v>0.2347391712</v>
      </c>
      <c r="M357" s="8">
        <f t="shared" si="4"/>
        <v>0.07042175137</v>
      </c>
      <c r="N357" s="8">
        <f t="shared" si="5"/>
        <v>0.01408435027</v>
      </c>
      <c r="O357" s="8">
        <f t="shared" si="6"/>
        <v>0.0463482</v>
      </c>
      <c r="P357" s="8">
        <f t="shared" si="7"/>
        <v>0.0695223</v>
      </c>
      <c r="Q357" s="8">
        <f t="shared" si="8"/>
        <v>0.0231741</v>
      </c>
      <c r="R357" s="57"/>
      <c r="S357" s="57"/>
      <c r="T357" s="57"/>
      <c r="U357" s="57"/>
      <c r="V357" s="57"/>
      <c r="W357" s="57"/>
      <c r="X357" s="57"/>
      <c r="Y357" s="57"/>
      <c r="Z357" s="17"/>
    </row>
    <row r="358" ht="34.5" customHeight="1">
      <c r="A358" s="24" t="s">
        <v>335</v>
      </c>
      <c r="B358" s="62" t="s">
        <v>379</v>
      </c>
      <c r="C358" s="65" t="s">
        <v>405</v>
      </c>
      <c r="D358" s="65" t="s">
        <v>405</v>
      </c>
      <c r="E358" s="65">
        <v>497.0</v>
      </c>
      <c r="F358" s="66">
        <v>25.22</v>
      </c>
      <c r="G358" s="62">
        <v>12.0</v>
      </c>
      <c r="H358" s="63">
        <v>7.03</v>
      </c>
      <c r="I358" s="63">
        <v>13.13</v>
      </c>
      <c r="J358" s="67">
        <v>422.64299</v>
      </c>
      <c r="K358" s="67">
        <v>384.2209</v>
      </c>
      <c r="L358" s="8">
        <f t="shared" si="3"/>
        <v>3.891917944</v>
      </c>
      <c r="M358" s="8">
        <f t="shared" si="4"/>
        <v>1.167575383</v>
      </c>
      <c r="N358" s="8">
        <f t="shared" si="5"/>
        <v>0.2335150767</v>
      </c>
      <c r="O358" s="8">
        <f t="shared" si="6"/>
        <v>0.7684418</v>
      </c>
      <c r="P358" s="8">
        <f t="shared" si="7"/>
        <v>1.1526627</v>
      </c>
      <c r="Q358" s="8">
        <f t="shared" si="8"/>
        <v>0.3842209</v>
      </c>
      <c r="R358" s="57"/>
      <c r="S358" s="57"/>
      <c r="T358" s="57"/>
      <c r="U358" s="57"/>
      <c r="V358" s="57"/>
      <c r="W358" s="57"/>
      <c r="X358" s="57"/>
      <c r="Y358" s="57"/>
      <c r="Z358" s="17"/>
    </row>
    <row r="359" ht="34.5" customHeight="1">
      <c r="A359" s="24" t="s">
        <v>335</v>
      </c>
      <c r="B359" s="62" t="s">
        <v>379</v>
      </c>
      <c r="C359" s="65" t="s">
        <v>405</v>
      </c>
      <c r="D359" s="65" t="s">
        <v>410</v>
      </c>
      <c r="E359" s="65">
        <v>17.0</v>
      </c>
      <c r="F359" s="66">
        <v>6.43</v>
      </c>
      <c r="G359" s="62">
        <v>1.0</v>
      </c>
      <c r="H359" s="63">
        <v>70.02</v>
      </c>
      <c r="I359" s="63">
        <v>85.34</v>
      </c>
      <c r="J359" s="67">
        <v>15.90105</v>
      </c>
      <c r="K359" s="67">
        <v>14.4555</v>
      </c>
      <c r="L359" s="8">
        <f t="shared" si="3"/>
        <v>0.1464251941</v>
      </c>
      <c r="M359" s="8">
        <f t="shared" si="4"/>
        <v>0.04392755822</v>
      </c>
      <c r="N359" s="8">
        <f t="shared" si="5"/>
        <v>0.008785511644</v>
      </c>
      <c r="O359" s="8">
        <f t="shared" si="6"/>
        <v>0.028911</v>
      </c>
      <c r="P359" s="8">
        <f t="shared" si="7"/>
        <v>0.0433665</v>
      </c>
      <c r="Q359" s="8">
        <f t="shared" si="8"/>
        <v>0.0144555</v>
      </c>
      <c r="R359" s="57"/>
      <c r="S359" s="57"/>
      <c r="T359" s="57"/>
      <c r="U359" s="57"/>
      <c r="V359" s="57"/>
      <c r="W359" s="57"/>
      <c r="X359" s="57"/>
      <c r="Y359" s="57"/>
      <c r="Z359" s="17"/>
    </row>
    <row r="360" ht="34.5" customHeight="1">
      <c r="A360" s="24" t="s">
        <v>335</v>
      </c>
      <c r="B360" s="62" t="s">
        <v>379</v>
      </c>
      <c r="C360" s="65" t="s">
        <v>405</v>
      </c>
      <c r="D360" s="65" t="s">
        <v>411</v>
      </c>
      <c r="E360" s="65">
        <v>16.0</v>
      </c>
      <c r="F360" s="66">
        <v>15.41</v>
      </c>
      <c r="G360" s="62">
        <v>1.0</v>
      </c>
      <c r="H360" s="63">
        <v>100.0</v>
      </c>
      <c r="I360" s="63">
        <v>100.0</v>
      </c>
      <c r="J360" s="67">
        <v>22.69025</v>
      </c>
      <c r="K360" s="67">
        <v>20.6275</v>
      </c>
      <c r="L360" s="8">
        <f t="shared" si="3"/>
        <v>0.2089437024</v>
      </c>
      <c r="M360" s="8">
        <f t="shared" si="4"/>
        <v>0.06268311073</v>
      </c>
      <c r="N360" s="8">
        <f t="shared" si="5"/>
        <v>0.01253662215</v>
      </c>
      <c r="O360" s="8">
        <f t="shared" si="6"/>
        <v>0.041255</v>
      </c>
      <c r="P360" s="8">
        <f t="shared" si="7"/>
        <v>0.0618825</v>
      </c>
      <c r="Q360" s="8">
        <f t="shared" si="8"/>
        <v>0.0206275</v>
      </c>
      <c r="R360" s="57"/>
      <c r="S360" s="57"/>
      <c r="T360" s="57"/>
      <c r="U360" s="57"/>
      <c r="V360" s="57"/>
      <c r="W360" s="57"/>
      <c r="X360" s="57"/>
      <c r="Y360" s="57"/>
      <c r="Z360" s="17"/>
    </row>
    <row r="361" ht="34.5" customHeight="1">
      <c r="A361" s="24" t="s">
        <v>335</v>
      </c>
      <c r="B361" s="62" t="s">
        <v>379</v>
      </c>
      <c r="C361" s="65" t="s">
        <v>405</v>
      </c>
      <c r="D361" s="65" t="s">
        <v>412</v>
      </c>
      <c r="E361" s="65">
        <v>89.0</v>
      </c>
      <c r="F361" s="66">
        <v>10.97</v>
      </c>
      <c r="G361" s="62">
        <v>3.0</v>
      </c>
      <c r="H361" s="63">
        <v>100.0</v>
      </c>
      <c r="I361" s="63">
        <v>100.0</v>
      </c>
      <c r="J361" s="67">
        <v>77.61039</v>
      </c>
      <c r="K361" s="67">
        <v>70.5549</v>
      </c>
      <c r="L361" s="8">
        <f t="shared" si="3"/>
        <v>0.7146771073</v>
      </c>
      <c r="M361" s="8">
        <f t="shared" si="4"/>
        <v>0.2144031322</v>
      </c>
      <c r="N361" s="8">
        <f t="shared" si="5"/>
        <v>0.04288062644</v>
      </c>
      <c r="O361" s="8">
        <f t="shared" si="6"/>
        <v>0.1411098</v>
      </c>
      <c r="P361" s="8">
        <f t="shared" si="7"/>
        <v>0.2116647</v>
      </c>
      <c r="Q361" s="8">
        <f t="shared" si="8"/>
        <v>0.0705549</v>
      </c>
      <c r="R361" s="57"/>
      <c r="S361" s="57"/>
      <c r="T361" s="57"/>
      <c r="U361" s="57"/>
      <c r="V361" s="57"/>
      <c r="W361" s="57"/>
      <c r="X361" s="57"/>
      <c r="Y361" s="57"/>
      <c r="Z361" s="17"/>
    </row>
    <row r="362" ht="34.5" customHeight="1">
      <c r="A362" s="24" t="s">
        <v>335</v>
      </c>
      <c r="B362" s="62" t="s">
        <v>379</v>
      </c>
      <c r="C362" s="65" t="s">
        <v>405</v>
      </c>
      <c r="D362" s="65" t="s">
        <v>413</v>
      </c>
      <c r="E362" s="65">
        <v>50.0</v>
      </c>
      <c r="F362" s="66">
        <v>11.25</v>
      </c>
      <c r="G362" s="62">
        <v>1.0</v>
      </c>
      <c r="H362" s="63">
        <v>84.6</v>
      </c>
      <c r="I362" s="63">
        <v>100.0</v>
      </c>
      <c r="J362" s="67">
        <v>50.82792</v>
      </c>
      <c r="K362" s="67">
        <v>46.2072</v>
      </c>
      <c r="L362" s="8">
        <f t="shared" si="3"/>
        <v>0.4680501005</v>
      </c>
      <c r="M362" s="8">
        <f t="shared" si="4"/>
        <v>0.1404150301</v>
      </c>
      <c r="N362" s="8">
        <f t="shared" si="5"/>
        <v>0.02808300603</v>
      </c>
      <c r="O362" s="8">
        <f t="shared" si="6"/>
        <v>0.0924144</v>
      </c>
      <c r="P362" s="8">
        <f t="shared" si="7"/>
        <v>0.1386216</v>
      </c>
      <c r="Q362" s="8">
        <f t="shared" si="8"/>
        <v>0.0462072</v>
      </c>
      <c r="R362" s="57"/>
      <c r="S362" s="57"/>
      <c r="T362" s="57"/>
      <c r="U362" s="57"/>
      <c r="V362" s="57"/>
      <c r="W362" s="57"/>
      <c r="X362" s="57"/>
      <c r="Y362" s="57"/>
      <c r="Z362" s="17"/>
    </row>
    <row r="363" ht="34.5" customHeight="1">
      <c r="A363" s="24" t="s">
        <v>335</v>
      </c>
      <c r="B363" s="62" t="s">
        <v>379</v>
      </c>
      <c r="C363" s="65" t="s">
        <v>405</v>
      </c>
      <c r="D363" s="65" t="s">
        <v>414</v>
      </c>
      <c r="E363" s="65">
        <v>36.0</v>
      </c>
      <c r="F363" s="66">
        <v>4.85</v>
      </c>
      <c r="G363" s="62">
        <v>1.0</v>
      </c>
      <c r="H363" s="63">
        <v>74.55</v>
      </c>
      <c r="I363" s="63">
        <v>100.0</v>
      </c>
      <c r="J363" s="67">
        <v>57.13686</v>
      </c>
      <c r="K363" s="67">
        <v>51.9426</v>
      </c>
      <c r="L363" s="8">
        <f t="shared" si="3"/>
        <v>0.5261461233</v>
      </c>
      <c r="M363" s="8">
        <f t="shared" si="4"/>
        <v>0.157843837</v>
      </c>
      <c r="N363" s="8">
        <f t="shared" si="5"/>
        <v>0.0315687674</v>
      </c>
      <c r="O363" s="8">
        <f t="shared" si="6"/>
        <v>0.1038852</v>
      </c>
      <c r="P363" s="8">
        <f t="shared" si="7"/>
        <v>0.1558278</v>
      </c>
      <c r="Q363" s="8">
        <f t="shared" si="8"/>
        <v>0.0519426</v>
      </c>
      <c r="R363" s="57"/>
      <c r="S363" s="57"/>
      <c r="T363" s="57"/>
      <c r="U363" s="57"/>
      <c r="V363" s="57"/>
      <c r="W363" s="57"/>
      <c r="X363" s="57"/>
      <c r="Y363" s="57"/>
      <c r="Z363" s="17"/>
    </row>
    <row r="364" ht="34.5" customHeight="1">
      <c r="A364" s="24" t="s">
        <v>335</v>
      </c>
      <c r="B364" s="62" t="s">
        <v>379</v>
      </c>
      <c r="C364" s="65" t="s">
        <v>405</v>
      </c>
      <c r="D364" s="65" t="s">
        <v>415</v>
      </c>
      <c r="E364" s="65">
        <v>69.0</v>
      </c>
      <c r="F364" s="66">
        <v>24.09</v>
      </c>
      <c r="G364" s="62">
        <v>2.0</v>
      </c>
      <c r="H364" s="63">
        <v>57.42</v>
      </c>
      <c r="I364" s="63">
        <v>100.0</v>
      </c>
      <c r="J364" s="67">
        <v>59.23731</v>
      </c>
      <c r="K364" s="67">
        <v>53.8521</v>
      </c>
      <c r="L364" s="8">
        <f t="shared" si="3"/>
        <v>0.5454881667</v>
      </c>
      <c r="M364" s="8">
        <f t="shared" si="4"/>
        <v>0.16364645</v>
      </c>
      <c r="N364" s="8">
        <f t="shared" si="5"/>
        <v>0.03272929</v>
      </c>
      <c r="O364" s="8">
        <f t="shared" si="6"/>
        <v>0.1077042</v>
      </c>
      <c r="P364" s="8">
        <f t="shared" si="7"/>
        <v>0.1615563</v>
      </c>
      <c r="Q364" s="8">
        <f t="shared" si="8"/>
        <v>0.0538521</v>
      </c>
      <c r="R364" s="57"/>
      <c r="S364" s="57"/>
      <c r="T364" s="57"/>
      <c r="U364" s="57"/>
      <c r="V364" s="57"/>
      <c r="W364" s="57"/>
      <c r="X364" s="57"/>
      <c r="Y364" s="57"/>
      <c r="Z364" s="17"/>
    </row>
    <row r="365" ht="34.5" customHeight="1">
      <c r="A365" s="24" t="s">
        <v>335</v>
      </c>
      <c r="B365" s="62" t="s">
        <v>379</v>
      </c>
      <c r="C365" s="65" t="s">
        <v>405</v>
      </c>
      <c r="D365" s="65" t="s">
        <v>416</v>
      </c>
      <c r="E365" s="65">
        <v>12.0</v>
      </c>
      <c r="F365" s="66">
        <v>11.87</v>
      </c>
      <c r="G365" s="62">
        <v>1.0</v>
      </c>
      <c r="H365" s="63">
        <v>100.0</v>
      </c>
      <c r="I365" s="63">
        <v>100.0</v>
      </c>
      <c r="J365" s="67">
        <v>16.21664</v>
      </c>
      <c r="K365" s="67">
        <v>14.7424</v>
      </c>
      <c r="L365" s="8">
        <f t="shared" si="3"/>
        <v>0.149331312</v>
      </c>
      <c r="M365" s="8">
        <f t="shared" si="4"/>
        <v>0.04479939361</v>
      </c>
      <c r="N365" s="8">
        <f t="shared" si="5"/>
        <v>0.008959878721</v>
      </c>
      <c r="O365" s="8">
        <f t="shared" si="6"/>
        <v>0.0294848</v>
      </c>
      <c r="P365" s="8">
        <f t="shared" si="7"/>
        <v>0.0442272</v>
      </c>
      <c r="Q365" s="8">
        <f t="shared" si="8"/>
        <v>0.0147424</v>
      </c>
      <c r="R365" s="57"/>
      <c r="S365" s="57"/>
      <c r="T365" s="57"/>
      <c r="U365" s="57"/>
      <c r="V365" s="57"/>
      <c r="W365" s="57"/>
      <c r="X365" s="57"/>
      <c r="Y365" s="57"/>
      <c r="Z365" s="17"/>
    </row>
    <row r="366" ht="34.5" customHeight="1">
      <c r="A366" s="24" t="s">
        <v>335</v>
      </c>
      <c r="B366" s="62" t="s">
        <v>379</v>
      </c>
      <c r="C366" s="65" t="s">
        <v>405</v>
      </c>
      <c r="D366" s="65" t="s">
        <v>417</v>
      </c>
      <c r="E366" s="65">
        <v>13.0</v>
      </c>
      <c r="F366" s="66">
        <v>7.24</v>
      </c>
      <c r="G366" s="62">
        <v>1.0</v>
      </c>
      <c r="H366" s="63">
        <v>100.0</v>
      </c>
      <c r="I366" s="63">
        <v>100.0</v>
      </c>
      <c r="J366" s="67">
        <v>13.20176</v>
      </c>
      <c r="K366" s="67">
        <v>12.0016</v>
      </c>
      <c r="L366" s="8">
        <f t="shared" si="3"/>
        <v>0.1215687184</v>
      </c>
      <c r="M366" s="8">
        <f t="shared" si="4"/>
        <v>0.03647061553</v>
      </c>
      <c r="N366" s="8">
        <f t="shared" si="5"/>
        <v>0.007294123105</v>
      </c>
      <c r="O366" s="8">
        <f t="shared" si="6"/>
        <v>0.0240032</v>
      </c>
      <c r="P366" s="8">
        <f t="shared" si="7"/>
        <v>0.0360048</v>
      </c>
      <c r="Q366" s="8">
        <f t="shared" si="8"/>
        <v>0.0120016</v>
      </c>
      <c r="R366" s="57"/>
      <c r="S366" s="57"/>
      <c r="T366" s="57"/>
      <c r="U366" s="57"/>
      <c r="V366" s="57"/>
      <c r="W366" s="57"/>
      <c r="X366" s="57"/>
      <c r="Y366" s="57"/>
      <c r="Z366" s="17"/>
    </row>
    <row r="367" ht="34.5" customHeight="1">
      <c r="A367" s="24" t="s">
        <v>335</v>
      </c>
      <c r="B367" s="62" t="s">
        <v>379</v>
      </c>
      <c r="C367" s="65" t="s">
        <v>405</v>
      </c>
      <c r="D367" s="65" t="s">
        <v>418</v>
      </c>
      <c r="E367" s="65">
        <v>25.0</v>
      </c>
      <c r="F367" s="66">
        <v>9.64</v>
      </c>
      <c r="G367" s="62">
        <v>2.0</v>
      </c>
      <c r="H367" s="63">
        <v>100.0</v>
      </c>
      <c r="I367" s="63">
        <v>100.0</v>
      </c>
      <c r="J367" s="67">
        <v>22.29546</v>
      </c>
      <c r="K367" s="67">
        <v>20.2686</v>
      </c>
      <c r="L367" s="8">
        <f t="shared" si="3"/>
        <v>0.2053082694</v>
      </c>
      <c r="M367" s="8">
        <f t="shared" si="4"/>
        <v>0.06159248082</v>
      </c>
      <c r="N367" s="8">
        <f t="shared" si="5"/>
        <v>0.01231849616</v>
      </c>
      <c r="O367" s="8">
        <f t="shared" si="6"/>
        <v>0.0405372</v>
      </c>
      <c r="P367" s="8">
        <f t="shared" si="7"/>
        <v>0.0608058</v>
      </c>
      <c r="Q367" s="8">
        <f t="shared" si="8"/>
        <v>0.0202686</v>
      </c>
      <c r="R367" s="57"/>
      <c r="S367" s="57"/>
      <c r="T367" s="57"/>
      <c r="U367" s="57"/>
      <c r="V367" s="57"/>
      <c r="W367" s="57"/>
      <c r="X367" s="57"/>
      <c r="Y367" s="57"/>
      <c r="Z367" s="17"/>
    </row>
    <row r="368" ht="34.5" customHeight="1">
      <c r="A368" s="24" t="s">
        <v>335</v>
      </c>
      <c r="B368" s="62" t="s">
        <v>379</v>
      </c>
      <c r="C368" s="65" t="s">
        <v>405</v>
      </c>
      <c r="D368" s="65" t="s">
        <v>419</v>
      </c>
      <c r="E368" s="65">
        <v>96.0</v>
      </c>
      <c r="F368" s="66">
        <v>14.86</v>
      </c>
      <c r="G368" s="62">
        <v>3.0</v>
      </c>
      <c r="H368" s="63">
        <v>100.0</v>
      </c>
      <c r="I368" s="63">
        <v>100.0</v>
      </c>
      <c r="J368" s="67">
        <v>78.21671</v>
      </c>
      <c r="K368" s="67">
        <v>71.1061</v>
      </c>
      <c r="L368" s="8">
        <f t="shared" si="3"/>
        <v>0.7202604193</v>
      </c>
      <c r="M368" s="8">
        <f t="shared" si="4"/>
        <v>0.2160781258</v>
      </c>
      <c r="N368" s="8">
        <f t="shared" si="5"/>
        <v>0.04321562516</v>
      </c>
      <c r="O368" s="8">
        <f t="shared" si="6"/>
        <v>0.1422122</v>
      </c>
      <c r="P368" s="8">
        <f t="shared" si="7"/>
        <v>0.2133183</v>
      </c>
      <c r="Q368" s="8">
        <f t="shared" si="8"/>
        <v>0.0711061</v>
      </c>
      <c r="R368" s="57"/>
      <c r="S368" s="57"/>
      <c r="T368" s="57"/>
      <c r="U368" s="57"/>
      <c r="V368" s="57"/>
      <c r="W368" s="57"/>
      <c r="X368" s="57"/>
      <c r="Y368" s="57"/>
      <c r="Z368" s="17"/>
    </row>
    <row r="369" ht="34.5" customHeight="1">
      <c r="A369" s="24" t="s">
        <v>335</v>
      </c>
      <c r="B369" s="62" t="s">
        <v>379</v>
      </c>
      <c r="C369" s="65" t="s">
        <v>405</v>
      </c>
      <c r="D369" s="65" t="s">
        <v>420</v>
      </c>
      <c r="E369" s="65">
        <v>24.0</v>
      </c>
      <c r="F369" s="66">
        <v>7.77</v>
      </c>
      <c r="G369" s="62">
        <v>1.0</v>
      </c>
      <c r="H369" s="63">
        <v>100.0</v>
      </c>
      <c r="I369" s="63">
        <v>100.0</v>
      </c>
      <c r="J369" s="67">
        <v>17.35173</v>
      </c>
      <c r="K369" s="67">
        <v>15.7743</v>
      </c>
      <c r="L369" s="8">
        <f t="shared" si="3"/>
        <v>0.1597838151</v>
      </c>
      <c r="M369" s="8">
        <f t="shared" si="4"/>
        <v>0.04793514452</v>
      </c>
      <c r="N369" s="8">
        <f t="shared" si="5"/>
        <v>0.009587028904</v>
      </c>
      <c r="O369" s="8">
        <f t="shared" si="6"/>
        <v>0.0315486</v>
      </c>
      <c r="P369" s="8">
        <f t="shared" si="7"/>
        <v>0.0473229</v>
      </c>
      <c r="Q369" s="8">
        <f t="shared" si="8"/>
        <v>0.0157743</v>
      </c>
      <c r="R369" s="57"/>
      <c r="S369" s="57"/>
      <c r="T369" s="57"/>
      <c r="U369" s="57"/>
      <c r="V369" s="57"/>
      <c r="W369" s="57"/>
      <c r="X369" s="57"/>
      <c r="Y369" s="57"/>
      <c r="Z369" s="17"/>
    </row>
    <row r="370" ht="34.5" customHeight="1">
      <c r="A370" s="24" t="s">
        <v>335</v>
      </c>
      <c r="B370" s="62" t="s">
        <v>379</v>
      </c>
      <c r="C370" s="65" t="s">
        <v>421</v>
      </c>
      <c r="D370" s="65" t="s">
        <v>422</v>
      </c>
      <c r="E370" s="65">
        <v>99.0</v>
      </c>
      <c r="F370" s="66">
        <v>11.24</v>
      </c>
      <c r="G370" s="62">
        <v>3.0</v>
      </c>
      <c r="H370" s="63">
        <v>100.0</v>
      </c>
      <c r="I370" s="63">
        <v>100.0</v>
      </c>
      <c r="J370" s="67">
        <v>89.11012</v>
      </c>
      <c r="K370" s="67">
        <v>81.0092</v>
      </c>
      <c r="L370" s="8">
        <f t="shared" si="3"/>
        <v>0.8205726423</v>
      </c>
      <c r="M370" s="8">
        <f t="shared" si="4"/>
        <v>0.2461717927</v>
      </c>
      <c r="N370" s="8">
        <f t="shared" si="5"/>
        <v>0.04923435854</v>
      </c>
      <c r="O370" s="8">
        <f t="shared" si="6"/>
        <v>0.1620184</v>
      </c>
      <c r="P370" s="8">
        <f t="shared" si="7"/>
        <v>0.2430276</v>
      </c>
      <c r="Q370" s="8">
        <f t="shared" si="8"/>
        <v>0.0810092</v>
      </c>
      <c r="R370" s="57"/>
      <c r="S370" s="57"/>
      <c r="T370" s="57"/>
      <c r="U370" s="57"/>
      <c r="V370" s="57"/>
      <c r="W370" s="57"/>
      <c r="X370" s="57"/>
      <c r="Y370" s="57"/>
      <c r="Z370" s="17"/>
    </row>
    <row r="371" ht="34.5" customHeight="1">
      <c r="A371" s="24" t="s">
        <v>335</v>
      </c>
      <c r="B371" s="62" t="s">
        <v>379</v>
      </c>
      <c r="C371" s="65" t="s">
        <v>421</v>
      </c>
      <c r="D371" s="65" t="s">
        <v>421</v>
      </c>
      <c r="E371" s="65">
        <v>672.0</v>
      </c>
      <c r="F371" s="66">
        <v>23.56</v>
      </c>
      <c r="G371" s="62">
        <v>18.0</v>
      </c>
      <c r="H371" s="63">
        <v>100.0</v>
      </c>
      <c r="I371" s="63">
        <v>100.0</v>
      </c>
      <c r="J371" s="67">
        <v>604.3455</v>
      </c>
      <c r="K371" s="67">
        <v>549.405</v>
      </c>
      <c r="L371" s="8">
        <f t="shared" si="3"/>
        <v>5.565129795</v>
      </c>
      <c r="M371" s="8">
        <f t="shared" si="4"/>
        <v>1.669538938</v>
      </c>
      <c r="N371" s="8">
        <f t="shared" si="5"/>
        <v>0.3339077877</v>
      </c>
      <c r="O371" s="8">
        <f t="shared" si="6"/>
        <v>1.09881</v>
      </c>
      <c r="P371" s="8">
        <f t="shared" si="7"/>
        <v>1.648215</v>
      </c>
      <c r="Q371" s="8">
        <f t="shared" si="8"/>
        <v>0.549405</v>
      </c>
      <c r="R371" s="57"/>
      <c r="S371" s="57"/>
      <c r="T371" s="57"/>
      <c r="U371" s="57"/>
      <c r="V371" s="57"/>
      <c r="W371" s="57"/>
      <c r="X371" s="57"/>
      <c r="Y371" s="57"/>
      <c r="Z371" s="17"/>
    </row>
    <row r="372" ht="34.5" customHeight="1">
      <c r="A372" s="24" t="s">
        <v>335</v>
      </c>
      <c r="B372" s="62" t="s">
        <v>379</v>
      </c>
      <c r="C372" s="65" t="s">
        <v>421</v>
      </c>
      <c r="D372" s="65" t="s">
        <v>423</v>
      </c>
      <c r="E372" s="65">
        <v>16.0</v>
      </c>
      <c r="F372" s="66">
        <v>9.42</v>
      </c>
      <c r="G372" s="62">
        <v>1.0</v>
      </c>
      <c r="H372" s="63">
        <v>100.0</v>
      </c>
      <c r="I372" s="63">
        <v>100.0</v>
      </c>
      <c r="J372" s="67">
        <v>18.95839</v>
      </c>
      <c r="K372" s="67">
        <v>17.2349</v>
      </c>
      <c r="L372" s="8">
        <f t="shared" si="3"/>
        <v>0.1745787816</v>
      </c>
      <c r="M372" s="8">
        <f t="shared" si="4"/>
        <v>0.05237363447</v>
      </c>
      <c r="N372" s="8">
        <f t="shared" si="5"/>
        <v>0.01047472689</v>
      </c>
      <c r="O372" s="8">
        <f t="shared" si="6"/>
        <v>0.0344698</v>
      </c>
      <c r="P372" s="8">
        <f t="shared" si="7"/>
        <v>0.0517047</v>
      </c>
      <c r="Q372" s="8">
        <f t="shared" si="8"/>
        <v>0.0172349</v>
      </c>
      <c r="R372" s="57"/>
      <c r="S372" s="57"/>
      <c r="T372" s="57"/>
      <c r="U372" s="57"/>
      <c r="V372" s="57"/>
      <c r="W372" s="57"/>
      <c r="X372" s="57"/>
      <c r="Y372" s="57"/>
      <c r="Z372" s="17"/>
    </row>
    <row r="373" ht="34.5" customHeight="1">
      <c r="A373" s="24" t="s">
        <v>335</v>
      </c>
      <c r="B373" s="62" t="s">
        <v>379</v>
      </c>
      <c r="C373" s="65" t="s">
        <v>421</v>
      </c>
      <c r="D373" s="65" t="s">
        <v>424</v>
      </c>
      <c r="E373" s="65">
        <v>35.0</v>
      </c>
      <c r="F373" s="66">
        <v>9.22</v>
      </c>
      <c r="G373" s="62">
        <v>1.0</v>
      </c>
      <c r="H373" s="63">
        <v>100.0</v>
      </c>
      <c r="I373" s="63">
        <v>100.0</v>
      </c>
      <c r="J373" s="67">
        <v>31.97667</v>
      </c>
      <c r="K373" s="67">
        <v>29.0697</v>
      </c>
      <c r="L373" s="8">
        <f t="shared" si="3"/>
        <v>0.2944579201</v>
      </c>
      <c r="M373" s="8">
        <f t="shared" si="4"/>
        <v>0.08833737603</v>
      </c>
      <c r="N373" s="8">
        <f t="shared" si="5"/>
        <v>0.01766747521</v>
      </c>
      <c r="O373" s="8">
        <f t="shared" si="6"/>
        <v>0.0581394</v>
      </c>
      <c r="P373" s="8">
        <f t="shared" si="7"/>
        <v>0.0872091</v>
      </c>
      <c r="Q373" s="8">
        <f t="shared" si="8"/>
        <v>0.0290697</v>
      </c>
      <c r="R373" s="57"/>
      <c r="S373" s="57"/>
      <c r="T373" s="57"/>
      <c r="U373" s="57"/>
      <c r="V373" s="57"/>
      <c r="W373" s="57"/>
      <c r="X373" s="57"/>
      <c r="Y373" s="57"/>
      <c r="Z373" s="17"/>
    </row>
    <row r="374" ht="34.5" customHeight="1">
      <c r="A374" s="24" t="s">
        <v>335</v>
      </c>
      <c r="B374" s="62" t="s">
        <v>379</v>
      </c>
      <c r="C374" s="65" t="s">
        <v>421</v>
      </c>
      <c r="D374" s="65" t="s">
        <v>425</v>
      </c>
      <c r="E374" s="65">
        <v>34.0</v>
      </c>
      <c r="F374" s="66">
        <v>7.27</v>
      </c>
      <c r="G374" s="62">
        <v>1.0</v>
      </c>
      <c r="H374" s="63">
        <v>92.29</v>
      </c>
      <c r="I374" s="63">
        <v>100.0</v>
      </c>
      <c r="J374" s="67">
        <v>39.70824</v>
      </c>
      <c r="K374" s="67">
        <v>36.0984</v>
      </c>
      <c r="L374" s="8">
        <f t="shared" si="3"/>
        <v>0.3656542648</v>
      </c>
      <c r="M374" s="8">
        <f t="shared" si="4"/>
        <v>0.1096962795</v>
      </c>
      <c r="N374" s="8">
        <f t="shared" si="5"/>
        <v>0.02193925589</v>
      </c>
      <c r="O374" s="8">
        <f t="shared" si="6"/>
        <v>0.0721968</v>
      </c>
      <c r="P374" s="8">
        <f t="shared" si="7"/>
        <v>0.1082952</v>
      </c>
      <c r="Q374" s="8">
        <f t="shared" si="8"/>
        <v>0.0360984</v>
      </c>
      <c r="R374" s="57"/>
      <c r="S374" s="57"/>
      <c r="T374" s="57"/>
      <c r="U374" s="57"/>
      <c r="V374" s="57"/>
      <c r="W374" s="57"/>
      <c r="X374" s="57"/>
      <c r="Y374" s="57"/>
      <c r="Z374" s="17"/>
    </row>
    <row r="375" ht="34.5" customHeight="1">
      <c r="A375" s="24" t="s">
        <v>335</v>
      </c>
      <c r="B375" s="62" t="s">
        <v>379</v>
      </c>
      <c r="C375" s="65" t="s">
        <v>421</v>
      </c>
      <c r="D375" s="65" t="s">
        <v>426</v>
      </c>
      <c r="E375" s="65">
        <v>34.0</v>
      </c>
      <c r="F375" s="66">
        <v>16.86</v>
      </c>
      <c r="G375" s="62">
        <v>1.0</v>
      </c>
      <c r="H375" s="63">
        <v>89.94</v>
      </c>
      <c r="I375" s="63">
        <v>100.0</v>
      </c>
      <c r="J375" s="67">
        <v>36.146</v>
      </c>
      <c r="K375" s="67">
        <v>32.86</v>
      </c>
      <c r="L375" s="8">
        <f t="shared" si="3"/>
        <v>0.3328512938</v>
      </c>
      <c r="M375" s="8">
        <f t="shared" si="4"/>
        <v>0.09985538813</v>
      </c>
      <c r="N375" s="8">
        <f t="shared" si="5"/>
        <v>0.01997107763</v>
      </c>
      <c r="O375" s="8">
        <f t="shared" si="6"/>
        <v>0.06572</v>
      </c>
      <c r="P375" s="8">
        <f t="shared" si="7"/>
        <v>0.09858</v>
      </c>
      <c r="Q375" s="8">
        <f t="shared" si="8"/>
        <v>0.03286</v>
      </c>
      <c r="R375" s="57"/>
      <c r="S375" s="57"/>
      <c r="T375" s="57"/>
      <c r="U375" s="57"/>
      <c r="V375" s="57"/>
      <c r="W375" s="57"/>
      <c r="X375" s="57"/>
      <c r="Y375" s="57"/>
      <c r="Z375" s="17"/>
    </row>
    <row r="376" ht="34.5" customHeight="1">
      <c r="A376" s="24" t="s">
        <v>335</v>
      </c>
      <c r="B376" s="62" t="s">
        <v>379</v>
      </c>
      <c r="C376" s="65" t="s">
        <v>421</v>
      </c>
      <c r="D376" s="65" t="s">
        <v>427</v>
      </c>
      <c r="E376" s="65">
        <v>32.0</v>
      </c>
      <c r="F376" s="66">
        <v>11.95</v>
      </c>
      <c r="G376" s="62">
        <v>1.0</v>
      </c>
      <c r="H376" s="63">
        <v>0.0</v>
      </c>
      <c r="I376" s="63">
        <v>0.0</v>
      </c>
      <c r="J376" s="67">
        <v>25.07934</v>
      </c>
      <c r="K376" s="67">
        <v>22.7994</v>
      </c>
      <c r="L376" s="8">
        <f t="shared" si="3"/>
        <v>0.2309436941</v>
      </c>
      <c r="M376" s="8">
        <f t="shared" si="4"/>
        <v>0.06928310822</v>
      </c>
      <c r="N376" s="8">
        <f t="shared" si="5"/>
        <v>0.01385662164</v>
      </c>
      <c r="O376" s="8">
        <f t="shared" si="6"/>
        <v>0.0455988</v>
      </c>
      <c r="P376" s="8">
        <f t="shared" si="7"/>
        <v>0.0683982</v>
      </c>
      <c r="Q376" s="8">
        <f t="shared" si="8"/>
        <v>0.0227994</v>
      </c>
      <c r="R376" s="57"/>
      <c r="S376" s="57"/>
      <c r="T376" s="57"/>
      <c r="U376" s="57"/>
      <c r="V376" s="57"/>
      <c r="W376" s="57"/>
      <c r="X376" s="57"/>
      <c r="Y376" s="57"/>
      <c r="Z376" s="17"/>
    </row>
    <row r="377" ht="34.5" customHeight="1">
      <c r="A377" s="24" t="s">
        <v>335</v>
      </c>
      <c r="B377" s="62" t="s">
        <v>379</v>
      </c>
      <c r="C377" s="65" t="s">
        <v>421</v>
      </c>
      <c r="D377" s="65" t="s">
        <v>428</v>
      </c>
      <c r="E377" s="65">
        <v>102.0</v>
      </c>
      <c r="F377" s="66">
        <v>17.79</v>
      </c>
      <c r="G377" s="62">
        <v>4.0</v>
      </c>
      <c r="H377" s="63">
        <v>33.3</v>
      </c>
      <c r="I377" s="63">
        <v>66.89</v>
      </c>
      <c r="J377" s="67">
        <v>99.8613</v>
      </c>
      <c r="K377" s="67">
        <v>90.783</v>
      </c>
      <c r="L377" s="8">
        <f t="shared" si="3"/>
        <v>0.919575137</v>
      </c>
      <c r="M377" s="8">
        <f t="shared" si="4"/>
        <v>0.2758725411</v>
      </c>
      <c r="N377" s="8">
        <f t="shared" si="5"/>
        <v>0.05517450822</v>
      </c>
      <c r="O377" s="8">
        <f t="shared" si="6"/>
        <v>0.181566</v>
      </c>
      <c r="P377" s="8">
        <f t="shared" si="7"/>
        <v>0.272349</v>
      </c>
      <c r="Q377" s="8">
        <f t="shared" si="8"/>
        <v>0.090783</v>
      </c>
      <c r="R377" s="57"/>
      <c r="S377" s="57"/>
      <c r="T377" s="57"/>
      <c r="U377" s="57"/>
      <c r="V377" s="57"/>
      <c r="W377" s="57"/>
      <c r="X377" s="57"/>
      <c r="Y377" s="57"/>
      <c r="Z377" s="17"/>
    </row>
    <row r="378" ht="34.5" customHeight="1">
      <c r="A378" s="24" t="s">
        <v>335</v>
      </c>
      <c r="B378" s="62" t="s">
        <v>379</v>
      </c>
      <c r="C378" s="65" t="s">
        <v>421</v>
      </c>
      <c r="D378" s="65" t="s">
        <v>429</v>
      </c>
      <c r="E378" s="65">
        <v>17.0</v>
      </c>
      <c r="F378" s="66">
        <v>9.81</v>
      </c>
      <c r="G378" s="62">
        <v>1.0</v>
      </c>
      <c r="H378" s="63">
        <v>100.0</v>
      </c>
      <c r="I378" s="63">
        <v>100.0</v>
      </c>
      <c r="J378" s="67">
        <v>19.3732</v>
      </c>
      <c r="K378" s="67">
        <v>17.612</v>
      </c>
      <c r="L378" s="8">
        <f t="shared" si="3"/>
        <v>0.1783985693</v>
      </c>
      <c r="M378" s="8">
        <f t="shared" si="4"/>
        <v>0.05351957078</v>
      </c>
      <c r="N378" s="8">
        <f t="shared" si="5"/>
        <v>0.01070391416</v>
      </c>
      <c r="O378" s="8">
        <f t="shared" si="6"/>
        <v>0.035224</v>
      </c>
      <c r="P378" s="8">
        <f t="shared" si="7"/>
        <v>0.052836</v>
      </c>
      <c r="Q378" s="8">
        <f t="shared" si="8"/>
        <v>0.017612</v>
      </c>
      <c r="R378" s="57"/>
      <c r="S378" s="57"/>
      <c r="T378" s="57"/>
      <c r="U378" s="57"/>
      <c r="V378" s="57"/>
      <c r="W378" s="57"/>
      <c r="X378" s="57"/>
      <c r="Y378" s="57"/>
      <c r="Z378" s="17"/>
    </row>
    <row r="379" ht="34.5" customHeight="1">
      <c r="A379" s="24" t="s">
        <v>335</v>
      </c>
      <c r="B379" s="62" t="s">
        <v>379</v>
      </c>
      <c r="C379" s="65" t="s">
        <v>421</v>
      </c>
      <c r="D379" s="65" t="s">
        <v>430</v>
      </c>
      <c r="E379" s="65">
        <v>32.0</v>
      </c>
      <c r="F379" s="66">
        <v>18.95</v>
      </c>
      <c r="G379" s="62">
        <v>1.0</v>
      </c>
      <c r="H379" s="63">
        <v>82.75</v>
      </c>
      <c r="I379" s="63">
        <v>82.75</v>
      </c>
      <c r="J379" s="67">
        <v>36.09804</v>
      </c>
      <c r="K379" s="67">
        <v>32.8164</v>
      </c>
      <c r="L379" s="8">
        <f t="shared" si="3"/>
        <v>0.332409653</v>
      </c>
      <c r="M379" s="8">
        <f t="shared" si="4"/>
        <v>0.09972289589</v>
      </c>
      <c r="N379" s="8">
        <f t="shared" si="5"/>
        <v>0.01994457918</v>
      </c>
      <c r="O379" s="8">
        <f t="shared" si="6"/>
        <v>0.0656328</v>
      </c>
      <c r="P379" s="8">
        <f t="shared" si="7"/>
        <v>0.0984492</v>
      </c>
      <c r="Q379" s="8">
        <f t="shared" si="8"/>
        <v>0.0328164</v>
      </c>
      <c r="R379" s="57"/>
      <c r="S379" s="57"/>
      <c r="T379" s="57"/>
      <c r="U379" s="57"/>
      <c r="V379" s="57"/>
      <c r="W379" s="57"/>
      <c r="X379" s="57"/>
      <c r="Y379" s="57"/>
      <c r="Z379" s="17"/>
    </row>
    <row r="380" ht="34.5" customHeight="1">
      <c r="A380" s="24" t="s">
        <v>335</v>
      </c>
      <c r="B380" s="62" t="s">
        <v>379</v>
      </c>
      <c r="C380" s="65" t="s">
        <v>421</v>
      </c>
      <c r="D380" s="65" t="s">
        <v>431</v>
      </c>
      <c r="E380" s="65">
        <v>33.0</v>
      </c>
      <c r="F380" s="66">
        <v>8.47</v>
      </c>
      <c r="G380" s="62">
        <v>1.0</v>
      </c>
      <c r="H380" s="63">
        <v>0.0</v>
      </c>
      <c r="I380" s="63">
        <v>0.0</v>
      </c>
      <c r="J380" s="67">
        <v>24.1956</v>
      </c>
      <c r="K380" s="67">
        <v>21.996</v>
      </c>
      <c r="L380" s="8">
        <f t="shared" si="3"/>
        <v>0.2228057534</v>
      </c>
      <c r="M380" s="8">
        <f t="shared" si="4"/>
        <v>0.06684172603</v>
      </c>
      <c r="N380" s="8">
        <f t="shared" si="5"/>
        <v>0.01336834521</v>
      </c>
      <c r="O380" s="8">
        <f t="shared" si="6"/>
        <v>0.043992</v>
      </c>
      <c r="P380" s="8">
        <f t="shared" si="7"/>
        <v>0.065988</v>
      </c>
      <c r="Q380" s="8">
        <f t="shared" si="8"/>
        <v>0.021996</v>
      </c>
      <c r="R380" s="57"/>
      <c r="S380" s="57"/>
      <c r="T380" s="57"/>
      <c r="U380" s="57"/>
      <c r="V380" s="57"/>
      <c r="W380" s="57"/>
      <c r="X380" s="57"/>
      <c r="Y380" s="57"/>
      <c r="Z380" s="17"/>
    </row>
    <row r="381" ht="34.5" customHeight="1">
      <c r="A381" s="24" t="s">
        <v>335</v>
      </c>
      <c r="B381" s="62" t="s">
        <v>379</v>
      </c>
      <c r="C381" s="65" t="s">
        <v>421</v>
      </c>
      <c r="D381" s="65" t="s">
        <v>432</v>
      </c>
      <c r="E381" s="65">
        <v>13.0</v>
      </c>
      <c r="F381" s="66">
        <v>11.68</v>
      </c>
      <c r="G381" s="62">
        <v>1.0</v>
      </c>
      <c r="H381" s="63">
        <v>100.0</v>
      </c>
      <c r="I381" s="63">
        <v>100.0</v>
      </c>
      <c r="J381" s="67">
        <v>18.19345</v>
      </c>
      <c r="K381" s="67">
        <v>16.5395</v>
      </c>
      <c r="L381" s="8">
        <f t="shared" si="3"/>
        <v>0.1675348135</v>
      </c>
      <c r="M381" s="8">
        <f t="shared" si="4"/>
        <v>0.05026044406</v>
      </c>
      <c r="N381" s="8">
        <f t="shared" si="5"/>
        <v>0.01005208881</v>
      </c>
      <c r="O381" s="8">
        <f t="shared" si="6"/>
        <v>0.033079</v>
      </c>
      <c r="P381" s="8">
        <f t="shared" si="7"/>
        <v>0.0496185</v>
      </c>
      <c r="Q381" s="8">
        <f t="shared" si="8"/>
        <v>0.0165395</v>
      </c>
      <c r="R381" s="57"/>
      <c r="S381" s="57"/>
      <c r="T381" s="57"/>
      <c r="U381" s="57"/>
      <c r="V381" s="57"/>
      <c r="W381" s="57"/>
      <c r="X381" s="57"/>
      <c r="Y381" s="57"/>
      <c r="Z381" s="17"/>
    </row>
    <row r="382" ht="34.5" customHeight="1">
      <c r="A382" s="24" t="s">
        <v>335</v>
      </c>
      <c r="B382" s="62" t="s">
        <v>379</v>
      </c>
      <c r="C382" s="65" t="s">
        <v>421</v>
      </c>
      <c r="D382" s="65" t="s">
        <v>433</v>
      </c>
      <c r="E382" s="65">
        <v>10.0</v>
      </c>
      <c r="F382" s="66">
        <v>7.99</v>
      </c>
      <c r="G382" s="62">
        <v>1.0</v>
      </c>
      <c r="H382" s="63">
        <v>100.0</v>
      </c>
      <c r="I382" s="63">
        <v>100.0</v>
      </c>
      <c r="J382" s="67">
        <v>15.2922</v>
      </c>
      <c r="K382" s="67">
        <v>13.902</v>
      </c>
      <c r="L382" s="8">
        <f t="shared" si="3"/>
        <v>0.1408185845</v>
      </c>
      <c r="M382" s="8">
        <f t="shared" si="4"/>
        <v>0.04224557534</v>
      </c>
      <c r="N382" s="8">
        <f t="shared" si="5"/>
        <v>0.008449115068</v>
      </c>
      <c r="O382" s="8">
        <f t="shared" si="6"/>
        <v>0.027804</v>
      </c>
      <c r="P382" s="8">
        <f t="shared" si="7"/>
        <v>0.041706</v>
      </c>
      <c r="Q382" s="8">
        <f t="shared" si="8"/>
        <v>0.013902</v>
      </c>
      <c r="R382" s="57"/>
      <c r="S382" s="57"/>
      <c r="T382" s="57"/>
      <c r="U382" s="57"/>
      <c r="V382" s="57"/>
      <c r="W382" s="57"/>
      <c r="X382" s="57"/>
      <c r="Y382" s="57"/>
      <c r="Z382" s="17"/>
    </row>
    <row r="383" ht="34.5" customHeight="1">
      <c r="A383" s="24" t="s">
        <v>335</v>
      </c>
      <c r="B383" s="62" t="s">
        <v>379</v>
      </c>
      <c r="C383" s="65" t="s">
        <v>434</v>
      </c>
      <c r="D383" s="65" t="s">
        <v>435</v>
      </c>
      <c r="E383" s="65">
        <v>365.0</v>
      </c>
      <c r="F383" s="66">
        <v>28.32</v>
      </c>
      <c r="G383" s="62">
        <v>3.0</v>
      </c>
      <c r="H383" s="63">
        <v>39.42</v>
      </c>
      <c r="I383" s="63">
        <v>56.56</v>
      </c>
      <c r="J383" s="67">
        <v>227.8914</v>
      </c>
      <c r="K383" s="67">
        <v>207.174</v>
      </c>
      <c r="L383" s="8">
        <f t="shared" si="3"/>
        <v>2.098543333</v>
      </c>
      <c r="M383" s="8">
        <f t="shared" si="4"/>
        <v>0.629563</v>
      </c>
      <c r="N383" s="8">
        <f t="shared" si="5"/>
        <v>0.1259126</v>
      </c>
      <c r="O383" s="8">
        <f t="shared" si="6"/>
        <v>0.414348</v>
      </c>
      <c r="P383" s="8">
        <f t="shared" si="7"/>
        <v>0.621522</v>
      </c>
      <c r="Q383" s="8">
        <f t="shared" si="8"/>
        <v>0.207174</v>
      </c>
      <c r="R383" s="57"/>
      <c r="S383" s="57"/>
      <c r="T383" s="57"/>
      <c r="U383" s="57"/>
      <c r="V383" s="57"/>
      <c r="W383" s="57"/>
      <c r="X383" s="57"/>
      <c r="Y383" s="57"/>
      <c r="Z383" s="17"/>
    </row>
    <row r="384" ht="34.5" customHeight="1">
      <c r="A384" s="24" t="s">
        <v>335</v>
      </c>
      <c r="B384" s="62" t="s">
        <v>379</v>
      </c>
      <c r="C384" s="65" t="s">
        <v>434</v>
      </c>
      <c r="D384" s="65" t="s">
        <v>436</v>
      </c>
      <c r="E384" s="65">
        <v>95.0</v>
      </c>
      <c r="F384" s="66">
        <v>25.31</v>
      </c>
      <c r="G384" s="62">
        <v>4.0</v>
      </c>
      <c r="H384" s="63">
        <v>0.0</v>
      </c>
      <c r="I384" s="63">
        <v>33.08</v>
      </c>
      <c r="J384" s="67">
        <v>70.80128</v>
      </c>
      <c r="K384" s="67">
        <v>64.3648</v>
      </c>
      <c r="L384" s="8">
        <f t="shared" si="3"/>
        <v>0.6519752572</v>
      </c>
      <c r="M384" s="8">
        <f t="shared" si="4"/>
        <v>0.1955925772</v>
      </c>
      <c r="N384" s="8">
        <f t="shared" si="5"/>
        <v>0.03911851543</v>
      </c>
      <c r="O384" s="8">
        <f t="shared" si="6"/>
        <v>0.1287296</v>
      </c>
      <c r="P384" s="8">
        <f t="shared" si="7"/>
        <v>0.1930944</v>
      </c>
      <c r="Q384" s="8">
        <f t="shared" si="8"/>
        <v>0.0643648</v>
      </c>
      <c r="R384" s="57"/>
      <c r="S384" s="57"/>
      <c r="T384" s="57"/>
      <c r="U384" s="57"/>
      <c r="V384" s="57"/>
      <c r="W384" s="57"/>
      <c r="X384" s="57"/>
      <c r="Y384" s="57"/>
      <c r="Z384" s="17"/>
    </row>
    <row r="385" ht="34.5" customHeight="1">
      <c r="A385" s="24" t="s">
        <v>335</v>
      </c>
      <c r="B385" s="62" t="s">
        <v>379</v>
      </c>
      <c r="C385" s="65" t="s">
        <v>434</v>
      </c>
      <c r="D385" s="65" t="s">
        <v>437</v>
      </c>
      <c r="E385" s="65">
        <v>136.0</v>
      </c>
      <c r="F385" s="66">
        <v>24.94</v>
      </c>
      <c r="G385" s="62">
        <v>3.0</v>
      </c>
      <c r="H385" s="63">
        <v>74.7</v>
      </c>
      <c r="I385" s="63">
        <v>100.0</v>
      </c>
      <c r="J385" s="67">
        <v>94.88875</v>
      </c>
      <c r="K385" s="67">
        <v>86.2625</v>
      </c>
      <c r="L385" s="8">
        <f t="shared" si="3"/>
        <v>0.873785293</v>
      </c>
      <c r="M385" s="8">
        <f t="shared" si="4"/>
        <v>0.2621355879</v>
      </c>
      <c r="N385" s="8">
        <f t="shared" si="5"/>
        <v>0.05242711758</v>
      </c>
      <c r="O385" s="8">
        <f t="shared" si="6"/>
        <v>0.172525</v>
      </c>
      <c r="P385" s="8">
        <f t="shared" si="7"/>
        <v>0.2587875</v>
      </c>
      <c r="Q385" s="8">
        <f t="shared" si="8"/>
        <v>0.0862625</v>
      </c>
      <c r="R385" s="57"/>
      <c r="S385" s="57"/>
      <c r="T385" s="57"/>
      <c r="U385" s="57"/>
      <c r="V385" s="57"/>
      <c r="W385" s="57"/>
      <c r="X385" s="57"/>
      <c r="Y385" s="57"/>
      <c r="Z385" s="17"/>
    </row>
    <row r="386" ht="34.5" customHeight="1">
      <c r="A386" s="24" t="s">
        <v>335</v>
      </c>
      <c r="B386" s="62" t="s">
        <v>379</v>
      </c>
      <c r="C386" s="65" t="s">
        <v>434</v>
      </c>
      <c r="D386" s="65" t="s">
        <v>438</v>
      </c>
      <c r="E386" s="65">
        <v>255.0</v>
      </c>
      <c r="F386" s="66">
        <v>28.95</v>
      </c>
      <c r="G386" s="62">
        <v>5.0</v>
      </c>
      <c r="H386" s="63">
        <v>0.0</v>
      </c>
      <c r="I386" s="63">
        <v>100.0</v>
      </c>
      <c r="J386" s="67">
        <v>191.94208</v>
      </c>
      <c r="K386" s="67">
        <v>174.4928</v>
      </c>
      <c r="L386" s="8">
        <f t="shared" si="3"/>
        <v>1.767503172</v>
      </c>
      <c r="M386" s="8">
        <f t="shared" si="4"/>
        <v>0.5302509516</v>
      </c>
      <c r="N386" s="8">
        <f t="shared" si="5"/>
        <v>0.1060501903</v>
      </c>
      <c r="O386" s="8">
        <f t="shared" si="6"/>
        <v>0.3489856</v>
      </c>
      <c r="P386" s="8">
        <f t="shared" si="7"/>
        <v>0.5234784</v>
      </c>
      <c r="Q386" s="8">
        <f t="shared" si="8"/>
        <v>0.1744928</v>
      </c>
      <c r="R386" s="57"/>
      <c r="S386" s="57"/>
      <c r="T386" s="57"/>
      <c r="U386" s="57"/>
      <c r="V386" s="57"/>
      <c r="W386" s="57"/>
      <c r="X386" s="57"/>
      <c r="Y386" s="57"/>
      <c r="Z386" s="17"/>
    </row>
    <row r="387" ht="34.5" customHeight="1">
      <c r="A387" s="24" t="s">
        <v>335</v>
      </c>
      <c r="B387" s="62" t="s">
        <v>379</v>
      </c>
      <c r="C387" s="65" t="s">
        <v>434</v>
      </c>
      <c r="D387" s="65" t="s">
        <v>439</v>
      </c>
      <c r="E387" s="65">
        <v>129.0</v>
      </c>
      <c r="F387" s="66">
        <v>26.14</v>
      </c>
      <c r="G387" s="62">
        <v>3.0</v>
      </c>
      <c r="H387" s="63">
        <v>83.51</v>
      </c>
      <c r="I387" s="63">
        <v>100.0</v>
      </c>
      <c r="J387" s="67">
        <v>109.63128</v>
      </c>
      <c r="K387" s="67">
        <v>99.6648</v>
      </c>
      <c r="L387" s="8">
        <f t="shared" si="3"/>
        <v>1.009542228</v>
      </c>
      <c r="M387" s="8">
        <f t="shared" si="4"/>
        <v>0.3028626685</v>
      </c>
      <c r="N387" s="8">
        <f t="shared" si="5"/>
        <v>0.0605725337</v>
      </c>
      <c r="O387" s="8">
        <f t="shared" si="6"/>
        <v>0.1993296</v>
      </c>
      <c r="P387" s="8">
        <f t="shared" si="7"/>
        <v>0.2989944</v>
      </c>
      <c r="Q387" s="8">
        <f t="shared" si="8"/>
        <v>0.0996648</v>
      </c>
      <c r="R387" s="57"/>
      <c r="S387" s="57"/>
      <c r="T387" s="57"/>
      <c r="U387" s="57"/>
      <c r="V387" s="57"/>
      <c r="W387" s="57"/>
      <c r="X387" s="57"/>
      <c r="Y387" s="57"/>
      <c r="Z387" s="17"/>
    </row>
    <row r="388" ht="34.5" customHeight="1">
      <c r="A388" s="24" t="s">
        <v>335</v>
      </c>
      <c r="B388" s="62" t="s">
        <v>379</v>
      </c>
      <c r="C388" s="65" t="s">
        <v>434</v>
      </c>
      <c r="D388" s="65" t="s">
        <v>440</v>
      </c>
      <c r="E388" s="65">
        <v>76.0</v>
      </c>
      <c r="F388" s="66">
        <v>24.18</v>
      </c>
      <c r="G388" s="62">
        <v>4.0</v>
      </c>
      <c r="H388" s="63">
        <v>0.0</v>
      </c>
      <c r="I388" s="63">
        <v>0.0</v>
      </c>
      <c r="J388" s="67">
        <v>71.1348</v>
      </c>
      <c r="K388" s="67">
        <v>64.668</v>
      </c>
      <c r="L388" s="8">
        <f t="shared" si="3"/>
        <v>0.655046484</v>
      </c>
      <c r="M388" s="8">
        <f t="shared" si="4"/>
        <v>0.1965139452</v>
      </c>
      <c r="N388" s="8">
        <f t="shared" si="5"/>
        <v>0.03930278904</v>
      </c>
      <c r="O388" s="8">
        <f t="shared" si="6"/>
        <v>0.129336</v>
      </c>
      <c r="P388" s="8">
        <f t="shared" si="7"/>
        <v>0.194004</v>
      </c>
      <c r="Q388" s="8">
        <f t="shared" si="8"/>
        <v>0.064668</v>
      </c>
      <c r="R388" s="57"/>
      <c r="S388" s="57"/>
      <c r="T388" s="57"/>
      <c r="U388" s="57"/>
      <c r="V388" s="57"/>
      <c r="W388" s="57"/>
      <c r="X388" s="57"/>
      <c r="Y388" s="57"/>
      <c r="Z388" s="17"/>
    </row>
    <row r="389" ht="34.5" customHeight="1">
      <c r="A389" s="24" t="s">
        <v>335</v>
      </c>
      <c r="B389" s="62" t="s">
        <v>379</v>
      </c>
      <c r="C389" s="65" t="s">
        <v>434</v>
      </c>
      <c r="D389" s="65" t="s">
        <v>441</v>
      </c>
      <c r="E389" s="65">
        <v>85.0</v>
      </c>
      <c r="F389" s="66">
        <v>16.32</v>
      </c>
      <c r="G389" s="62">
        <v>1.0</v>
      </c>
      <c r="H389" s="63">
        <v>100.0</v>
      </c>
      <c r="I389" s="63">
        <v>100.0</v>
      </c>
      <c r="J389" s="67">
        <v>69.31144</v>
      </c>
      <c r="K389" s="67">
        <v>63.0104</v>
      </c>
      <c r="L389" s="8">
        <f t="shared" si="3"/>
        <v>0.6382560304</v>
      </c>
      <c r="M389" s="8">
        <f t="shared" si="4"/>
        <v>0.1914768091</v>
      </c>
      <c r="N389" s="8">
        <f t="shared" si="5"/>
        <v>0.03829536183</v>
      </c>
      <c r="O389" s="8">
        <f t="shared" si="6"/>
        <v>0.1260208</v>
      </c>
      <c r="P389" s="8">
        <f t="shared" si="7"/>
        <v>0.1890312</v>
      </c>
      <c r="Q389" s="8">
        <f t="shared" si="8"/>
        <v>0.0630104</v>
      </c>
      <c r="R389" s="57"/>
      <c r="S389" s="57"/>
      <c r="T389" s="57"/>
      <c r="U389" s="57"/>
      <c r="V389" s="57"/>
      <c r="W389" s="57"/>
      <c r="X389" s="57"/>
      <c r="Y389" s="57"/>
      <c r="Z389" s="17"/>
    </row>
    <row r="390" ht="34.5" customHeight="1">
      <c r="A390" s="24" t="s">
        <v>335</v>
      </c>
      <c r="B390" s="62" t="s">
        <v>379</v>
      </c>
      <c r="C390" s="65" t="s">
        <v>434</v>
      </c>
      <c r="D390" s="52" t="s">
        <v>442</v>
      </c>
      <c r="E390" s="52">
        <v>664.0</v>
      </c>
      <c r="F390" s="68">
        <v>36.85</v>
      </c>
      <c r="G390" s="34">
        <v>5.0</v>
      </c>
      <c r="H390" s="35">
        <v>0.0</v>
      </c>
      <c r="I390" s="35">
        <v>35.4</v>
      </c>
      <c r="J390" s="69">
        <v>507.6786</v>
      </c>
      <c r="K390" s="69">
        <v>461.526</v>
      </c>
      <c r="L390" s="8">
        <f t="shared" si="3"/>
        <v>4.674970365</v>
      </c>
      <c r="M390" s="8">
        <f t="shared" si="4"/>
        <v>1.40249111</v>
      </c>
      <c r="N390" s="8">
        <f t="shared" si="5"/>
        <v>0.2804982219</v>
      </c>
      <c r="O390" s="8">
        <f t="shared" si="6"/>
        <v>0.923052</v>
      </c>
      <c r="P390" s="8">
        <f t="shared" si="7"/>
        <v>1.384578</v>
      </c>
      <c r="Q390" s="8">
        <f t="shared" si="8"/>
        <v>0.461526</v>
      </c>
      <c r="R390" s="57"/>
      <c r="S390" s="57"/>
      <c r="T390" s="57"/>
      <c r="U390" s="57"/>
      <c r="V390" s="57"/>
      <c r="W390" s="57"/>
      <c r="X390" s="57"/>
      <c r="Y390" s="57"/>
      <c r="Z390" s="17"/>
    </row>
    <row r="391" ht="34.5" customHeight="1">
      <c r="A391" s="24" t="s">
        <v>335</v>
      </c>
      <c r="B391" s="62" t="s">
        <v>379</v>
      </c>
      <c r="C391" s="65" t="s">
        <v>434</v>
      </c>
      <c r="D391" s="65" t="s">
        <v>443</v>
      </c>
      <c r="E391" s="65">
        <v>58.0</v>
      </c>
      <c r="F391" s="66">
        <v>13.27</v>
      </c>
      <c r="G391" s="62">
        <v>1.0</v>
      </c>
      <c r="H391" s="63">
        <v>0.0</v>
      </c>
      <c r="I391" s="63">
        <v>100.0</v>
      </c>
      <c r="J391" s="67">
        <v>56.5928</v>
      </c>
      <c r="K391" s="67">
        <v>51.448</v>
      </c>
      <c r="L391" s="8">
        <f t="shared" si="3"/>
        <v>0.5211361339</v>
      </c>
      <c r="M391" s="8">
        <f t="shared" si="4"/>
        <v>0.1563408402</v>
      </c>
      <c r="N391" s="8">
        <f t="shared" si="5"/>
        <v>0.03126816804</v>
      </c>
      <c r="O391" s="8">
        <f t="shared" si="6"/>
        <v>0.102896</v>
      </c>
      <c r="P391" s="8">
        <f t="shared" si="7"/>
        <v>0.154344</v>
      </c>
      <c r="Q391" s="8">
        <f t="shared" si="8"/>
        <v>0.051448</v>
      </c>
      <c r="R391" s="57"/>
      <c r="S391" s="57"/>
      <c r="T391" s="57"/>
      <c r="U391" s="57"/>
      <c r="V391" s="57"/>
      <c r="W391" s="57"/>
      <c r="X391" s="57"/>
      <c r="Y391" s="57"/>
      <c r="Z391" s="17"/>
    </row>
    <row r="392" ht="34.5" customHeight="1">
      <c r="A392" s="24" t="s">
        <v>335</v>
      </c>
      <c r="B392" s="62" t="s">
        <v>379</v>
      </c>
      <c r="C392" s="65" t="s">
        <v>434</v>
      </c>
      <c r="D392" s="65" t="s">
        <v>444</v>
      </c>
      <c r="E392" s="65">
        <v>85.0</v>
      </c>
      <c r="F392" s="66">
        <v>26.18</v>
      </c>
      <c r="G392" s="62">
        <v>2.0</v>
      </c>
      <c r="H392" s="63">
        <v>77.27</v>
      </c>
      <c r="I392" s="63">
        <v>77.27</v>
      </c>
      <c r="J392" s="67">
        <v>66.37136</v>
      </c>
      <c r="K392" s="67">
        <v>60.3376</v>
      </c>
      <c r="L392" s="8">
        <f t="shared" si="3"/>
        <v>0.6111822344</v>
      </c>
      <c r="M392" s="8">
        <f t="shared" si="4"/>
        <v>0.1833546703</v>
      </c>
      <c r="N392" s="8">
        <f t="shared" si="5"/>
        <v>0.03667093406</v>
      </c>
      <c r="O392" s="8">
        <f t="shared" si="6"/>
        <v>0.1206752</v>
      </c>
      <c r="P392" s="8">
        <f t="shared" si="7"/>
        <v>0.1810128</v>
      </c>
      <c r="Q392" s="8">
        <f t="shared" si="8"/>
        <v>0.0603376</v>
      </c>
      <c r="R392" s="57"/>
      <c r="S392" s="57"/>
      <c r="T392" s="57"/>
      <c r="U392" s="57"/>
      <c r="V392" s="57"/>
      <c r="W392" s="57"/>
      <c r="X392" s="57"/>
      <c r="Y392" s="57"/>
      <c r="Z392" s="17"/>
    </row>
    <row r="393" ht="34.5" customHeight="1">
      <c r="A393" s="24" t="s">
        <v>335</v>
      </c>
      <c r="B393" s="62" t="s">
        <v>379</v>
      </c>
      <c r="C393" s="65" t="s">
        <v>434</v>
      </c>
      <c r="D393" s="65" t="s">
        <v>445</v>
      </c>
      <c r="E393" s="65">
        <v>71.0</v>
      </c>
      <c r="F393" s="66">
        <v>23.0</v>
      </c>
      <c r="G393" s="62">
        <v>2.0</v>
      </c>
      <c r="H393" s="63">
        <v>49.48</v>
      </c>
      <c r="I393" s="63">
        <v>100.0</v>
      </c>
      <c r="J393" s="67">
        <v>74.37452</v>
      </c>
      <c r="K393" s="67">
        <v>67.6132</v>
      </c>
      <c r="L393" s="8">
        <f t="shared" si="3"/>
        <v>0.6848795221</v>
      </c>
      <c r="M393" s="8">
        <f t="shared" si="4"/>
        <v>0.2054638566</v>
      </c>
      <c r="N393" s="8">
        <f t="shared" si="5"/>
        <v>0.04109277132</v>
      </c>
      <c r="O393" s="8">
        <f t="shared" si="6"/>
        <v>0.1352264</v>
      </c>
      <c r="P393" s="8">
        <f t="shared" si="7"/>
        <v>0.2028396</v>
      </c>
      <c r="Q393" s="8">
        <f t="shared" si="8"/>
        <v>0.0676132</v>
      </c>
      <c r="R393" s="57"/>
      <c r="S393" s="57"/>
      <c r="T393" s="57"/>
      <c r="U393" s="57"/>
      <c r="V393" s="57"/>
      <c r="W393" s="57"/>
      <c r="X393" s="57"/>
      <c r="Y393" s="57"/>
      <c r="Z393" s="17"/>
    </row>
    <row r="394" ht="34.5" customHeight="1">
      <c r="A394" s="24" t="s">
        <v>335</v>
      </c>
      <c r="B394" s="62" t="s">
        <v>379</v>
      </c>
      <c r="C394" s="65" t="s">
        <v>434</v>
      </c>
      <c r="D394" s="65" t="s">
        <v>446</v>
      </c>
      <c r="E394" s="65">
        <v>210.0</v>
      </c>
      <c r="F394" s="66">
        <v>26.28</v>
      </c>
      <c r="G394" s="62">
        <v>4.0</v>
      </c>
      <c r="H394" s="63">
        <v>48.14</v>
      </c>
      <c r="I394" s="63">
        <v>97.81</v>
      </c>
      <c r="J394" s="67">
        <v>206.2654</v>
      </c>
      <c r="K394" s="67">
        <v>187.514</v>
      </c>
      <c r="L394" s="8">
        <f t="shared" si="3"/>
        <v>1.899399802</v>
      </c>
      <c r="M394" s="8">
        <f t="shared" si="4"/>
        <v>0.5698199406</v>
      </c>
      <c r="N394" s="8">
        <f t="shared" si="5"/>
        <v>0.1139639881</v>
      </c>
      <c r="O394" s="8">
        <f t="shared" si="6"/>
        <v>0.375028</v>
      </c>
      <c r="P394" s="8">
        <f t="shared" si="7"/>
        <v>0.562542</v>
      </c>
      <c r="Q394" s="8">
        <f t="shared" si="8"/>
        <v>0.187514</v>
      </c>
      <c r="R394" s="57"/>
      <c r="S394" s="57"/>
      <c r="T394" s="57"/>
      <c r="U394" s="57"/>
      <c r="V394" s="57"/>
      <c r="W394" s="57"/>
      <c r="X394" s="57"/>
      <c r="Y394" s="57"/>
      <c r="Z394" s="17"/>
    </row>
    <row r="395" ht="34.5" customHeight="1">
      <c r="A395" s="24" t="s">
        <v>335</v>
      </c>
      <c r="B395" s="62" t="s">
        <v>379</v>
      </c>
      <c r="C395" s="65" t="s">
        <v>434</v>
      </c>
      <c r="D395" s="65" t="s">
        <v>447</v>
      </c>
      <c r="E395" s="65">
        <v>54.0</v>
      </c>
      <c r="F395" s="66">
        <v>22.79</v>
      </c>
      <c r="G395" s="62">
        <v>1.0</v>
      </c>
      <c r="H395" s="63">
        <v>0.0</v>
      </c>
      <c r="I395" s="63">
        <v>100.0</v>
      </c>
      <c r="J395" s="67">
        <v>51.67008</v>
      </c>
      <c r="K395" s="67">
        <v>46.9728</v>
      </c>
      <c r="L395" s="8">
        <f t="shared" si="3"/>
        <v>0.4758051507</v>
      </c>
      <c r="M395" s="8">
        <f t="shared" si="4"/>
        <v>0.1427415452</v>
      </c>
      <c r="N395" s="8">
        <f t="shared" si="5"/>
        <v>0.02854830904</v>
      </c>
      <c r="O395" s="8">
        <f t="shared" si="6"/>
        <v>0.0939456</v>
      </c>
      <c r="P395" s="8">
        <f t="shared" si="7"/>
        <v>0.1409184</v>
      </c>
      <c r="Q395" s="8">
        <f t="shared" si="8"/>
        <v>0.0469728</v>
      </c>
      <c r="R395" s="57"/>
      <c r="S395" s="57"/>
      <c r="T395" s="57"/>
      <c r="U395" s="57"/>
      <c r="V395" s="57"/>
      <c r="W395" s="57"/>
      <c r="X395" s="57"/>
      <c r="Y395" s="57"/>
      <c r="Z395" s="17"/>
    </row>
    <row r="396" ht="34.5" customHeight="1">
      <c r="A396" s="24" t="s">
        <v>335</v>
      </c>
      <c r="B396" s="62" t="s">
        <v>379</v>
      </c>
      <c r="C396" s="65" t="s">
        <v>434</v>
      </c>
      <c r="D396" s="65" t="s">
        <v>448</v>
      </c>
      <c r="E396" s="65">
        <v>78.0</v>
      </c>
      <c r="F396" s="66">
        <v>39.39</v>
      </c>
      <c r="G396" s="62">
        <v>1.0</v>
      </c>
      <c r="H396" s="63">
        <v>100.0</v>
      </c>
      <c r="I396" s="63">
        <v>100.0</v>
      </c>
      <c r="J396" s="67">
        <v>53.13616</v>
      </c>
      <c r="K396" s="67">
        <v>48.3056</v>
      </c>
      <c r="L396" s="8">
        <f t="shared" si="3"/>
        <v>0.489305583</v>
      </c>
      <c r="M396" s="8">
        <f t="shared" si="4"/>
        <v>0.1467916749</v>
      </c>
      <c r="N396" s="8">
        <f t="shared" si="5"/>
        <v>0.02935833498</v>
      </c>
      <c r="O396" s="8">
        <f t="shared" si="6"/>
        <v>0.0966112</v>
      </c>
      <c r="P396" s="8">
        <f t="shared" si="7"/>
        <v>0.1449168</v>
      </c>
      <c r="Q396" s="8">
        <f t="shared" si="8"/>
        <v>0.0483056</v>
      </c>
      <c r="R396" s="57"/>
      <c r="S396" s="57"/>
      <c r="T396" s="57"/>
      <c r="U396" s="57"/>
      <c r="V396" s="57"/>
      <c r="W396" s="57"/>
      <c r="X396" s="57"/>
      <c r="Y396" s="57"/>
      <c r="Z396" s="17"/>
    </row>
    <row r="397" ht="34.5" customHeight="1">
      <c r="A397" s="24" t="s">
        <v>335</v>
      </c>
      <c r="B397" s="62" t="s">
        <v>379</v>
      </c>
      <c r="C397" s="65" t="s">
        <v>434</v>
      </c>
      <c r="D397" s="65" t="s">
        <v>449</v>
      </c>
      <c r="E397" s="65">
        <v>120.0</v>
      </c>
      <c r="F397" s="66">
        <v>33.79</v>
      </c>
      <c r="G397" s="62">
        <v>4.0</v>
      </c>
      <c r="H397" s="63">
        <v>0.0</v>
      </c>
      <c r="I397" s="63">
        <v>46.31</v>
      </c>
      <c r="J397" s="67">
        <v>99.37136</v>
      </c>
      <c r="K397" s="67">
        <v>90.3376</v>
      </c>
      <c r="L397" s="8">
        <f t="shared" si="3"/>
        <v>0.9150635129</v>
      </c>
      <c r="M397" s="8">
        <f t="shared" si="4"/>
        <v>0.2745190539</v>
      </c>
      <c r="N397" s="8">
        <f t="shared" si="5"/>
        <v>0.05490381078</v>
      </c>
      <c r="O397" s="8">
        <f t="shared" si="6"/>
        <v>0.1806752</v>
      </c>
      <c r="P397" s="8">
        <f t="shared" si="7"/>
        <v>0.2710128</v>
      </c>
      <c r="Q397" s="8">
        <f t="shared" si="8"/>
        <v>0.0903376</v>
      </c>
      <c r="R397" s="57"/>
      <c r="S397" s="57"/>
      <c r="T397" s="57"/>
      <c r="U397" s="57"/>
      <c r="V397" s="57"/>
      <c r="W397" s="57"/>
      <c r="X397" s="57"/>
      <c r="Y397" s="57"/>
      <c r="Z397" s="17"/>
    </row>
    <row r="398" ht="34.5" customHeight="1">
      <c r="A398" s="24" t="s">
        <v>335</v>
      </c>
      <c r="B398" s="62" t="s">
        <v>379</v>
      </c>
      <c r="C398" s="65" t="s">
        <v>434</v>
      </c>
      <c r="D398" s="65" t="s">
        <v>450</v>
      </c>
      <c r="E398" s="65">
        <v>75.0</v>
      </c>
      <c r="F398" s="66">
        <v>27.38</v>
      </c>
      <c r="G398" s="62">
        <v>1.0</v>
      </c>
      <c r="H398" s="63">
        <v>100.0</v>
      </c>
      <c r="I398" s="63">
        <v>100.0</v>
      </c>
      <c r="J398" s="67">
        <v>64.29852</v>
      </c>
      <c r="K398" s="67">
        <v>58.4532</v>
      </c>
      <c r="L398" s="8">
        <f t="shared" si="3"/>
        <v>0.5920944384</v>
      </c>
      <c r="M398" s="8">
        <f t="shared" si="4"/>
        <v>0.1776283315</v>
      </c>
      <c r="N398" s="8">
        <f t="shared" si="5"/>
        <v>0.0355256663</v>
      </c>
      <c r="O398" s="8">
        <f t="shared" si="6"/>
        <v>0.1169064</v>
      </c>
      <c r="P398" s="8">
        <f t="shared" si="7"/>
        <v>0.1753596</v>
      </c>
      <c r="Q398" s="8">
        <f t="shared" si="8"/>
        <v>0.0584532</v>
      </c>
      <c r="R398" s="57"/>
      <c r="S398" s="57"/>
      <c r="T398" s="57"/>
      <c r="U398" s="57"/>
      <c r="V398" s="57"/>
      <c r="W398" s="57"/>
      <c r="X398" s="57"/>
      <c r="Y398" s="57"/>
      <c r="Z398" s="17"/>
    </row>
    <row r="399" ht="34.5" customHeight="1">
      <c r="A399" s="24" t="s">
        <v>335</v>
      </c>
      <c r="B399" s="62" t="s">
        <v>379</v>
      </c>
      <c r="C399" s="65" t="s">
        <v>434</v>
      </c>
      <c r="D399" s="65" t="s">
        <v>451</v>
      </c>
      <c r="E399" s="65">
        <v>224.0</v>
      </c>
      <c r="F399" s="66">
        <v>33.11</v>
      </c>
      <c r="G399" s="62">
        <v>4.0</v>
      </c>
      <c r="H399" s="63">
        <v>39.74</v>
      </c>
      <c r="I399" s="63">
        <v>39.74</v>
      </c>
      <c r="J399" s="67">
        <v>149.2315</v>
      </c>
      <c r="K399" s="67">
        <v>135.665</v>
      </c>
      <c r="L399" s="8">
        <f t="shared" si="3"/>
        <v>1.374201788</v>
      </c>
      <c r="M399" s="8">
        <f t="shared" si="4"/>
        <v>0.4122605365</v>
      </c>
      <c r="N399" s="8">
        <f t="shared" si="5"/>
        <v>0.08245210731</v>
      </c>
      <c r="O399" s="8">
        <f t="shared" si="6"/>
        <v>0.27133</v>
      </c>
      <c r="P399" s="8">
        <f t="shared" si="7"/>
        <v>0.406995</v>
      </c>
      <c r="Q399" s="8">
        <f t="shared" si="8"/>
        <v>0.135665</v>
      </c>
      <c r="R399" s="57"/>
      <c r="S399" s="57"/>
      <c r="T399" s="57"/>
      <c r="U399" s="57"/>
      <c r="V399" s="57"/>
      <c r="W399" s="57"/>
      <c r="X399" s="57"/>
      <c r="Y399" s="57"/>
      <c r="Z399" s="17"/>
    </row>
    <row r="400" ht="34.5" customHeight="1">
      <c r="A400" s="24" t="s">
        <v>335</v>
      </c>
      <c r="B400" s="62" t="s">
        <v>379</v>
      </c>
      <c r="C400" s="65" t="s">
        <v>434</v>
      </c>
      <c r="D400" s="65" t="s">
        <v>452</v>
      </c>
      <c r="E400" s="65">
        <v>5079.0</v>
      </c>
      <c r="F400" s="66">
        <v>44.69</v>
      </c>
      <c r="G400" s="62">
        <v>29.0</v>
      </c>
      <c r="H400" s="63">
        <v>32.2</v>
      </c>
      <c r="I400" s="63">
        <v>47.64</v>
      </c>
      <c r="J400" s="67">
        <v>3278.05335</v>
      </c>
      <c r="K400" s="67">
        <v>2980.0485</v>
      </c>
      <c r="L400" s="8">
        <f t="shared" si="3"/>
        <v>30.18603161</v>
      </c>
      <c r="M400" s="8">
        <f t="shared" si="4"/>
        <v>9.055809483</v>
      </c>
      <c r="N400" s="8">
        <f t="shared" si="5"/>
        <v>1.811161897</v>
      </c>
      <c r="O400" s="8">
        <f t="shared" si="6"/>
        <v>5.960097</v>
      </c>
      <c r="P400" s="8">
        <f t="shared" si="7"/>
        <v>8.9401455</v>
      </c>
      <c r="Q400" s="8">
        <f t="shared" si="8"/>
        <v>2.9800485</v>
      </c>
      <c r="R400" s="57"/>
      <c r="S400" s="57"/>
      <c r="T400" s="57"/>
      <c r="U400" s="57"/>
      <c r="V400" s="57"/>
      <c r="W400" s="57"/>
      <c r="X400" s="57"/>
      <c r="Y400" s="57"/>
      <c r="Z400" s="17"/>
    </row>
    <row r="401" ht="34.5" customHeight="1">
      <c r="A401" s="24" t="s">
        <v>335</v>
      </c>
      <c r="B401" s="62" t="s">
        <v>379</v>
      </c>
      <c r="C401" s="65" t="s">
        <v>434</v>
      </c>
      <c r="D401" s="65" t="s">
        <v>453</v>
      </c>
      <c r="E401" s="65">
        <v>263.0</v>
      </c>
      <c r="F401" s="66">
        <v>28.66</v>
      </c>
      <c r="G401" s="62">
        <v>8.0</v>
      </c>
      <c r="H401" s="63">
        <v>53.14</v>
      </c>
      <c r="I401" s="63">
        <v>67.01</v>
      </c>
      <c r="J401" s="67">
        <v>223.6696</v>
      </c>
      <c r="K401" s="67">
        <v>203.336</v>
      </c>
      <c r="L401" s="8">
        <f t="shared" si="3"/>
        <v>2.059666788</v>
      </c>
      <c r="M401" s="8">
        <f t="shared" si="4"/>
        <v>0.6179000365</v>
      </c>
      <c r="N401" s="8">
        <f t="shared" si="5"/>
        <v>0.1235800073</v>
      </c>
      <c r="O401" s="8">
        <f t="shared" si="6"/>
        <v>0.406672</v>
      </c>
      <c r="P401" s="8">
        <f t="shared" si="7"/>
        <v>0.610008</v>
      </c>
      <c r="Q401" s="8">
        <f t="shared" si="8"/>
        <v>0.203336</v>
      </c>
      <c r="R401" s="57"/>
      <c r="S401" s="57"/>
      <c r="T401" s="57"/>
      <c r="U401" s="57"/>
      <c r="V401" s="57"/>
      <c r="W401" s="57"/>
      <c r="X401" s="57"/>
      <c r="Y401" s="57"/>
      <c r="Z401" s="17"/>
    </row>
    <row r="402" ht="34.5" customHeight="1">
      <c r="A402" s="24" t="s">
        <v>335</v>
      </c>
      <c r="B402" s="62" t="s">
        <v>379</v>
      </c>
      <c r="C402" s="65" t="s">
        <v>434</v>
      </c>
      <c r="D402" s="65" t="s">
        <v>454</v>
      </c>
      <c r="E402" s="65">
        <v>92.0</v>
      </c>
      <c r="F402" s="66">
        <v>28.47</v>
      </c>
      <c r="G402" s="62">
        <v>2.0</v>
      </c>
      <c r="H402" s="63">
        <v>34.12</v>
      </c>
      <c r="I402" s="63">
        <v>34.12</v>
      </c>
      <c r="J402" s="67">
        <v>84.41444</v>
      </c>
      <c r="K402" s="67">
        <v>76.7404</v>
      </c>
      <c r="L402" s="8">
        <f t="shared" si="3"/>
        <v>0.7773323623</v>
      </c>
      <c r="M402" s="8">
        <f t="shared" si="4"/>
        <v>0.2331997087</v>
      </c>
      <c r="N402" s="8">
        <f t="shared" si="5"/>
        <v>0.04663994174</v>
      </c>
      <c r="O402" s="8">
        <f t="shared" si="6"/>
        <v>0.1534808</v>
      </c>
      <c r="P402" s="8">
        <f t="shared" si="7"/>
        <v>0.2302212</v>
      </c>
      <c r="Q402" s="8">
        <f t="shared" si="8"/>
        <v>0.0767404</v>
      </c>
      <c r="R402" s="57"/>
      <c r="S402" s="57"/>
      <c r="T402" s="57"/>
      <c r="U402" s="57"/>
      <c r="V402" s="57"/>
      <c r="W402" s="57"/>
      <c r="X402" s="57"/>
      <c r="Y402" s="57"/>
      <c r="Z402" s="17"/>
    </row>
    <row r="403" ht="34.5" customHeight="1">
      <c r="A403" s="24" t="s">
        <v>335</v>
      </c>
      <c r="B403" s="62" t="s">
        <v>379</v>
      </c>
      <c r="C403" s="65" t="s">
        <v>455</v>
      </c>
      <c r="D403" s="65" t="s">
        <v>456</v>
      </c>
      <c r="E403" s="65">
        <v>49.0</v>
      </c>
      <c r="F403" s="66">
        <v>16.71</v>
      </c>
      <c r="G403" s="62">
        <v>1.0</v>
      </c>
      <c r="H403" s="63">
        <v>96.86</v>
      </c>
      <c r="I403" s="63">
        <v>100.0</v>
      </c>
      <c r="J403" s="67">
        <v>38.37922</v>
      </c>
      <c r="K403" s="67">
        <v>34.8902</v>
      </c>
      <c r="L403" s="8">
        <f t="shared" si="3"/>
        <v>0.3534159528</v>
      </c>
      <c r="M403" s="8">
        <f t="shared" si="4"/>
        <v>0.1060247858</v>
      </c>
      <c r="N403" s="8">
        <f t="shared" si="5"/>
        <v>0.02120495717</v>
      </c>
      <c r="O403" s="8">
        <f t="shared" si="6"/>
        <v>0.0697804</v>
      </c>
      <c r="P403" s="8">
        <f t="shared" si="7"/>
        <v>0.1046706</v>
      </c>
      <c r="Q403" s="8">
        <f t="shared" si="8"/>
        <v>0.0348902</v>
      </c>
      <c r="R403" s="57"/>
      <c r="S403" s="57"/>
      <c r="T403" s="57"/>
      <c r="U403" s="57"/>
      <c r="V403" s="57"/>
      <c r="W403" s="57"/>
      <c r="X403" s="57"/>
      <c r="Y403" s="57"/>
      <c r="Z403" s="17"/>
    </row>
    <row r="404" ht="34.5" customHeight="1">
      <c r="A404" s="24" t="s">
        <v>335</v>
      </c>
      <c r="B404" s="62" t="s">
        <v>379</v>
      </c>
      <c r="C404" s="65" t="s">
        <v>455</v>
      </c>
      <c r="D404" s="65" t="s">
        <v>457</v>
      </c>
      <c r="E404" s="65">
        <v>90.0</v>
      </c>
      <c r="F404" s="66">
        <v>25.36</v>
      </c>
      <c r="G404" s="62">
        <v>3.0</v>
      </c>
      <c r="H404" s="63">
        <v>48.82</v>
      </c>
      <c r="I404" s="63">
        <v>48.82</v>
      </c>
      <c r="J404" s="67">
        <v>73.8793</v>
      </c>
      <c r="K404" s="67">
        <v>67.163</v>
      </c>
      <c r="L404" s="8">
        <f t="shared" si="3"/>
        <v>0.680319277</v>
      </c>
      <c r="M404" s="8">
        <f t="shared" si="4"/>
        <v>0.2040957831</v>
      </c>
      <c r="N404" s="8">
        <f t="shared" si="5"/>
        <v>0.04081915662</v>
      </c>
      <c r="O404" s="8">
        <f t="shared" si="6"/>
        <v>0.134326</v>
      </c>
      <c r="P404" s="8">
        <f t="shared" si="7"/>
        <v>0.201489</v>
      </c>
      <c r="Q404" s="8">
        <f t="shared" si="8"/>
        <v>0.067163</v>
      </c>
      <c r="R404" s="57"/>
      <c r="S404" s="57"/>
      <c r="T404" s="57"/>
      <c r="U404" s="57"/>
      <c r="V404" s="57"/>
      <c r="W404" s="57"/>
      <c r="X404" s="57"/>
      <c r="Y404" s="57"/>
      <c r="Z404" s="17"/>
    </row>
    <row r="405" ht="34.5" customHeight="1">
      <c r="A405" s="24" t="s">
        <v>335</v>
      </c>
      <c r="B405" s="62" t="s">
        <v>379</v>
      </c>
      <c r="C405" s="65" t="s">
        <v>455</v>
      </c>
      <c r="D405" s="65" t="s">
        <v>458</v>
      </c>
      <c r="E405" s="65">
        <v>424.0</v>
      </c>
      <c r="F405" s="66">
        <v>27.26</v>
      </c>
      <c r="G405" s="62">
        <v>7.0</v>
      </c>
      <c r="H405" s="63">
        <v>18.64</v>
      </c>
      <c r="I405" s="63">
        <v>42.96</v>
      </c>
      <c r="J405" s="67">
        <v>358.34337</v>
      </c>
      <c r="K405" s="67">
        <v>325.7667</v>
      </c>
      <c r="L405" s="8">
        <f t="shared" si="3"/>
        <v>3.299813377</v>
      </c>
      <c r="M405" s="8">
        <f t="shared" si="4"/>
        <v>0.989944013</v>
      </c>
      <c r="N405" s="8">
        <f t="shared" si="5"/>
        <v>0.1979888026</v>
      </c>
      <c r="O405" s="8">
        <f t="shared" si="6"/>
        <v>0.6515334</v>
      </c>
      <c r="P405" s="8">
        <f t="shared" si="7"/>
        <v>0.9773001</v>
      </c>
      <c r="Q405" s="8">
        <f t="shared" si="8"/>
        <v>0.3257667</v>
      </c>
      <c r="R405" s="57"/>
      <c r="S405" s="57"/>
      <c r="T405" s="57"/>
      <c r="U405" s="57"/>
      <c r="V405" s="57"/>
      <c r="W405" s="57"/>
      <c r="X405" s="57"/>
      <c r="Y405" s="57"/>
      <c r="Z405" s="17"/>
    </row>
    <row r="406" ht="34.5" customHeight="1">
      <c r="A406" s="24" t="s">
        <v>335</v>
      </c>
      <c r="B406" s="62" t="s">
        <v>379</v>
      </c>
      <c r="C406" s="65" t="s">
        <v>455</v>
      </c>
      <c r="D406" s="65" t="s">
        <v>459</v>
      </c>
      <c r="E406" s="65">
        <v>70.0</v>
      </c>
      <c r="F406" s="66">
        <v>24.53</v>
      </c>
      <c r="G406" s="62">
        <v>1.0</v>
      </c>
      <c r="H406" s="63">
        <v>93.29</v>
      </c>
      <c r="I406" s="63">
        <v>100.0</v>
      </c>
      <c r="J406" s="67">
        <v>54.23264</v>
      </c>
      <c r="K406" s="67">
        <v>49.3024</v>
      </c>
      <c r="L406" s="8">
        <f t="shared" si="3"/>
        <v>0.4994025449</v>
      </c>
      <c r="M406" s="8">
        <f t="shared" si="4"/>
        <v>0.1498207635</v>
      </c>
      <c r="N406" s="8">
        <f t="shared" si="5"/>
        <v>0.02996415269</v>
      </c>
      <c r="O406" s="8">
        <f t="shared" si="6"/>
        <v>0.0986048</v>
      </c>
      <c r="P406" s="8">
        <f t="shared" si="7"/>
        <v>0.1479072</v>
      </c>
      <c r="Q406" s="8">
        <f t="shared" si="8"/>
        <v>0.0493024</v>
      </c>
      <c r="R406" s="57"/>
      <c r="S406" s="57"/>
      <c r="T406" s="57"/>
      <c r="U406" s="57"/>
      <c r="V406" s="57"/>
      <c r="W406" s="57"/>
      <c r="X406" s="57"/>
      <c r="Y406" s="57"/>
      <c r="Z406" s="17"/>
    </row>
    <row r="407" ht="34.5" customHeight="1">
      <c r="A407" s="24" t="s">
        <v>335</v>
      </c>
      <c r="B407" s="62" t="s">
        <v>379</v>
      </c>
      <c r="C407" s="65" t="s">
        <v>455</v>
      </c>
      <c r="D407" s="65" t="s">
        <v>460</v>
      </c>
      <c r="E407" s="65">
        <v>251.0</v>
      </c>
      <c r="F407" s="66">
        <v>43.55</v>
      </c>
      <c r="G407" s="62">
        <v>4.0</v>
      </c>
      <c r="H407" s="63">
        <v>41.26</v>
      </c>
      <c r="I407" s="63">
        <v>100.0</v>
      </c>
      <c r="J407" s="67">
        <v>173.32161</v>
      </c>
      <c r="K407" s="67">
        <v>157.5651</v>
      </c>
      <c r="L407" s="8">
        <f t="shared" si="3"/>
        <v>1.596036135</v>
      </c>
      <c r="M407" s="8">
        <f t="shared" si="4"/>
        <v>0.4788108404</v>
      </c>
      <c r="N407" s="8">
        <f t="shared" si="5"/>
        <v>0.09576216808</v>
      </c>
      <c r="O407" s="8">
        <f t="shared" si="6"/>
        <v>0.3151302</v>
      </c>
      <c r="P407" s="8">
        <f t="shared" si="7"/>
        <v>0.4726953</v>
      </c>
      <c r="Q407" s="8">
        <f t="shared" si="8"/>
        <v>0.1575651</v>
      </c>
      <c r="R407" s="57"/>
      <c r="S407" s="57"/>
      <c r="T407" s="57"/>
      <c r="U407" s="57"/>
      <c r="V407" s="57"/>
      <c r="W407" s="57"/>
      <c r="X407" s="57"/>
      <c r="Y407" s="57"/>
      <c r="Z407" s="17"/>
    </row>
    <row r="408" ht="34.5" customHeight="1">
      <c r="A408" s="24" t="s">
        <v>335</v>
      </c>
      <c r="B408" s="62" t="s">
        <v>379</v>
      </c>
      <c r="C408" s="65" t="s">
        <v>455</v>
      </c>
      <c r="D408" s="65" t="s">
        <v>461</v>
      </c>
      <c r="E408" s="65">
        <v>62.0</v>
      </c>
      <c r="F408" s="66">
        <v>20.71</v>
      </c>
      <c r="G408" s="62">
        <v>1.0</v>
      </c>
      <c r="H408" s="63">
        <v>66.18</v>
      </c>
      <c r="I408" s="63">
        <v>66.18</v>
      </c>
      <c r="J408" s="67">
        <v>52.23801</v>
      </c>
      <c r="K408" s="67">
        <v>47.4891</v>
      </c>
      <c r="L408" s="8">
        <f t="shared" si="3"/>
        <v>0.4810349475</v>
      </c>
      <c r="M408" s="8">
        <f t="shared" si="4"/>
        <v>0.1443104842</v>
      </c>
      <c r="N408" s="8">
        <f t="shared" si="5"/>
        <v>0.02886209685</v>
      </c>
      <c r="O408" s="8">
        <f t="shared" si="6"/>
        <v>0.0949782</v>
      </c>
      <c r="P408" s="8">
        <f t="shared" si="7"/>
        <v>0.1424673</v>
      </c>
      <c r="Q408" s="8">
        <f t="shared" si="8"/>
        <v>0.0474891</v>
      </c>
      <c r="R408" s="57"/>
      <c r="S408" s="57"/>
      <c r="T408" s="57"/>
      <c r="U408" s="57"/>
      <c r="V408" s="57"/>
      <c r="W408" s="57"/>
      <c r="X408" s="57"/>
      <c r="Y408" s="57"/>
      <c r="Z408" s="17"/>
    </row>
    <row r="409" ht="34.5" customHeight="1">
      <c r="A409" s="24" t="s">
        <v>335</v>
      </c>
      <c r="B409" s="62" t="s">
        <v>379</v>
      </c>
      <c r="C409" s="65" t="s">
        <v>455</v>
      </c>
      <c r="D409" s="65" t="s">
        <v>462</v>
      </c>
      <c r="E409" s="65">
        <v>50.0</v>
      </c>
      <c r="F409" s="66">
        <v>50.68</v>
      </c>
      <c r="G409" s="62">
        <v>2.0</v>
      </c>
      <c r="H409" s="63">
        <v>100.0</v>
      </c>
      <c r="I409" s="63">
        <v>100.0</v>
      </c>
      <c r="J409" s="67">
        <v>21.65031</v>
      </c>
      <c r="K409" s="67">
        <v>19.6821</v>
      </c>
      <c r="L409" s="8">
        <f t="shared" si="3"/>
        <v>0.1993673904</v>
      </c>
      <c r="M409" s="8">
        <f t="shared" si="4"/>
        <v>0.05981021712</v>
      </c>
      <c r="N409" s="8">
        <f t="shared" si="5"/>
        <v>0.01196204342</v>
      </c>
      <c r="O409" s="8">
        <f t="shared" si="6"/>
        <v>0.0393642</v>
      </c>
      <c r="P409" s="8">
        <f t="shared" si="7"/>
        <v>0.0590463</v>
      </c>
      <c r="Q409" s="8">
        <f t="shared" si="8"/>
        <v>0.0196821</v>
      </c>
      <c r="R409" s="57"/>
      <c r="S409" s="57"/>
      <c r="T409" s="57"/>
      <c r="U409" s="57"/>
      <c r="V409" s="57"/>
      <c r="W409" s="57"/>
      <c r="X409" s="57"/>
      <c r="Y409" s="57"/>
      <c r="Z409" s="17"/>
    </row>
    <row r="410" ht="34.5" customHeight="1">
      <c r="A410" s="24" t="s">
        <v>335</v>
      </c>
      <c r="B410" s="62" t="s">
        <v>379</v>
      </c>
      <c r="C410" s="65" t="s">
        <v>455</v>
      </c>
      <c r="D410" s="65" t="s">
        <v>463</v>
      </c>
      <c r="E410" s="65">
        <v>50.0</v>
      </c>
      <c r="F410" s="66">
        <v>23.16</v>
      </c>
      <c r="G410" s="62">
        <v>1.0</v>
      </c>
      <c r="H410" s="63">
        <v>56.94</v>
      </c>
      <c r="I410" s="63">
        <v>100.0</v>
      </c>
      <c r="J410" s="67">
        <v>56.4828</v>
      </c>
      <c r="K410" s="67">
        <v>51.348</v>
      </c>
      <c r="L410" s="8">
        <f t="shared" si="3"/>
        <v>0.5201231963</v>
      </c>
      <c r="M410" s="8">
        <f t="shared" si="4"/>
        <v>0.1560369589</v>
      </c>
      <c r="N410" s="8">
        <f t="shared" si="5"/>
        <v>0.03120739178</v>
      </c>
      <c r="O410" s="8">
        <f t="shared" si="6"/>
        <v>0.102696</v>
      </c>
      <c r="P410" s="8">
        <f t="shared" si="7"/>
        <v>0.154044</v>
      </c>
      <c r="Q410" s="8">
        <f t="shared" si="8"/>
        <v>0.051348</v>
      </c>
      <c r="R410" s="57"/>
      <c r="S410" s="57"/>
      <c r="T410" s="57"/>
      <c r="U410" s="57"/>
      <c r="V410" s="57"/>
      <c r="W410" s="57"/>
      <c r="X410" s="57"/>
      <c r="Y410" s="57"/>
      <c r="Z410" s="17"/>
    </row>
    <row r="411" ht="34.5" customHeight="1">
      <c r="A411" s="24" t="s">
        <v>335</v>
      </c>
      <c r="B411" s="62" t="s">
        <v>379</v>
      </c>
      <c r="C411" s="65" t="s">
        <v>455</v>
      </c>
      <c r="D411" s="65" t="s">
        <v>464</v>
      </c>
      <c r="E411" s="65">
        <v>61.0</v>
      </c>
      <c r="F411" s="66">
        <v>14.8</v>
      </c>
      <c r="G411" s="62">
        <v>1.0</v>
      </c>
      <c r="H411" s="63">
        <v>0.0</v>
      </c>
      <c r="I411" s="63">
        <v>47.55</v>
      </c>
      <c r="J411" s="67">
        <v>75.76998</v>
      </c>
      <c r="K411" s="67">
        <v>68.8818</v>
      </c>
      <c r="L411" s="8">
        <f t="shared" si="3"/>
        <v>0.6977296484</v>
      </c>
      <c r="M411" s="8">
        <f t="shared" si="4"/>
        <v>0.2093188945</v>
      </c>
      <c r="N411" s="8">
        <f t="shared" si="5"/>
        <v>0.0418637789</v>
      </c>
      <c r="O411" s="8">
        <f t="shared" si="6"/>
        <v>0.1377636</v>
      </c>
      <c r="P411" s="8">
        <f t="shared" si="7"/>
        <v>0.2066454</v>
      </c>
      <c r="Q411" s="8">
        <f t="shared" si="8"/>
        <v>0.0688818</v>
      </c>
      <c r="R411" s="57"/>
      <c r="S411" s="57"/>
      <c r="T411" s="57"/>
      <c r="U411" s="57"/>
      <c r="V411" s="57"/>
      <c r="W411" s="57"/>
      <c r="X411" s="57"/>
      <c r="Y411" s="57"/>
      <c r="Z411" s="17"/>
    </row>
    <row r="412" ht="34.5" customHeight="1">
      <c r="A412" s="24" t="s">
        <v>335</v>
      </c>
      <c r="B412" s="62" t="s">
        <v>379</v>
      </c>
      <c r="C412" s="65" t="s">
        <v>455</v>
      </c>
      <c r="D412" s="65" t="s">
        <v>465</v>
      </c>
      <c r="E412" s="65">
        <v>20.0</v>
      </c>
      <c r="F412" s="66">
        <v>16.05</v>
      </c>
      <c r="G412" s="62">
        <v>1.0</v>
      </c>
      <c r="H412" s="63">
        <v>100.0</v>
      </c>
      <c r="I412" s="63">
        <v>100.0</v>
      </c>
      <c r="J412" s="67">
        <v>22.02112</v>
      </c>
      <c r="K412" s="67">
        <v>20.0192</v>
      </c>
      <c r="L412" s="8">
        <f t="shared" si="3"/>
        <v>0.202782003</v>
      </c>
      <c r="M412" s="8">
        <f t="shared" si="4"/>
        <v>0.06083460091</v>
      </c>
      <c r="N412" s="8">
        <f t="shared" si="5"/>
        <v>0.01216692018</v>
      </c>
      <c r="O412" s="8">
        <f t="shared" si="6"/>
        <v>0.0400384</v>
      </c>
      <c r="P412" s="8">
        <f t="shared" si="7"/>
        <v>0.0600576</v>
      </c>
      <c r="Q412" s="8">
        <f t="shared" si="8"/>
        <v>0.0200192</v>
      </c>
      <c r="R412" s="57"/>
      <c r="S412" s="57"/>
      <c r="T412" s="57"/>
      <c r="U412" s="57"/>
      <c r="V412" s="57"/>
      <c r="W412" s="57"/>
      <c r="X412" s="57"/>
      <c r="Y412" s="57"/>
      <c r="Z412" s="17"/>
    </row>
    <row r="413" ht="34.5" customHeight="1">
      <c r="A413" s="24" t="s">
        <v>335</v>
      </c>
      <c r="B413" s="62" t="s">
        <v>379</v>
      </c>
      <c r="C413" s="65" t="s">
        <v>455</v>
      </c>
      <c r="D413" s="65" t="s">
        <v>466</v>
      </c>
      <c r="E413" s="65">
        <v>16.0</v>
      </c>
      <c r="F413" s="66">
        <v>12.31</v>
      </c>
      <c r="G413" s="62">
        <v>1.0</v>
      </c>
      <c r="H413" s="63">
        <v>100.0</v>
      </c>
      <c r="I413" s="63">
        <v>100.0</v>
      </c>
      <c r="J413" s="67">
        <v>24.92204</v>
      </c>
      <c r="K413" s="67">
        <v>22.6564</v>
      </c>
      <c r="L413" s="8">
        <f t="shared" si="3"/>
        <v>0.2294951933</v>
      </c>
      <c r="M413" s="8">
        <f t="shared" si="4"/>
        <v>0.06884855799</v>
      </c>
      <c r="N413" s="8">
        <f t="shared" si="5"/>
        <v>0.0137697116</v>
      </c>
      <c r="O413" s="8">
        <f t="shared" si="6"/>
        <v>0.0453128</v>
      </c>
      <c r="P413" s="8">
        <f t="shared" si="7"/>
        <v>0.0679692</v>
      </c>
      <c r="Q413" s="8">
        <f t="shared" si="8"/>
        <v>0.0226564</v>
      </c>
      <c r="R413" s="57"/>
      <c r="S413" s="57"/>
      <c r="T413" s="57"/>
      <c r="U413" s="57"/>
      <c r="V413" s="57"/>
      <c r="W413" s="57"/>
      <c r="X413" s="57"/>
      <c r="Y413" s="57"/>
      <c r="Z413" s="17"/>
    </row>
    <row r="414" ht="34.5" customHeight="1">
      <c r="A414" s="24" t="s">
        <v>335</v>
      </c>
      <c r="B414" s="62" t="s">
        <v>379</v>
      </c>
      <c r="C414" s="65" t="s">
        <v>467</v>
      </c>
      <c r="D414" s="65" t="s">
        <v>468</v>
      </c>
      <c r="E414" s="65">
        <v>35.0</v>
      </c>
      <c r="F414" s="66">
        <v>11.44</v>
      </c>
      <c r="G414" s="62">
        <v>2.0</v>
      </c>
      <c r="H414" s="63">
        <v>93.78</v>
      </c>
      <c r="I414" s="63">
        <v>100.0</v>
      </c>
      <c r="J414" s="67">
        <v>29.90911</v>
      </c>
      <c r="K414" s="67">
        <v>27.1901</v>
      </c>
      <c r="L414" s="8">
        <f t="shared" si="3"/>
        <v>0.2754187451</v>
      </c>
      <c r="M414" s="8">
        <f t="shared" si="4"/>
        <v>0.08262562352</v>
      </c>
      <c r="N414" s="8">
        <f t="shared" si="5"/>
        <v>0.0165251247</v>
      </c>
      <c r="O414" s="8">
        <f t="shared" si="6"/>
        <v>0.0543802</v>
      </c>
      <c r="P414" s="8">
        <f t="shared" si="7"/>
        <v>0.0815703</v>
      </c>
      <c r="Q414" s="8">
        <f t="shared" si="8"/>
        <v>0.0271901</v>
      </c>
      <c r="R414" s="57"/>
      <c r="S414" s="57"/>
      <c r="T414" s="57"/>
      <c r="U414" s="57"/>
      <c r="V414" s="57"/>
      <c r="W414" s="57"/>
      <c r="X414" s="57"/>
      <c r="Y414" s="57"/>
      <c r="Z414" s="17"/>
    </row>
    <row r="415" ht="34.5" customHeight="1">
      <c r="A415" s="24" t="s">
        <v>335</v>
      </c>
      <c r="B415" s="62" t="s">
        <v>379</v>
      </c>
      <c r="C415" s="65" t="s">
        <v>467</v>
      </c>
      <c r="D415" s="65" t="s">
        <v>469</v>
      </c>
      <c r="E415" s="65">
        <v>53.0</v>
      </c>
      <c r="F415" s="66">
        <v>23.51</v>
      </c>
      <c r="G415" s="62">
        <v>2.0</v>
      </c>
      <c r="H415" s="63">
        <v>100.0</v>
      </c>
      <c r="I415" s="63">
        <v>100.0</v>
      </c>
      <c r="J415" s="67">
        <v>47.02544</v>
      </c>
      <c r="K415" s="67">
        <v>42.7504</v>
      </c>
      <c r="L415" s="8">
        <f t="shared" si="3"/>
        <v>0.4330348737</v>
      </c>
      <c r="M415" s="8">
        <f t="shared" si="4"/>
        <v>0.1299104621</v>
      </c>
      <c r="N415" s="8">
        <f t="shared" si="5"/>
        <v>0.02598209242</v>
      </c>
      <c r="O415" s="8">
        <f t="shared" si="6"/>
        <v>0.0855008</v>
      </c>
      <c r="P415" s="8">
        <f t="shared" si="7"/>
        <v>0.1282512</v>
      </c>
      <c r="Q415" s="8">
        <f t="shared" si="8"/>
        <v>0.0427504</v>
      </c>
      <c r="R415" s="57"/>
      <c r="S415" s="57"/>
      <c r="T415" s="57"/>
      <c r="U415" s="57"/>
      <c r="V415" s="57"/>
      <c r="W415" s="57"/>
      <c r="X415" s="57"/>
      <c r="Y415" s="57"/>
      <c r="Z415" s="17"/>
    </row>
    <row r="416" ht="34.5" customHeight="1">
      <c r="A416" s="24" t="s">
        <v>335</v>
      </c>
      <c r="B416" s="62" t="s">
        <v>379</v>
      </c>
      <c r="C416" s="65" t="s">
        <v>467</v>
      </c>
      <c r="D416" s="65" t="s">
        <v>470</v>
      </c>
      <c r="E416" s="65">
        <v>106.0</v>
      </c>
      <c r="F416" s="66">
        <v>17.26</v>
      </c>
      <c r="G416" s="62">
        <v>5.0</v>
      </c>
      <c r="H416" s="63">
        <v>100.0</v>
      </c>
      <c r="I416" s="63">
        <v>100.0</v>
      </c>
      <c r="J416" s="67">
        <v>88.6578</v>
      </c>
      <c r="K416" s="67">
        <v>80.598</v>
      </c>
      <c r="L416" s="8">
        <f t="shared" si="3"/>
        <v>0.8164074429</v>
      </c>
      <c r="M416" s="8">
        <f t="shared" si="4"/>
        <v>0.2449222329</v>
      </c>
      <c r="N416" s="8">
        <f t="shared" si="5"/>
        <v>0.04898444658</v>
      </c>
      <c r="O416" s="8">
        <f t="shared" si="6"/>
        <v>0.161196</v>
      </c>
      <c r="P416" s="8">
        <f t="shared" si="7"/>
        <v>0.241794</v>
      </c>
      <c r="Q416" s="8">
        <f t="shared" si="8"/>
        <v>0.080598</v>
      </c>
      <c r="R416" s="57"/>
      <c r="S416" s="57"/>
      <c r="T416" s="57"/>
      <c r="U416" s="57"/>
      <c r="V416" s="57"/>
      <c r="W416" s="57"/>
      <c r="X416" s="57"/>
      <c r="Y416" s="57"/>
      <c r="Z416" s="17"/>
    </row>
    <row r="417" ht="34.5" customHeight="1">
      <c r="A417" s="24" t="s">
        <v>335</v>
      </c>
      <c r="B417" s="62" t="s">
        <v>379</v>
      </c>
      <c r="C417" s="65" t="s">
        <v>467</v>
      </c>
      <c r="D417" s="65" t="s">
        <v>471</v>
      </c>
      <c r="E417" s="65">
        <v>84.0</v>
      </c>
      <c r="F417" s="66">
        <v>17.11</v>
      </c>
      <c r="G417" s="62">
        <v>3.0</v>
      </c>
      <c r="H417" s="63">
        <v>94.43</v>
      </c>
      <c r="I417" s="63">
        <v>100.0</v>
      </c>
      <c r="J417" s="67">
        <v>79.60249</v>
      </c>
      <c r="K417" s="67">
        <v>72.3659</v>
      </c>
      <c r="L417" s="8">
        <f t="shared" si="3"/>
        <v>0.7330214072</v>
      </c>
      <c r="M417" s="8">
        <f t="shared" si="4"/>
        <v>0.2199064221</v>
      </c>
      <c r="N417" s="8">
        <f t="shared" si="5"/>
        <v>0.04398128443</v>
      </c>
      <c r="O417" s="8">
        <f t="shared" si="6"/>
        <v>0.1447318</v>
      </c>
      <c r="P417" s="8">
        <f t="shared" si="7"/>
        <v>0.2170977</v>
      </c>
      <c r="Q417" s="8">
        <f t="shared" si="8"/>
        <v>0.0723659</v>
      </c>
      <c r="R417" s="57"/>
      <c r="S417" s="57"/>
      <c r="T417" s="57"/>
      <c r="U417" s="57"/>
      <c r="V417" s="57"/>
      <c r="W417" s="57"/>
      <c r="X417" s="57"/>
      <c r="Y417" s="57"/>
      <c r="Z417" s="17"/>
    </row>
    <row r="418" ht="34.5" customHeight="1">
      <c r="A418" s="24" t="s">
        <v>335</v>
      </c>
      <c r="B418" s="62" t="s">
        <v>379</v>
      </c>
      <c r="C418" s="65" t="s">
        <v>467</v>
      </c>
      <c r="D418" s="65" t="s">
        <v>472</v>
      </c>
      <c r="E418" s="65">
        <v>19.0</v>
      </c>
      <c r="F418" s="66">
        <v>19.21</v>
      </c>
      <c r="G418" s="62">
        <v>1.0</v>
      </c>
      <c r="H418" s="63">
        <v>100.0</v>
      </c>
      <c r="I418" s="63">
        <v>100.0</v>
      </c>
      <c r="J418" s="67">
        <v>15.92712</v>
      </c>
      <c r="K418" s="67">
        <v>14.4792</v>
      </c>
      <c r="L418" s="8">
        <f t="shared" si="3"/>
        <v>0.1466652603</v>
      </c>
      <c r="M418" s="8">
        <f t="shared" si="4"/>
        <v>0.04399957808</v>
      </c>
      <c r="N418" s="8">
        <f t="shared" si="5"/>
        <v>0.008799915616</v>
      </c>
      <c r="O418" s="8">
        <f t="shared" si="6"/>
        <v>0.0289584</v>
      </c>
      <c r="P418" s="8">
        <f t="shared" si="7"/>
        <v>0.0434376</v>
      </c>
      <c r="Q418" s="8">
        <f t="shared" si="8"/>
        <v>0.0144792</v>
      </c>
      <c r="R418" s="57"/>
      <c r="S418" s="57"/>
      <c r="T418" s="57"/>
      <c r="U418" s="57"/>
      <c r="V418" s="57"/>
      <c r="W418" s="57"/>
      <c r="X418" s="57"/>
      <c r="Y418" s="57"/>
      <c r="Z418" s="17"/>
    </row>
    <row r="419" ht="34.5" customHeight="1">
      <c r="A419" s="24" t="s">
        <v>335</v>
      </c>
      <c r="B419" s="62" t="s">
        <v>379</v>
      </c>
      <c r="C419" s="65" t="s">
        <v>467</v>
      </c>
      <c r="D419" s="65" t="s">
        <v>473</v>
      </c>
      <c r="E419" s="65">
        <v>33.0</v>
      </c>
      <c r="F419" s="66">
        <v>17.96</v>
      </c>
      <c r="G419" s="62">
        <v>1.0</v>
      </c>
      <c r="H419" s="63">
        <v>100.0</v>
      </c>
      <c r="I419" s="63">
        <v>100.0</v>
      </c>
      <c r="J419" s="67">
        <v>33.6028</v>
      </c>
      <c r="K419" s="67">
        <v>30.548</v>
      </c>
      <c r="L419" s="8">
        <f t="shared" si="3"/>
        <v>0.3094321766</v>
      </c>
      <c r="M419" s="8">
        <f t="shared" si="4"/>
        <v>0.09282965297</v>
      </c>
      <c r="N419" s="8">
        <f t="shared" si="5"/>
        <v>0.01856593059</v>
      </c>
      <c r="O419" s="8">
        <f t="shared" si="6"/>
        <v>0.061096</v>
      </c>
      <c r="P419" s="8">
        <f t="shared" si="7"/>
        <v>0.091644</v>
      </c>
      <c r="Q419" s="8">
        <f t="shared" si="8"/>
        <v>0.030548</v>
      </c>
      <c r="R419" s="57"/>
      <c r="S419" s="57"/>
      <c r="T419" s="57"/>
      <c r="U419" s="57"/>
      <c r="V419" s="57"/>
      <c r="W419" s="57"/>
      <c r="X419" s="57"/>
      <c r="Y419" s="57"/>
      <c r="Z419" s="17"/>
    </row>
    <row r="420" ht="34.5" customHeight="1">
      <c r="A420" s="24" t="s">
        <v>335</v>
      </c>
      <c r="B420" s="62" t="s">
        <v>379</v>
      </c>
      <c r="C420" s="65" t="s">
        <v>467</v>
      </c>
      <c r="D420" s="65" t="s">
        <v>474</v>
      </c>
      <c r="E420" s="65">
        <v>111.0</v>
      </c>
      <c r="F420" s="66">
        <v>26.22</v>
      </c>
      <c r="G420" s="62">
        <v>5.0</v>
      </c>
      <c r="H420" s="63">
        <v>100.0</v>
      </c>
      <c r="I420" s="63">
        <v>100.0</v>
      </c>
      <c r="J420" s="67">
        <v>71.7057</v>
      </c>
      <c r="K420" s="67">
        <v>65.187</v>
      </c>
      <c r="L420" s="8">
        <f t="shared" si="3"/>
        <v>0.6603036301</v>
      </c>
      <c r="M420" s="8">
        <f t="shared" si="4"/>
        <v>0.198091089</v>
      </c>
      <c r="N420" s="8">
        <f t="shared" si="5"/>
        <v>0.03961821781</v>
      </c>
      <c r="O420" s="8">
        <f t="shared" si="6"/>
        <v>0.130374</v>
      </c>
      <c r="P420" s="8">
        <f t="shared" si="7"/>
        <v>0.195561</v>
      </c>
      <c r="Q420" s="8">
        <f t="shared" si="8"/>
        <v>0.065187</v>
      </c>
      <c r="R420" s="57"/>
      <c r="S420" s="57"/>
      <c r="T420" s="57"/>
      <c r="U420" s="57"/>
      <c r="V420" s="57"/>
      <c r="W420" s="57"/>
      <c r="X420" s="57"/>
      <c r="Y420" s="57"/>
      <c r="Z420" s="17"/>
    </row>
    <row r="421" ht="34.5" customHeight="1">
      <c r="A421" s="24" t="s">
        <v>335</v>
      </c>
      <c r="B421" s="62" t="s">
        <v>379</v>
      </c>
      <c r="C421" s="65" t="s">
        <v>467</v>
      </c>
      <c r="D421" s="65" t="s">
        <v>475</v>
      </c>
      <c r="E421" s="65">
        <v>68.0</v>
      </c>
      <c r="F421" s="66">
        <v>23.75</v>
      </c>
      <c r="G421" s="62">
        <v>2.0</v>
      </c>
      <c r="H421" s="63">
        <v>42.49</v>
      </c>
      <c r="I421" s="63">
        <v>42.49</v>
      </c>
      <c r="J421" s="67">
        <v>58.47336</v>
      </c>
      <c r="K421" s="67">
        <v>53.1576</v>
      </c>
      <c r="L421" s="8">
        <f t="shared" si="3"/>
        <v>0.5384533151</v>
      </c>
      <c r="M421" s="8">
        <f t="shared" si="4"/>
        <v>0.1615359945</v>
      </c>
      <c r="N421" s="8">
        <f t="shared" si="5"/>
        <v>0.0323071989</v>
      </c>
      <c r="O421" s="8">
        <f t="shared" si="6"/>
        <v>0.1063152</v>
      </c>
      <c r="P421" s="8">
        <f t="shared" si="7"/>
        <v>0.1594728</v>
      </c>
      <c r="Q421" s="8">
        <f t="shared" si="8"/>
        <v>0.0531576</v>
      </c>
      <c r="R421" s="57"/>
      <c r="S421" s="57"/>
      <c r="T421" s="57"/>
      <c r="U421" s="57"/>
      <c r="V421" s="57"/>
      <c r="W421" s="57"/>
      <c r="X421" s="57"/>
      <c r="Y421" s="57"/>
      <c r="Z421" s="17"/>
    </row>
    <row r="422" ht="34.5" customHeight="1">
      <c r="A422" s="24" t="s">
        <v>335</v>
      </c>
      <c r="B422" s="62" t="s">
        <v>379</v>
      </c>
      <c r="C422" s="65" t="s">
        <v>467</v>
      </c>
      <c r="D422" s="65" t="s">
        <v>476</v>
      </c>
      <c r="E422" s="65">
        <v>21.0</v>
      </c>
      <c r="F422" s="66">
        <v>17.95</v>
      </c>
      <c r="G422" s="62">
        <v>1.0</v>
      </c>
      <c r="H422" s="63">
        <v>100.0</v>
      </c>
      <c r="I422" s="63">
        <v>100.0</v>
      </c>
      <c r="J422" s="67">
        <v>20.04486</v>
      </c>
      <c r="K422" s="67">
        <v>18.2226</v>
      </c>
      <c r="L422" s="8">
        <f t="shared" si="3"/>
        <v>0.1845835662</v>
      </c>
      <c r="M422" s="8">
        <f t="shared" si="4"/>
        <v>0.05537506986</v>
      </c>
      <c r="N422" s="8">
        <f t="shared" si="5"/>
        <v>0.01107501397</v>
      </c>
      <c r="O422" s="8">
        <f t="shared" si="6"/>
        <v>0.0364452</v>
      </c>
      <c r="P422" s="8">
        <f t="shared" si="7"/>
        <v>0.0546678</v>
      </c>
      <c r="Q422" s="8">
        <f t="shared" si="8"/>
        <v>0.0182226</v>
      </c>
      <c r="R422" s="57"/>
      <c r="S422" s="57"/>
      <c r="T422" s="57"/>
      <c r="U422" s="57"/>
      <c r="V422" s="57"/>
      <c r="W422" s="57"/>
      <c r="X422" s="57"/>
      <c r="Y422" s="57"/>
      <c r="Z422" s="17"/>
    </row>
    <row r="423" ht="34.5" customHeight="1">
      <c r="A423" s="24" t="s">
        <v>335</v>
      </c>
      <c r="B423" s="62" t="s">
        <v>379</v>
      </c>
      <c r="C423" s="65" t="s">
        <v>467</v>
      </c>
      <c r="D423" s="65" t="s">
        <v>477</v>
      </c>
      <c r="E423" s="65">
        <v>10.0</v>
      </c>
      <c r="F423" s="66">
        <v>18.24</v>
      </c>
      <c r="G423" s="62">
        <v>2.0</v>
      </c>
      <c r="H423" s="63">
        <v>100.0</v>
      </c>
      <c r="I423" s="63">
        <v>100.0</v>
      </c>
      <c r="J423" s="67">
        <v>15.83516</v>
      </c>
      <c r="K423" s="67">
        <v>14.3956</v>
      </c>
      <c r="L423" s="8">
        <f t="shared" si="3"/>
        <v>0.1458184444</v>
      </c>
      <c r="M423" s="8">
        <f t="shared" si="4"/>
        <v>0.04374553333</v>
      </c>
      <c r="N423" s="8">
        <f t="shared" si="5"/>
        <v>0.008749106667</v>
      </c>
      <c r="O423" s="8">
        <f t="shared" si="6"/>
        <v>0.0287912</v>
      </c>
      <c r="P423" s="8">
        <f t="shared" si="7"/>
        <v>0.0431868</v>
      </c>
      <c r="Q423" s="8">
        <f t="shared" si="8"/>
        <v>0.0143956</v>
      </c>
      <c r="R423" s="57"/>
      <c r="S423" s="57"/>
      <c r="T423" s="57"/>
      <c r="U423" s="57"/>
      <c r="V423" s="57"/>
      <c r="W423" s="57"/>
      <c r="X423" s="57"/>
      <c r="Y423" s="57"/>
      <c r="Z423" s="17"/>
    </row>
    <row r="424" ht="34.5" customHeight="1">
      <c r="A424" s="24" t="s">
        <v>335</v>
      </c>
      <c r="B424" s="62" t="s">
        <v>379</v>
      </c>
      <c r="C424" s="65" t="s">
        <v>467</v>
      </c>
      <c r="D424" s="65" t="s">
        <v>478</v>
      </c>
      <c r="E424" s="65">
        <v>83.0</v>
      </c>
      <c r="F424" s="66">
        <v>25.65</v>
      </c>
      <c r="G424" s="62">
        <v>5.0</v>
      </c>
      <c r="H424" s="63">
        <v>60.12</v>
      </c>
      <c r="I424" s="63">
        <v>60.12</v>
      </c>
      <c r="J424" s="67">
        <v>66.3047</v>
      </c>
      <c r="K424" s="67">
        <v>60.277</v>
      </c>
      <c r="L424" s="8">
        <f t="shared" si="3"/>
        <v>0.6105683942</v>
      </c>
      <c r="M424" s="8">
        <f t="shared" si="4"/>
        <v>0.1831705183</v>
      </c>
      <c r="N424" s="8">
        <f t="shared" si="5"/>
        <v>0.03663410365</v>
      </c>
      <c r="O424" s="8">
        <f t="shared" si="6"/>
        <v>0.120554</v>
      </c>
      <c r="P424" s="8">
        <f t="shared" si="7"/>
        <v>0.180831</v>
      </c>
      <c r="Q424" s="8">
        <f t="shared" si="8"/>
        <v>0.060277</v>
      </c>
      <c r="R424" s="57"/>
      <c r="S424" s="57"/>
      <c r="T424" s="57"/>
      <c r="U424" s="57"/>
      <c r="V424" s="57"/>
      <c r="W424" s="57"/>
      <c r="X424" s="57"/>
      <c r="Y424" s="57"/>
      <c r="Z424" s="17"/>
    </row>
    <row r="425" ht="34.5" customHeight="1">
      <c r="A425" s="24" t="s">
        <v>335</v>
      </c>
      <c r="B425" s="62" t="s">
        <v>379</v>
      </c>
      <c r="C425" s="65" t="s">
        <v>467</v>
      </c>
      <c r="D425" s="65" t="s">
        <v>479</v>
      </c>
      <c r="E425" s="65">
        <v>19.0</v>
      </c>
      <c r="F425" s="66">
        <v>11.62</v>
      </c>
      <c r="G425" s="62">
        <v>1.0</v>
      </c>
      <c r="H425" s="63">
        <v>100.0</v>
      </c>
      <c r="I425" s="63">
        <v>100.0</v>
      </c>
      <c r="J425" s="67">
        <v>27.8718</v>
      </c>
      <c r="K425" s="67">
        <v>25.338</v>
      </c>
      <c r="L425" s="8">
        <f t="shared" si="3"/>
        <v>0.2566581279</v>
      </c>
      <c r="M425" s="8">
        <f t="shared" si="4"/>
        <v>0.07699743836</v>
      </c>
      <c r="N425" s="8">
        <f t="shared" si="5"/>
        <v>0.01539948767</v>
      </c>
      <c r="O425" s="8">
        <f t="shared" si="6"/>
        <v>0.050676</v>
      </c>
      <c r="P425" s="8">
        <f t="shared" si="7"/>
        <v>0.076014</v>
      </c>
      <c r="Q425" s="8">
        <f t="shared" si="8"/>
        <v>0.025338</v>
      </c>
      <c r="R425" s="57"/>
      <c r="S425" s="57"/>
      <c r="T425" s="57"/>
      <c r="U425" s="57"/>
      <c r="V425" s="57"/>
      <c r="W425" s="57"/>
      <c r="X425" s="57"/>
      <c r="Y425" s="57"/>
      <c r="Z425" s="17"/>
    </row>
    <row r="426" ht="34.5" customHeight="1">
      <c r="A426" s="24" t="s">
        <v>335</v>
      </c>
      <c r="B426" s="62" t="s">
        <v>379</v>
      </c>
      <c r="C426" s="65" t="s">
        <v>467</v>
      </c>
      <c r="D426" s="65" t="s">
        <v>480</v>
      </c>
      <c r="E426" s="65">
        <v>28.0</v>
      </c>
      <c r="F426" s="66">
        <v>25.34</v>
      </c>
      <c r="G426" s="62">
        <v>2.0</v>
      </c>
      <c r="H426" s="63">
        <v>100.0</v>
      </c>
      <c r="I426" s="63">
        <v>100.0</v>
      </c>
      <c r="J426" s="67">
        <v>22.99528</v>
      </c>
      <c r="K426" s="67">
        <v>20.9048</v>
      </c>
      <c r="L426" s="8">
        <f t="shared" si="3"/>
        <v>0.2117525784</v>
      </c>
      <c r="M426" s="8">
        <f t="shared" si="4"/>
        <v>0.06352577352</v>
      </c>
      <c r="N426" s="8">
        <f t="shared" si="5"/>
        <v>0.0127051547</v>
      </c>
      <c r="O426" s="8">
        <f t="shared" si="6"/>
        <v>0.0418096</v>
      </c>
      <c r="P426" s="8">
        <f t="shared" si="7"/>
        <v>0.0627144</v>
      </c>
      <c r="Q426" s="8">
        <f t="shared" si="8"/>
        <v>0.0209048</v>
      </c>
      <c r="R426" s="57"/>
      <c r="S426" s="57"/>
      <c r="T426" s="57"/>
      <c r="U426" s="57"/>
      <c r="V426" s="57"/>
      <c r="W426" s="57"/>
      <c r="X426" s="57"/>
      <c r="Y426" s="57"/>
      <c r="Z426" s="17"/>
    </row>
    <row r="427" ht="34.5" customHeight="1">
      <c r="A427" s="24" t="s">
        <v>335</v>
      </c>
      <c r="B427" s="62" t="s">
        <v>379</v>
      </c>
      <c r="C427" s="65" t="s">
        <v>467</v>
      </c>
      <c r="D427" s="65" t="s">
        <v>481</v>
      </c>
      <c r="E427" s="65">
        <v>102.0</v>
      </c>
      <c r="F427" s="66">
        <v>17.96</v>
      </c>
      <c r="G427" s="62">
        <v>4.0</v>
      </c>
      <c r="H427" s="63">
        <v>55.12</v>
      </c>
      <c r="I427" s="63">
        <v>88.67</v>
      </c>
      <c r="J427" s="67">
        <v>111.85405</v>
      </c>
      <c r="K427" s="67">
        <v>101.6855</v>
      </c>
      <c r="L427" s="8">
        <f t="shared" si="3"/>
        <v>1.030010658</v>
      </c>
      <c r="M427" s="8">
        <f t="shared" si="4"/>
        <v>0.3090031975</v>
      </c>
      <c r="N427" s="8">
        <f t="shared" si="5"/>
        <v>0.0618006395</v>
      </c>
      <c r="O427" s="8">
        <f t="shared" si="6"/>
        <v>0.203371</v>
      </c>
      <c r="P427" s="8">
        <f t="shared" si="7"/>
        <v>0.3050565</v>
      </c>
      <c r="Q427" s="8">
        <f t="shared" si="8"/>
        <v>0.1016855</v>
      </c>
      <c r="R427" s="57"/>
      <c r="S427" s="57"/>
      <c r="T427" s="57"/>
      <c r="U427" s="57"/>
      <c r="V427" s="57"/>
      <c r="W427" s="57"/>
      <c r="X427" s="57"/>
      <c r="Y427" s="57"/>
      <c r="Z427" s="17"/>
    </row>
    <row r="428" ht="34.5" customHeight="1">
      <c r="A428" s="24" t="s">
        <v>335</v>
      </c>
      <c r="B428" s="62" t="s">
        <v>379</v>
      </c>
      <c r="C428" s="65" t="s">
        <v>467</v>
      </c>
      <c r="D428" s="65" t="s">
        <v>482</v>
      </c>
      <c r="E428" s="65">
        <v>36.0</v>
      </c>
      <c r="F428" s="66">
        <v>38.24</v>
      </c>
      <c r="G428" s="62">
        <v>1.0</v>
      </c>
      <c r="H428" s="63">
        <v>100.0</v>
      </c>
      <c r="I428" s="63">
        <v>100.0</v>
      </c>
      <c r="J428" s="67">
        <v>22.86636</v>
      </c>
      <c r="K428" s="67">
        <v>20.7876</v>
      </c>
      <c r="L428" s="8">
        <f t="shared" si="3"/>
        <v>0.2105654155</v>
      </c>
      <c r="M428" s="8">
        <f t="shared" si="4"/>
        <v>0.06316962466</v>
      </c>
      <c r="N428" s="8">
        <f t="shared" si="5"/>
        <v>0.01263392493</v>
      </c>
      <c r="O428" s="8">
        <f t="shared" si="6"/>
        <v>0.0415752</v>
      </c>
      <c r="P428" s="8">
        <f t="shared" si="7"/>
        <v>0.0623628</v>
      </c>
      <c r="Q428" s="8">
        <f t="shared" si="8"/>
        <v>0.0207876</v>
      </c>
      <c r="R428" s="57"/>
      <c r="S428" s="57"/>
      <c r="T428" s="57"/>
      <c r="U428" s="57"/>
      <c r="V428" s="57"/>
      <c r="W428" s="57"/>
      <c r="X428" s="57"/>
      <c r="Y428" s="57"/>
      <c r="Z428" s="17"/>
    </row>
    <row r="429" ht="34.5" customHeight="1">
      <c r="A429" s="24" t="s">
        <v>335</v>
      </c>
      <c r="B429" s="62" t="s">
        <v>379</v>
      </c>
      <c r="C429" s="65" t="s">
        <v>467</v>
      </c>
      <c r="D429" s="65" t="s">
        <v>483</v>
      </c>
      <c r="E429" s="65">
        <v>159.0</v>
      </c>
      <c r="F429" s="66">
        <v>18.1</v>
      </c>
      <c r="G429" s="62">
        <v>3.0</v>
      </c>
      <c r="H429" s="63">
        <v>100.0</v>
      </c>
      <c r="I429" s="63">
        <v>100.0</v>
      </c>
      <c r="J429" s="67">
        <v>151.20347</v>
      </c>
      <c r="K429" s="67">
        <v>137.4577</v>
      </c>
      <c r="L429" s="8">
        <f t="shared" si="3"/>
        <v>1.392360721</v>
      </c>
      <c r="M429" s="8">
        <f t="shared" si="4"/>
        <v>0.4177082162</v>
      </c>
      <c r="N429" s="8">
        <f t="shared" si="5"/>
        <v>0.08354164324</v>
      </c>
      <c r="O429" s="8">
        <f t="shared" si="6"/>
        <v>0.2749154</v>
      </c>
      <c r="P429" s="8">
        <f t="shared" si="7"/>
        <v>0.4123731</v>
      </c>
      <c r="Q429" s="8">
        <f t="shared" si="8"/>
        <v>0.1374577</v>
      </c>
      <c r="R429" s="57"/>
      <c r="S429" s="57"/>
      <c r="T429" s="57"/>
      <c r="U429" s="57"/>
      <c r="V429" s="57"/>
      <c r="W429" s="57"/>
      <c r="X429" s="57"/>
      <c r="Y429" s="57"/>
      <c r="Z429" s="17"/>
    </row>
    <row r="430" ht="34.5" customHeight="1">
      <c r="A430" s="54" t="s">
        <v>335</v>
      </c>
      <c r="B430" s="70" t="s">
        <v>379</v>
      </c>
      <c r="C430" s="71" t="s">
        <v>467</v>
      </c>
      <c r="D430" s="71" t="s">
        <v>484</v>
      </c>
      <c r="E430" s="65">
        <v>1040.0</v>
      </c>
      <c r="F430" s="66">
        <v>32.71</v>
      </c>
      <c r="G430" s="62">
        <v>14.0</v>
      </c>
      <c r="H430" s="63">
        <v>72.98</v>
      </c>
      <c r="I430" s="63">
        <v>100.0</v>
      </c>
      <c r="J430" s="67">
        <v>812.6888</v>
      </c>
      <c r="K430" s="67">
        <v>738.808</v>
      </c>
      <c r="L430" s="8">
        <f t="shared" si="3"/>
        <v>7.483663988</v>
      </c>
      <c r="M430" s="8">
        <f t="shared" si="4"/>
        <v>2.245099196</v>
      </c>
      <c r="N430" s="8">
        <f t="shared" si="5"/>
        <v>0.4490198393</v>
      </c>
      <c r="O430" s="8">
        <f t="shared" si="6"/>
        <v>1.477616</v>
      </c>
      <c r="P430" s="8">
        <f t="shared" si="7"/>
        <v>2.216424</v>
      </c>
      <c r="Q430" s="8">
        <f t="shared" si="8"/>
        <v>0.738808</v>
      </c>
      <c r="R430" s="57"/>
      <c r="S430" s="57"/>
      <c r="T430" s="57"/>
      <c r="U430" s="57"/>
      <c r="V430" s="57"/>
      <c r="W430" s="57"/>
      <c r="X430" s="57"/>
      <c r="Y430" s="57"/>
      <c r="Z430" s="17"/>
    </row>
    <row r="431" ht="34.5" customHeight="1">
      <c r="A431" s="54" t="s">
        <v>485</v>
      </c>
      <c r="B431" s="34" t="s">
        <v>486</v>
      </c>
      <c r="C431" s="34" t="s">
        <v>487</v>
      </c>
      <c r="D431" s="34" t="s">
        <v>488</v>
      </c>
      <c r="E431" s="34">
        <v>24.0</v>
      </c>
      <c r="F431" s="35">
        <v>24.0</v>
      </c>
      <c r="G431" s="34">
        <v>1.0</v>
      </c>
      <c r="H431" s="35">
        <v>82.93</v>
      </c>
      <c r="I431" s="35">
        <v>100.0</v>
      </c>
      <c r="J431" s="36">
        <f t="shared" ref="J431:J449" si="9">(E431*(1-F431/100)*1.1)</f>
        <v>20.064</v>
      </c>
      <c r="K431" s="36">
        <f t="shared" ref="K431:K449" si="10">E431*(1-F431/100)</f>
        <v>18.24</v>
      </c>
      <c r="L431" s="8">
        <f t="shared" si="3"/>
        <v>0.1847598174</v>
      </c>
      <c r="M431" s="8">
        <f t="shared" si="4"/>
        <v>0.05542794521</v>
      </c>
      <c r="N431" s="8">
        <f t="shared" si="5"/>
        <v>0.01108558904</v>
      </c>
      <c r="O431" s="8">
        <f t="shared" si="6"/>
        <v>0.03648</v>
      </c>
      <c r="P431" s="8">
        <f t="shared" si="7"/>
        <v>0.05472</v>
      </c>
      <c r="Q431" s="8">
        <f t="shared" si="8"/>
        <v>0.01824</v>
      </c>
      <c r="R431" s="57"/>
      <c r="S431" s="57"/>
      <c r="T431" s="57"/>
      <c r="U431" s="57"/>
      <c r="V431" s="57"/>
      <c r="W431" s="57"/>
      <c r="X431" s="57"/>
      <c r="Y431" s="57"/>
      <c r="Z431" s="17"/>
    </row>
    <row r="432" ht="34.5" customHeight="1">
      <c r="A432" s="54" t="s">
        <v>485</v>
      </c>
      <c r="B432" s="34" t="s">
        <v>486</v>
      </c>
      <c r="C432" s="34" t="s">
        <v>487</v>
      </c>
      <c r="D432" s="34" t="s">
        <v>486</v>
      </c>
      <c r="E432" s="34">
        <v>1374.0</v>
      </c>
      <c r="F432" s="35">
        <v>25.29</v>
      </c>
      <c r="G432" s="34">
        <v>16.0</v>
      </c>
      <c r="H432" s="35">
        <v>45.21</v>
      </c>
      <c r="I432" s="35">
        <v>69.04</v>
      </c>
      <c r="J432" s="36">
        <f t="shared" si="9"/>
        <v>1129.16694</v>
      </c>
      <c r="K432" s="36">
        <f t="shared" si="10"/>
        <v>1026.5154</v>
      </c>
      <c r="L432" s="8">
        <f t="shared" si="3"/>
        <v>10.39796041</v>
      </c>
      <c r="M432" s="8">
        <f t="shared" si="4"/>
        <v>3.119388122</v>
      </c>
      <c r="N432" s="8">
        <f t="shared" si="5"/>
        <v>0.6238776244</v>
      </c>
      <c r="O432" s="8">
        <f t="shared" si="6"/>
        <v>2.0530308</v>
      </c>
      <c r="P432" s="8">
        <f t="shared" si="7"/>
        <v>3.0795462</v>
      </c>
      <c r="Q432" s="8">
        <f t="shared" si="8"/>
        <v>1.0265154</v>
      </c>
      <c r="R432" s="57"/>
      <c r="S432" s="57"/>
      <c r="T432" s="57"/>
      <c r="U432" s="57"/>
      <c r="V432" s="57"/>
      <c r="W432" s="57"/>
      <c r="X432" s="57"/>
      <c r="Y432" s="57"/>
      <c r="Z432" s="17"/>
    </row>
    <row r="433" ht="34.5" customHeight="1">
      <c r="A433" s="54" t="s">
        <v>485</v>
      </c>
      <c r="B433" s="34" t="s">
        <v>486</v>
      </c>
      <c r="C433" s="34" t="s">
        <v>487</v>
      </c>
      <c r="D433" s="34" t="s">
        <v>489</v>
      </c>
      <c r="E433" s="34">
        <v>72.0</v>
      </c>
      <c r="F433" s="35">
        <v>17.17</v>
      </c>
      <c r="G433" s="34">
        <v>3.0</v>
      </c>
      <c r="H433" s="35">
        <v>65.45</v>
      </c>
      <c r="I433" s="35">
        <v>93.91</v>
      </c>
      <c r="J433" s="36">
        <f t="shared" si="9"/>
        <v>65.60136</v>
      </c>
      <c r="K433" s="36">
        <f t="shared" si="10"/>
        <v>59.6376</v>
      </c>
      <c r="L433" s="8">
        <f t="shared" si="3"/>
        <v>0.6040916712</v>
      </c>
      <c r="M433" s="8">
        <f t="shared" si="4"/>
        <v>0.1812275014</v>
      </c>
      <c r="N433" s="8">
        <f t="shared" si="5"/>
        <v>0.03624550027</v>
      </c>
      <c r="O433" s="8">
        <f t="shared" si="6"/>
        <v>0.1192752</v>
      </c>
      <c r="P433" s="8">
        <f t="shared" si="7"/>
        <v>0.1789128</v>
      </c>
      <c r="Q433" s="8">
        <f t="shared" si="8"/>
        <v>0.0596376</v>
      </c>
      <c r="R433" s="57"/>
      <c r="S433" s="57"/>
      <c r="T433" s="57"/>
      <c r="U433" s="57"/>
      <c r="V433" s="57"/>
      <c r="W433" s="57"/>
      <c r="X433" s="57"/>
      <c r="Y433" s="57"/>
      <c r="Z433" s="17"/>
    </row>
    <row r="434" ht="34.5" customHeight="1">
      <c r="A434" s="54" t="s">
        <v>485</v>
      </c>
      <c r="B434" s="34" t="s">
        <v>486</v>
      </c>
      <c r="C434" s="34" t="s">
        <v>487</v>
      </c>
      <c r="D434" s="34" t="s">
        <v>490</v>
      </c>
      <c r="E434" s="34">
        <v>204.0</v>
      </c>
      <c r="F434" s="35">
        <v>38.16</v>
      </c>
      <c r="G434" s="34">
        <v>5.0</v>
      </c>
      <c r="H434" s="35">
        <v>18.68</v>
      </c>
      <c r="I434" s="35">
        <v>18.68</v>
      </c>
      <c r="J434" s="36">
        <f t="shared" si="9"/>
        <v>138.76896</v>
      </c>
      <c r="K434" s="36">
        <f t="shared" si="10"/>
        <v>126.1536</v>
      </c>
      <c r="L434" s="8">
        <f t="shared" si="3"/>
        <v>1.277857242</v>
      </c>
      <c r="M434" s="8">
        <f t="shared" si="4"/>
        <v>0.3833571726</v>
      </c>
      <c r="N434" s="8">
        <f t="shared" si="5"/>
        <v>0.07667143452</v>
      </c>
      <c r="O434" s="8">
        <f t="shared" si="6"/>
        <v>0.2523072</v>
      </c>
      <c r="P434" s="8">
        <f t="shared" si="7"/>
        <v>0.3784608</v>
      </c>
      <c r="Q434" s="8">
        <f t="shared" si="8"/>
        <v>0.1261536</v>
      </c>
      <c r="R434" s="57"/>
      <c r="S434" s="57"/>
      <c r="T434" s="57"/>
      <c r="U434" s="57"/>
      <c r="V434" s="57"/>
      <c r="W434" s="57"/>
      <c r="X434" s="57"/>
      <c r="Y434" s="57"/>
      <c r="Z434" s="17"/>
    </row>
    <row r="435" ht="34.5" customHeight="1">
      <c r="A435" s="54" t="s">
        <v>485</v>
      </c>
      <c r="B435" s="34" t="s">
        <v>486</v>
      </c>
      <c r="C435" s="34" t="s">
        <v>487</v>
      </c>
      <c r="D435" s="34" t="s">
        <v>491</v>
      </c>
      <c r="E435" s="34">
        <v>104.0</v>
      </c>
      <c r="F435" s="35">
        <v>17.48</v>
      </c>
      <c r="G435" s="34">
        <v>3.0</v>
      </c>
      <c r="H435" s="35">
        <v>100.0</v>
      </c>
      <c r="I435" s="35">
        <v>100.0</v>
      </c>
      <c r="J435" s="36">
        <f t="shared" si="9"/>
        <v>94.40288</v>
      </c>
      <c r="K435" s="36">
        <f t="shared" si="10"/>
        <v>85.8208</v>
      </c>
      <c r="L435" s="8">
        <f t="shared" si="3"/>
        <v>0.8693111476</v>
      </c>
      <c r="M435" s="8">
        <f t="shared" si="4"/>
        <v>0.2607933443</v>
      </c>
      <c r="N435" s="8">
        <f t="shared" si="5"/>
        <v>0.05215866886</v>
      </c>
      <c r="O435" s="8">
        <f t="shared" si="6"/>
        <v>0.1716416</v>
      </c>
      <c r="P435" s="8">
        <f t="shared" si="7"/>
        <v>0.2574624</v>
      </c>
      <c r="Q435" s="8">
        <f t="shared" si="8"/>
        <v>0.0858208</v>
      </c>
      <c r="R435" s="57"/>
      <c r="S435" s="57"/>
      <c r="T435" s="57"/>
      <c r="U435" s="57"/>
      <c r="V435" s="57"/>
      <c r="W435" s="57"/>
      <c r="X435" s="57"/>
      <c r="Y435" s="57"/>
      <c r="Z435" s="17"/>
    </row>
    <row r="436" ht="34.5" customHeight="1">
      <c r="A436" s="54" t="s">
        <v>485</v>
      </c>
      <c r="B436" s="34" t="s">
        <v>486</v>
      </c>
      <c r="C436" s="34" t="s">
        <v>487</v>
      </c>
      <c r="D436" s="34" t="s">
        <v>492</v>
      </c>
      <c r="E436" s="34">
        <v>431.0</v>
      </c>
      <c r="F436" s="35">
        <v>40.27</v>
      </c>
      <c r="G436" s="34">
        <v>7.0</v>
      </c>
      <c r="H436" s="35">
        <v>84.58</v>
      </c>
      <c r="I436" s="35">
        <v>100.0</v>
      </c>
      <c r="J436" s="36">
        <f t="shared" si="9"/>
        <v>283.17993</v>
      </c>
      <c r="K436" s="36">
        <f t="shared" si="10"/>
        <v>257.4363</v>
      </c>
      <c r="L436" s="8">
        <f t="shared" si="3"/>
        <v>2.607669066</v>
      </c>
      <c r="M436" s="8">
        <f t="shared" si="4"/>
        <v>0.7823007199</v>
      </c>
      <c r="N436" s="8">
        <f t="shared" si="5"/>
        <v>0.156460144</v>
      </c>
      <c r="O436" s="8">
        <f t="shared" si="6"/>
        <v>0.5148726</v>
      </c>
      <c r="P436" s="8">
        <f t="shared" si="7"/>
        <v>0.7723089</v>
      </c>
      <c r="Q436" s="8">
        <f t="shared" si="8"/>
        <v>0.2574363</v>
      </c>
      <c r="R436" s="57"/>
      <c r="S436" s="57"/>
      <c r="T436" s="57"/>
      <c r="U436" s="57"/>
      <c r="V436" s="57"/>
      <c r="W436" s="57"/>
      <c r="X436" s="57"/>
      <c r="Y436" s="57"/>
      <c r="Z436" s="17"/>
    </row>
    <row r="437" ht="34.5" customHeight="1">
      <c r="A437" s="54" t="s">
        <v>485</v>
      </c>
      <c r="B437" s="34" t="s">
        <v>486</v>
      </c>
      <c r="C437" s="34" t="s">
        <v>487</v>
      </c>
      <c r="D437" s="34" t="s">
        <v>493</v>
      </c>
      <c r="E437" s="34">
        <v>90.0</v>
      </c>
      <c r="F437" s="35">
        <v>25.6</v>
      </c>
      <c r="G437" s="34">
        <v>3.0</v>
      </c>
      <c r="H437" s="35">
        <v>92.51</v>
      </c>
      <c r="I437" s="35">
        <v>92.51</v>
      </c>
      <c r="J437" s="36">
        <f t="shared" si="9"/>
        <v>73.656</v>
      </c>
      <c r="K437" s="36">
        <f t="shared" si="10"/>
        <v>66.96</v>
      </c>
      <c r="L437" s="8">
        <f t="shared" si="3"/>
        <v>0.6782630137</v>
      </c>
      <c r="M437" s="8">
        <f t="shared" si="4"/>
        <v>0.2034789041</v>
      </c>
      <c r="N437" s="8">
        <f t="shared" si="5"/>
        <v>0.04069578082</v>
      </c>
      <c r="O437" s="8">
        <f t="shared" si="6"/>
        <v>0.13392</v>
      </c>
      <c r="P437" s="8">
        <f t="shared" si="7"/>
        <v>0.20088</v>
      </c>
      <c r="Q437" s="8">
        <f t="shared" si="8"/>
        <v>0.06696</v>
      </c>
      <c r="R437" s="57"/>
      <c r="S437" s="57"/>
      <c r="T437" s="57"/>
      <c r="U437" s="57"/>
      <c r="V437" s="57"/>
      <c r="W437" s="57"/>
      <c r="X437" s="57"/>
      <c r="Y437" s="57"/>
      <c r="Z437" s="17"/>
    </row>
    <row r="438" ht="34.5" customHeight="1">
      <c r="A438" s="54" t="s">
        <v>485</v>
      </c>
      <c r="B438" s="34" t="s">
        <v>486</v>
      </c>
      <c r="C438" s="34" t="s">
        <v>487</v>
      </c>
      <c r="D438" s="34" t="s">
        <v>494</v>
      </c>
      <c r="E438" s="34">
        <v>47.0</v>
      </c>
      <c r="F438" s="35">
        <v>22.34</v>
      </c>
      <c r="G438" s="34">
        <v>2.0</v>
      </c>
      <c r="H438" s="35">
        <v>99.58</v>
      </c>
      <c r="I438" s="35">
        <v>99.58</v>
      </c>
      <c r="J438" s="36">
        <f t="shared" si="9"/>
        <v>40.15022</v>
      </c>
      <c r="K438" s="36">
        <f t="shared" si="10"/>
        <v>36.5002</v>
      </c>
      <c r="L438" s="8">
        <f t="shared" si="3"/>
        <v>0.3697242481</v>
      </c>
      <c r="M438" s="8">
        <f t="shared" si="4"/>
        <v>0.1109172744</v>
      </c>
      <c r="N438" s="8">
        <f t="shared" si="5"/>
        <v>0.02218345489</v>
      </c>
      <c r="O438" s="8">
        <f t="shared" si="6"/>
        <v>0.0730004</v>
      </c>
      <c r="P438" s="8">
        <f t="shared" si="7"/>
        <v>0.1095006</v>
      </c>
      <c r="Q438" s="8">
        <f t="shared" si="8"/>
        <v>0.0365002</v>
      </c>
      <c r="R438" s="57"/>
      <c r="S438" s="57"/>
      <c r="T438" s="57"/>
      <c r="U438" s="57"/>
      <c r="V438" s="57"/>
      <c r="W438" s="57"/>
      <c r="X438" s="57"/>
      <c r="Y438" s="57"/>
      <c r="Z438" s="17"/>
    </row>
    <row r="439" ht="34.5" customHeight="1">
      <c r="A439" s="54" t="s">
        <v>485</v>
      </c>
      <c r="B439" s="34" t="s">
        <v>486</v>
      </c>
      <c r="C439" s="34" t="s">
        <v>487</v>
      </c>
      <c r="D439" s="34" t="s">
        <v>495</v>
      </c>
      <c r="E439" s="34">
        <v>665.0</v>
      </c>
      <c r="F439" s="35">
        <v>38.57</v>
      </c>
      <c r="G439" s="34">
        <v>9.0</v>
      </c>
      <c r="H439" s="35">
        <v>44.09</v>
      </c>
      <c r="I439" s="35">
        <v>100.0</v>
      </c>
      <c r="J439" s="36">
        <f t="shared" si="9"/>
        <v>449.36045</v>
      </c>
      <c r="K439" s="36">
        <f t="shared" si="10"/>
        <v>408.5095</v>
      </c>
      <c r="L439" s="8">
        <f t="shared" si="3"/>
        <v>4.137946305</v>
      </c>
      <c r="M439" s="8">
        <f t="shared" si="4"/>
        <v>1.241383892</v>
      </c>
      <c r="N439" s="8">
        <f t="shared" si="5"/>
        <v>0.2482767783</v>
      </c>
      <c r="O439" s="8">
        <f t="shared" si="6"/>
        <v>0.817019</v>
      </c>
      <c r="P439" s="8">
        <f t="shared" si="7"/>
        <v>1.2255285</v>
      </c>
      <c r="Q439" s="8">
        <f t="shared" si="8"/>
        <v>0.4085095</v>
      </c>
      <c r="R439" s="57"/>
      <c r="S439" s="57"/>
      <c r="T439" s="57"/>
      <c r="U439" s="57"/>
      <c r="V439" s="57"/>
      <c r="W439" s="57"/>
      <c r="X439" s="57"/>
      <c r="Y439" s="57"/>
      <c r="Z439" s="17"/>
    </row>
    <row r="440" ht="34.5" customHeight="1">
      <c r="A440" s="54" t="s">
        <v>485</v>
      </c>
      <c r="B440" s="34" t="s">
        <v>486</v>
      </c>
      <c r="C440" s="34" t="s">
        <v>487</v>
      </c>
      <c r="D440" s="34" t="s">
        <v>496</v>
      </c>
      <c r="E440" s="34">
        <v>151.0</v>
      </c>
      <c r="F440" s="35">
        <v>26.38</v>
      </c>
      <c r="G440" s="34">
        <v>3.0</v>
      </c>
      <c r="H440" s="35">
        <v>59.16</v>
      </c>
      <c r="I440" s="35">
        <v>59.16</v>
      </c>
      <c r="J440" s="36">
        <f t="shared" si="9"/>
        <v>122.28282</v>
      </c>
      <c r="K440" s="36">
        <f t="shared" si="10"/>
        <v>111.1662</v>
      </c>
      <c r="L440" s="8">
        <f t="shared" si="3"/>
        <v>1.126044233</v>
      </c>
      <c r="M440" s="8">
        <f t="shared" si="4"/>
        <v>0.3378132699</v>
      </c>
      <c r="N440" s="8">
        <f t="shared" si="5"/>
        <v>0.06756265397</v>
      </c>
      <c r="O440" s="8">
        <f t="shared" si="6"/>
        <v>0.2223324</v>
      </c>
      <c r="P440" s="8">
        <f t="shared" si="7"/>
        <v>0.3334986</v>
      </c>
      <c r="Q440" s="8">
        <f t="shared" si="8"/>
        <v>0.1111662</v>
      </c>
      <c r="R440" s="57"/>
      <c r="S440" s="57"/>
      <c r="T440" s="57"/>
      <c r="U440" s="57"/>
      <c r="V440" s="57"/>
      <c r="W440" s="57"/>
      <c r="X440" s="57"/>
      <c r="Y440" s="57"/>
      <c r="Z440" s="17"/>
    </row>
    <row r="441" ht="34.5" customHeight="1">
      <c r="A441" s="54" t="s">
        <v>485</v>
      </c>
      <c r="B441" s="34" t="s">
        <v>486</v>
      </c>
      <c r="C441" s="34" t="s">
        <v>497</v>
      </c>
      <c r="D441" s="34" t="s">
        <v>498</v>
      </c>
      <c r="E441" s="34">
        <v>783.0</v>
      </c>
      <c r="F441" s="35">
        <v>35.84</v>
      </c>
      <c r="G441" s="34">
        <v>17.0</v>
      </c>
      <c r="H441" s="35">
        <v>57.87</v>
      </c>
      <c r="I441" s="35">
        <v>57.87</v>
      </c>
      <c r="J441" s="36">
        <f t="shared" si="9"/>
        <v>552.61008</v>
      </c>
      <c r="K441" s="36">
        <f t="shared" si="10"/>
        <v>502.3728</v>
      </c>
      <c r="L441" s="8">
        <f t="shared" si="3"/>
        <v>5.088722959</v>
      </c>
      <c r="M441" s="8">
        <f t="shared" si="4"/>
        <v>1.526616888</v>
      </c>
      <c r="N441" s="8">
        <f t="shared" si="5"/>
        <v>0.3053233775</v>
      </c>
      <c r="O441" s="8">
        <f t="shared" si="6"/>
        <v>1.0047456</v>
      </c>
      <c r="P441" s="8">
        <f t="shared" si="7"/>
        <v>1.5071184</v>
      </c>
      <c r="Q441" s="8">
        <f t="shared" si="8"/>
        <v>0.5023728</v>
      </c>
      <c r="R441" s="57"/>
      <c r="S441" s="57"/>
      <c r="T441" s="57"/>
      <c r="U441" s="57"/>
      <c r="V441" s="57"/>
      <c r="W441" s="57"/>
      <c r="X441" s="57"/>
      <c r="Y441" s="57"/>
      <c r="Z441" s="17"/>
    </row>
    <row r="442" ht="34.5" customHeight="1">
      <c r="A442" s="54" t="s">
        <v>485</v>
      </c>
      <c r="B442" s="34" t="s">
        <v>486</v>
      </c>
      <c r="C442" s="34" t="s">
        <v>497</v>
      </c>
      <c r="D442" s="34" t="s">
        <v>499</v>
      </c>
      <c r="E442" s="34">
        <v>185.0</v>
      </c>
      <c r="F442" s="35">
        <v>27.9</v>
      </c>
      <c r="G442" s="34">
        <v>9.0</v>
      </c>
      <c r="H442" s="35">
        <v>90.75</v>
      </c>
      <c r="I442" s="35">
        <v>100.0</v>
      </c>
      <c r="J442" s="36">
        <f t="shared" si="9"/>
        <v>146.7235</v>
      </c>
      <c r="K442" s="36">
        <f t="shared" si="10"/>
        <v>133.385</v>
      </c>
      <c r="L442" s="8">
        <f t="shared" si="3"/>
        <v>1.351106811</v>
      </c>
      <c r="M442" s="8">
        <f t="shared" si="4"/>
        <v>0.4053320434</v>
      </c>
      <c r="N442" s="8">
        <f t="shared" si="5"/>
        <v>0.08106640868</v>
      </c>
      <c r="O442" s="8">
        <f t="shared" si="6"/>
        <v>0.26677</v>
      </c>
      <c r="P442" s="8">
        <f t="shared" si="7"/>
        <v>0.400155</v>
      </c>
      <c r="Q442" s="8">
        <f t="shared" si="8"/>
        <v>0.133385</v>
      </c>
      <c r="R442" s="57"/>
      <c r="S442" s="57"/>
      <c r="T442" s="57"/>
      <c r="U442" s="57"/>
      <c r="V442" s="57"/>
      <c r="W442" s="57"/>
      <c r="X442" s="57"/>
      <c r="Y442" s="57"/>
      <c r="Z442" s="17"/>
    </row>
    <row r="443" ht="34.5" customHeight="1">
      <c r="A443" s="54" t="s">
        <v>485</v>
      </c>
      <c r="B443" s="34" t="s">
        <v>486</v>
      </c>
      <c r="C443" s="34" t="s">
        <v>497</v>
      </c>
      <c r="D443" s="34" t="s">
        <v>500</v>
      </c>
      <c r="E443" s="34">
        <v>72.0</v>
      </c>
      <c r="F443" s="35">
        <v>14.68</v>
      </c>
      <c r="G443" s="34">
        <v>3.0</v>
      </c>
      <c r="H443" s="35">
        <v>100.0</v>
      </c>
      <c r="I443" s="35">
        <v>100.0</v>
      </c>
      <c r="J443" s="36">
        <f t="shared" si="9"/>
        <v>67.57344</v>
      </c>
      <c r="K443" s="36">
        <f t="shared" si="10"/>
        <v>61.4304</v>
      </c>
      <c r="L443" s="8">
        <f t="shared" si="3"/>
        <v>0.6222516164</v>
      </c>
      <c r="M443" s="8">
        <f t="shared" si="4"/>
        <v>0.1866754849</v>
      </c>
      <c r="N443" s="8">
        <f t="shared" si="5"/>
        <v>0.03733509699</v>
      </c>
      <c r="O443" s="8">
        <f t="shared" si="6"/>
        <v>0.1228608</v>
      </c>
      <c r="P443" s="8">
        <f t="shared" si="7"/>
        <v>0.1842912</v>
      </c>
      <c r="Q443" s="8">
        <f t="shared" si="8"/>
        <v>0.0614304</v>
      </c>
      <c r="R443" s="57"/>
      <c r="S443" s="57"/>
      <c r="T443" s="57"/>
      <c r="U443" s="57"/>
      <c r="V443" s="57"/>
      <c r="W443" s="57"/>
      <c r="X443" s="57"/>
      <c r="Y443" s="57"/>
      <c r="Z443" s="17"/>
    </row>
    <row r="444" ht="34.5" customHeight="1">
      <c r="A444" s="54" t="s">
        <v>485</v>
      </c>
      <c r="B444" s="34" t="s">
        <v>486</v>
      </c>
      <c r="C444" s="34" t="s">
        <v>497</v>
      </c>
      <c r="D444" s="34" t="s">
        <v>501</v>
      </c>
      <c r="E444" s="34">
        <v>60.0</v>
      </c>
      <c r="F444" s="35">
        <v>19.09</v>
      </c>
      <c r="G444" s="34">
        <v>3.0</v>
      </c>
      <c r="H444" s="35">
        <v>100.0</v>
      </c>
      <c r="I444" s="35">
        <v>100.0</v>
      </c>
      <c r="J444" s="36">
        <f t="shared" si="9"/>
        <v>53.4006</v>
      </c>
      <c r="K444" s="36">
        <f t="shared" si="10"/>
        <v>48.546</v>
      </c>
      <c r="L444" s="8">
        <f t="shared" si="3"/>
        <v>0.4917406849</v>
      </c>
      <c r="M444" s="8">
        <f t="shared" si="4"/>
        <v>0.1475222055</v>
      </c>
      <c r="N444" s="8">
        <f t="shared" si="5"/>
        <v>0.0295044411</v>
      </c>
      <c r="O444" s="8">
        <f t="shared" si="6"/>
        <v>0.097092</v>
      </c>
      <c r="P444" s="8">
        <f t="shared" si="7"/>
        <v>0.145638</v>
      </c>
      <c r="Q444" s="8">
        <f t="shared" si="8"/>
        <v>0.048546</v>
      </c>
      <c r="R444" s="57"/>
      <c r="S444" s="57"/>
      <c r="T444" s="57"/>
      <c r="U444" s="57"/>
      <c r="V444" s="57"/>
      <c r="W444" s="57"/>
      <c r="X444" s="57"/>
      <c r="Y444" s="57"/>
      <c r="Z444" s="17"/>
    </row>
    <row r="445" ht="34.5" customHeight="1">
      <c r="A445" s="54" t="s">
        <v>485</v>
      </c>
      <c r="B445" s="34" t="s">
        <v>486</v>
      </c>
      <c r="C445" s="34" t="s">
        <v>497</v>
      </c>
      <c r="D445" s="34" t="s">
        <v>502</v>
      </c>
      <c r="E445" s="34">
        <v>28.0</v>
      </c>
      <c r="F445" s="35">
        <v>17.76</v>
      </c>
      <c r="G445" s="34">
        <v>1.0</v>
      </c>
      <c r="H445" s="35">
        <v>100.0</v>
      </c>
      <c r="I445" s="35">
        <v>100.0</v>
      </c>
      <c r="J445" s="36">
        <f t="shared" si="9"/>
        <v>25.32992</v>
      </c>
      <c r="K445" s="36">
        <f t="shared" si="10"/>
        <v>23.0272</v>
      </c>
      <c r="L445" s="8">
        <f t="shared" si="3"/>
        <v>0.2332511659</v>
      </c>
      <c r="M445" s="8">
        <f t="shared" si="4"/>
        <v>0.06997534977</v>
      </c>
      <c r="N445" s="8">
        <f t="shared" si="5"/>
        <v>0.01399506995</v>
      </c>
      <c r="O445" s="8">
        <f t="shared" si="6"/>
        <v>0.0460544</v>
      </c>
      <c r="P445" s="8">
        <f t="shared" si="7"/>
        <v>0.0690816</v>
      </c>
      <c r="Q445" s="8">
        <f t="shared" si="8"/>
        <v>0.0230272</v>
      </c>
      <c r="R445" s="57"/>
      <c r="S445" s="57"/>
      <c r="T445" s="57"/>
      <c r="U445" s="57"/>
      <c r="V445" s="57"/>
      <c r="W445" s="57"/>
      <c r="X445" s="57"/>
      <c r="Y445" s="57"/>
      <c r="Z445" s="17"/>
    </row>
    <row r="446" ht="34.5" customHeight="1">
      <c r="A446" s="54" t="s">
        <v>485</v>
      </c>
      <c r="B446" s="34" t="s">
        <v>486</v>
      </c>
      <c r="C446" s="34" t="s">
        <v>497</v>
      </c>
      <c r="D446" s="34" t="s">
        <v>503</v>
      </c>
      <c r="E446" s="34">
        <v>95.0</v>
      </c>
      <c r="F446" s="35">
        <v>26.41</v>
      </c>
      <c r="G446" s="34">
        <v>4.0</v>
      </c>
      <c r="H446" s="35">
        <v>100.0</v>
      </c>
      <c r="I446" s="35">
        <v>100.0</v>
      </c>
      <c r="J446" s="36">
        <f t="shared" si="9"/>
        <v>76.90155</v>
      </c>
      <c r="K446" s="36">
        <f t="shared" si="10"/>
        <v>69.9105</v>
      </c>
      <c r="L446" s="8">
        <f t="shared" si="3"/>
        <v>0.7081497374</v>
      </c>
      <c r="M446" s="8">
        <f t="shared" si="4"/>
        <v>0.2124449212</v>
      </c>
      <c r="N446" s="8">
        <f t="shared" si="5"/>
        <v>0.04248898425</v>
      </c>
      <c r="O446" s="8">
        <f t="shared" si="6"/>
        <v>0.139821</v>
      </c>
      <c r="P446" s="8">
        <f t="shared" si="7"/>
        <v>0.2097315</v>
      </c>
      <c r="Q446" s="8">
        <f t="shared" si="8"/>
        <v>0.0699105</v>
      </c>
      <c r="R446" s="57"/>
      <c r="S446" s="57"/>
      <c r="T446" s="57"/>
      <c r="U446" s="57"/>
      <c r="V446" s="57"/>
      <c r="W446" s="57"/>
      <c r="X446" s="57"/>
      <c r="Y446" s="57"/>
      <c r="Z446" s="17"/>
    </row>
    <row r="447" ht="34.5" customHeight="1">
      <c r="A447" s="54" t="s">
        <v>485</v>
      </c>
      <c r="B447" s="34" t="s">
        <v>486</v>
      </c>
      <c r="C447" s="34" t="s">
        <v>497</v>
      </c>
      <c r="D447" s="34" t="s">
        <v>504</v>
      </c>
      <c r="E447" s="34">
        <v>186.0</v>
      </c>
      <c r="F447" s="35">
        <v>37.13</v>
      </c>
      <c r="G447" s="34">
        <v>5.0</v>
      </c>
      <c r="H447" s="35">
        <v>36.51</v>
      </c>
      <c r="I447" s="35">
        <v>36.51</v>
      </c>
      <c r="J447" s="36">
        <f t="shared" si="9"/>
        <v>128.63202</v>
      </c>
      <c r="K447" s="36">
        <f t="shared" si="10"/>
        <v>116.9382</v>
      </c>
      <c r="L447" s="8">
        <f t="shared" si="3"/>
        <v>1.184510991</v>
      </c>
      <c r="M447" s="8">
        <f t="shared" si="4"/>
        <v>0.3553532973</v>
      </c>
      <c r="N447" s="8">
        <f t="shared" si="5"/>
        <v>0.07107065945</v>
      </c>
      <c r="O447" s="8">
        <f t="shared" si="6"/>
        <v>0.2338764</v>
      </c>
      <c r="P447" s="8">
        <f t="shared" si="7"/>
        <v>0.3508146</v>
      </c>
      <c r="Q447" s="8">
        <f t="shared" si="8"/>
        <v>0.1169382</v>
      </c>
      <c r="R447" s="57"/>
      <c r="S447" s="57"/>
      <c r="T447" s="57"/>
      <c r="U447" s="57"/>
      <c r="V447" s="57"/>
      <c r="W447" s="57"/>
      <c r="X447" s="57"/>
      <c r="Y447" s="57"/>
      <c r="Z447" s="17"/>
    </row>
    <row r="448" ht="34.5" customHeight="1">
      <c r="A448" s="54" t="s">
        <v>485</v>
      </c>
      <c r="B448" s="38" t="s">
        <v>486</v>
      </c>
      <c r="C448" s="38" t="s">
        <v>497</v>
      </c>
      <c r="D448" s="38" t="s">
        <v>505</v>
      </c>
      <c r="E448" s="34">
        <v>92.0</v>
      </c>
      <c r="F448" s="35">
        <v>14.05</v>
      </c>
      <c r="G448" s="34">
        <v>1.0</v>
      </c>
      <c r="H448" s="35">
        <v>0.0</v>
      </c>
      <c r="I448" s="35">
        <v>0.0</v>
      </c>
      <c r="J448" s="36">
        <f t="shared" si="9"/>
        <v>86.9814</v>
      </c>
      <c r="K448" s="36">
        <f t="shared" si="10"/>
        <v>79.074</v>
      </c>
      <c r="L448" s="8">
        <f t="shared" si="3"/>
        <v>0.800970274</v>
      </c>
      <c r="M448" s="8">
        <f t="shared" si="4"/>
        <v>0.2402910822</v>
      </c>
      <c r="N448" s="8">
        <f t="shared" si="5"/>
        <v>0.04805821644</v>
      </c>
      <c r="O448" s="8">
        <f t="shared" si="6"/>
        <v>0.158148</v>
      </c>
      <c r="P448" s="8">
        <f t="shared" si="7"/>
        <v>0.237222</v>
      </c>
      <c r="Q448" s="8">
        <f t="shared" si="8"/>
        <v>0.079074</v>
      </c>
      <c r="R448" s="57"/>
      <c r="S448" s="57"/>
      <c r="T448" s="57"/>
      <c r="U448" s="57"/>
      <c r="V448" s="57"/>
      <c r="W448" s="57"/>
      <c r="X448" s="57"/>
      <c r="Y448" s="57"/>
      <c r="Z448" s="17"/>
    </row>
    <row r="449" ht="34.5" customHeight="1">
      <c r="A449" s="24" t="s">
        <v>485</v>
      </c>
      <c r="B449" s="72" t="s">
        <v>506</v>
      </c>
      <c r="C449" s="50" t="s">
        <v>507</v>
      </c>
      <c r="D449" s="50" t="s">
        <v>508</v>
      </c>
      <c r="E449" s="50">
        <v>155.0</v>
      </c>
      <c r="F449" s="49">
        <v>36.14</v>
      </c>
      <c r="G449" s="50">
        <v>7.0</v>
      </c>
      <c r="H449" s="49">
        <v>100.0</v>
      </c>
      <c r="I449" s="49">
        <v>100.0</v>
      </c>
      <c r="J449" s="51">
        <f t="shared" si="9"/>
        <v>108.8813</v>
      </c>
      <c r="K449" s="51">
        <f t="shared" si="10"/>
        <v>98.983</v>
      </c>
      <c r="L449" s="8">
        <f t="shared" si="3"/>
        <v>1.00263602</v>
      </c>
      <c r="M449" s="8">
        <f t="shared" si="4"/>
        <v>0.3007908059</v>
      </c>
      <c r="N449" s="8">
        <f t="shared" si="5"/>
        <v>0.06015816119</v>
      </c>
      <c r="O449" s="8">
        <f t="shared" si="6"/>
        <v>0.197966</v>
      </c>
      <c r="P449" s="8">
        <f t="shared" si="7"/>
        <v>0.296949</v>
      </c>
      <c r="Q449" s="8">
        <f t="shared" si="8"/>
        <v>0.098983</v>
      </c>
      <c r="R449" s="57"/>
      <c r="S449" s="57"/>
      <c r="T449" s="57"/>
      <c r="U449" s="57"/>
      <c r="V449" s="57"/>
      <c r="W449" s="57"/>
      <c r="X449" s="57"/>
      <c r="Y449" s="57"/>
      <c r="Z449" s="73"/>
    </row>
    <row r="450" ht="34.5" customHeight="1">
      <c r="A450" s="24" t="s">
        <v>485</v>
      </c>
      <c r="B450" s="50" t="s">
        <v>506</v>
      </c>
      <c r="C450" s="50" t="s">
        <v>507</v>
      </c>
      <c r="D450" s="50" t="s">
        <v>509</v>
      </c>
      <c r="E450" s="50">
        <v>330.0</v>
      </c>
      <c r="F450" s="49">
        <v>35.05</v>
      </c>
      <c r="G450" s="50">
        <v>10.0</v>
      </c>
      <c r="H450" s="49">
        <v>41.86</v>
      </c>
      <c r="I450" s="49">
        <v>60.06</v>
      </c>
      <c r="J450" s="51">
        <v>269.07551000000007</v>
      </c>
      <c r="K450" s="51">
        <v>244.61410000000004</v>
      </c>
      <c r="L450" s="8">
        <f t="shared" si="3"/>
        <v>2.477788182</v>
      </c>
      <c r="M450" s="8">
        <f t="shared" si="4"/>
        <v>0.7433364546</v>
      </c>
      <c r="N450" s="8">
        <f t="shared" si="5"/>
        <v>0.1486672909</v>
      </c>
      <c r="O450" s="8">
        <f t="shared" si="6"/>
        <v>0.4892282</v>
      </c>
      <c r="P450" s="8">
        <f t="shared" si="7"/>
        <v>0.7338423</v>
      </c>
      <c r="Q450" s="8">
        <f t="shared" si="8"/>
        <v>0.2446141</v>
      </c>
      <c r="R450" s="57"/>
      <c r="S450" s="57"/>
      <c r="T450" s="57"/>
      <c r="U450" s="57"/>
      <c r="V450" s="57"/>
      <c r="W450" s="57"/>
      <c r="X450" s="57"/>
      <c r="Y450" s="57"/>
      <c r="Z450" s="73"/>
    </row>
    <row r="451" ht="34.5" customHeight="1">
      <c r="A451" s="24" t="s">
        <v>485</v>
      </c>
      <c r="B451" s="50" t="s">
        <v>506</v>
      </c>
      <c r="C451" s="50" t="s">
        <v>507</v>
      </c>
      <c r="D451" s="50" t="s">
        <v>510</v>
      </c>
      <c r="E451" s="50">
        <v>437.0</v>
      </c>
      <c r="F451" s="49">
        <v>50.02</v>
      </c>
      <c r="G451" s="50">
        <v>4.0</v>
      </c>
      <c r="H451" s="49">
        <v>31.34</v>
      </c>
      <c r="I451" s="49">
        <v>55.19</v>
      </c>
      <c r="J451" s="51">
        <v>262.28048</v>
      </c>
      <c r="K451" s="51">
        <v>238.4368</v>
      </c>
      <c r="L451" s="8">
        <f t="shared" si="3"/>
        <v>2.415215988</v>
      </c>
      <c r="M451" s="8">
        <f t="shared" si="4"/>
        <v>0.7245647963</v>
      </c>
      <c r="N451" s="8">
        <f t="shared" si="5"/>
        <v>0.1449129593</v>
      </c>
      <c r="O451" s="8">
        <f t="shared" si="6"/>
        <v>0.4768736</v>
      </c>
      <c r="P451" s="8">
        <f t="shared" si="7"/>
        <v>0.7153104</v>
      </c>
      <c r="Q451" s="8">
        <f t="shared" si="8"/>
        <v>0.2384368</v>
      </c>
      <c r="R451" s="57"/>
      <c r="S451" s="57"/>
      <c r="T451" s="57"/>
      <c r="U451" s="57"/>
      <c r="V451" s="57"/>
      <c r="W451" s="57"/>
      <c r="X451" s="57"/>
      <c r="Y451" s="57"/>
      <c r="Z451" s="73"/>
    </row>
    <row r="452" ht="34.5" customHeight="1">
      <c r="A452" s="24" t="s">
        <v>485</v>
      </c>
      <c r="B452" s="50" t="s">
        <v>506</v>
      </c>
      <c r="C452" s="50" t="s">
        <v>507</v>
      </c>
      <c r="D452" s="50" t="s">
        <v>511</v>
      </c>
      <c r="E452" s="50">
        <v>70.0</v>
      </c>
      <c r="F452" s="49">
        <v>35.67</v>
      </c>
      <c r="G452" s="50">
        <v>4.0</v>
      </c>
      <c r="H452" s="49">
        <v>92.84</v>
      </c>
      <c r="I452" s="49">
        <v>100.0</v>
      </c>
      <c r="J452" s="51">
        <v>57.630320000000005</v>
      </c>
      <c r="K452" s="51">
        <v>52.3912</v>
      </c>
      <c r="L452" s="8">
        <f t="shared" si="3"/>
        <v>0.5306901613</v>
      </c>
      <c r="M452" s="8">
        <f t="shared" si="4"/>
        <v>0.1592070484</v>
      </c>
      <c r="N452" s="8">
        <f t="shared" si="5"/>
        <v>0.03184140968</v>
      </c>
      <c r="O452" s="8">
        <f t="shared" si="6"/>
        <v>0.1047824</v>
      </c>
      <c r="P452" s="8">
        <f t="shared" si="7"/>
        <v>0.1571736</v>
      </c>
      <c r="Q452" s="8">
        <f t="shared" si="8"/>
        <v>0.0523912</v>
      </c>
      <c r="R452" s="57"/>
      <c r="S452" s="57"/>
      <c r="T452" s="57"/>
      <c r="U452" s="57"/>
      <c r="V452" s="57"/>
      <c r="W452" s="57"/>
      <c r="X452" s="57"/>
      <c r="Y452" s="57"/>
      <c r="Z452" s="73"/>
    </row>
    <row r="453" ht="34.5" customHeight="1">
      <c r="A453" s="24" t="s">
        <v>485</v>
      </c>
      <c r="B453" s="50" t="s">
        <v>506</v>
      </c>
      <c r="C453" s="50" t="s">
        <v>507</v>
      </c>
      <c r="D453" s="50" t="s">
        <v>512</v>
      </c>
      <c r="E453" s="50">
        <v>132.0</v>
      </c>
      <c r="F453" s="49">
        <v>37.98</v>
      </c>
      <c r="G453" s="50">
        <v>4.0</v>
      </c>
      <c r="H453" s="49">
        <v>100.0</v>
      </c>
      <c r="I453" s="49">
        <v>100.0</v>
      </c>
      <c r="J453" s="51">
        <v>85.95741</v>
      </c>
      <c r="K453" s="51">
        <v>78.14309999999999</v>
      </c>
      <c r="L453" s="8">
        <f t="shared" si="3"/>
        <v>0.7915408379</v>
      </c>
      <c r="M453" s="8">
        <f t="shared" si="4"/>
        <v>0.2374622514</v>
      </c>
      <c r="N453" s="8">
        <f t="shared" si="5"/>
        <v>0.04749245027</v>
      </c>
      <c r="O453" s="8">
        <f t="shared" si="6"/>
        <v>0.1562862</v>
      </c>
      <c r="P453" s="8">
        <f t="shared" si="7"/>
        <v>0.2344293</v>
      </c>
      <c r="Q453" s="8">
        <f t="shared" si="8"/>
        <v>0.0781431</v>
      </c>
      <c r="R453" s="57"/>
      <c r="S453" s="57"/>
      <c r="T453" s="57"/>
      <c r="U453" s="57"/>
      <c r="V453" s="57"/>
      <c r="W453" s="57"/>
      <c r="X453" s="57"/>
      <c r="Y453" s="57"/>
      <c r="Z453" s="73"/>
    </row>
    <row r="454" ht="34.5" customHeight="1">
      <c r="A454" s="24" t="s">
        <v>485</v>
      </c>
      <c r="B454" s="50" t="s">
        <v>506</v>
      </c>
      <c r="C454" s="50" t="s">
        <v>507</v>
      </c>
      <c r="D454" s="50" t="s">
        <v>513</v>
      </c>
      <c r="E454" s="50">
        <v>569.0</v>
      </c>
      <c r="F454" s="49">
        <v>36.03</v>
      </c>
      <c r="G454" s="50">
        <v>11.0</v>
      </c>
      <c r="H454" s="49">
        <v>59.84</v>
      </c>
      <c r="I454" s="49">
        <v>69.67</v>
      </c>
      <c r="J454" s="51">
        <v>384.00417000000004</v>
      </c>
      <c r="K454" s="51">
        <v>349.0947</v>
      </c>
      <c r="L454" s="8">
        <f t="shared" si="3"/>
        <v>3.536111459</v>
      </c>
      <c r="M454" s="8">
        <f t="shared" si="4"/>
        <v>1.060833438</v>
      </c>
      <c r="N454" s="8">
        <f t="shared" si="5"/>
        <v>0.2121666875</v>
      </c>
      <c r="O454" s="8">
        <f t="shared" si="6"/>
        <v>0.6981894</v>
      </c>
      <c r="P454" s="8">
        <f t="shared" si="7"/>
        <v>1.0472841</v>
      </c>
      <c r="Q454" s="8">
        <f t="shared" si="8"/>
        <v>0.3490947</v>
      </c>
      <c r="R454" s="57"/>
      <c r="S454" s="57"/>
      <c r="T454" s="57"/>
      <c r="U454" s="57"/>
      <c r="V454" s="57"/>
      <c r="W454" s="57"/>
      <c r="X454" s="57"/>
      <c r="Y454" s="57"/>
      <c r="Z454" s="73"/>
    </row>
    <row r="455" ht="34.5" customHeight="1">
      <c r="A455" s="24" t="s">
        <v>485</v>
      </c>
      <c r="B455" s="50" t="s">
        <v>506</v>
      </c>
      <c r="C455" s="50" t="s">
        <v>514</v>
      </c>
      <c r="D455" s="50" t="s">
        <v>515</v>
      </c>
      <c r="E455" s="50">
        <v>67.0</v>
      </c>
      <c r="F455" s="49">
        <v>33.39</v>
      </c>
      <c r="G455" s="50">
        <v>3.0</v>
      </c>
      <c r="H455" s="49">
        <v>100.0</v>
      </c>
      <c r="I455" s="49">
        <v>100.0</v>
      </c>
      <c r="J455" s="51">
        <v>54.53976000000001</v>
      </c>
      <c r="K455" s="51">
        <v>49.5816</v>
      </c>
      <c r="L455" s="8">
        <f t="shared" si="3"/>
        <v>0.5022306667</v>
      </c>
      <c r="M455" s="8">
        <f t="shared" si="4"/>
        <v>0.1506692</v>
      </c>
      <c r="N455" s="8">
        <f t="shared" si="5"/>
        <v>0.03013384</v>
      </c>
      <c r="O455" s="8">
        <f t="shared" si="6"/>
        <v>0.0991632</v>
      </c>
      <c r="P455" s="8">
        <f t="shared" si="7"/>
        <v>0.1487448</v>
      </c>
      <c r="Q455" s="8">
        <f t="shared" si="8"/>
        <v>0.0495816</v>
      </c>
      <c r="R455" s="57"/>
      <c r="S455" s="57"/>
      <c r="T455" s="57"/>
      <c r="U455" s="57"/>
      <c r="V455" s="57"/>
      <c r="W455" s="57"/>
      <c r="X455" s="57"/>
      <c r="Y455" s="57"/>
      <c r="Z455" s="73"/>
    </row>
    <row r="456" ht="34.5" customHeight="1">
      <c r="A456" s="24" t="s">
        <v>485</v>
      </c>
      <c r="B456" s="50" t="s">
        <v>506</v>
      </c>
      <c r="C456" s="50" t="s">
        <v>514</v>
      </c>
      <c r="D456" s="50" t="s">
        <v>516</v>
      </c>
      <c r="E456" s="50">
        <v>39.0</v>
      </c>
      <c r="F456" s="49">
        <v>35.72</v>
      </c>
      <c r="G456" s="50">
        <v>1.0</v>
      </c>
      <c r="H456" s="49">
        <v>76.99</v>
      </c>
      <c r="I456" s="49">
        <v>76.99</v>
      </c>
      <c r="J456" s="51">
        <v>34.6445</v>
      </c>
      <c r="K456" s="51">
        <v>31.495</v>
      </c>
      <c r="L456" s="8">
        <f t="shared" si="3"/>
        <v>0.3190246956</v>
      </c>
      <c r="M456" s="8">
        <f t="shared" si="4"/>
        <v>0.09570740868</v>
      </c>
      <c r="N456" s="8">
        <f t="shared" si="5"/>
        <v>0.01914148174</v>
      </c>
      <c r="O456" s="8">
        <f t="shared" si="6"/>
        <v>0.06299</v>
      </c>
      <c r="P456" s="8">
        <f t="shared" si="7"/>
        <v>0.094485</v>
      </c>
      <c r="Q456" s="8">
        <f t="shared" si="8"/>
        <v>0.031495</v>
      </c>
      <c r="R456" s="57"/>
      <c r="S456" s="57"/>
      <c r="T456" s="57"/>
      <c r="U456" s="57"/>
      <c r="V456" s="57"/>
      <c r="W456" s="57"/>
      <c r="X456" s="57"/>
      <c r="Y456" s="57"/>
      <c r="Z456" s="73"/>
    </row>
    <row r="457" ht="34.5" customHeight="1">
      <c r="A457" s="24" t="s">
        <v>485</v>
      </c>
      <c r="B457" s="50" t="s">
        <v>506</v>
      </c>
      <c r="C457" s="50" t="s">
        <v>514</v>
      </c>
      <c r="D457" s="50" t="s">
        <v>517</v>
      </c>
      <c r="E457" s="50">
        <v>185.0</v>
      </c>
      <c r="F457" s="49">
        <v>27.5</v>
      </c>
      <c r="G457" s="50">
        <v>7.0</v>
      </c>
      <c r="H457" s="49">
        <v>65.03</v>
      </c>
      <c r="I457" s="49">
        <v>100.0</v>
      </c>
      <c r="J457" s="51">
        <v>157.72185000000005</v>
      </c>
      <c r="K457" s="51">
        <v>143.38350000000003</v>
      </c>
      <c r="L457" s="8">
        <f t="shared" si="3"/>
        <v>1.452385377</v>
      </c>
      <c r="M457" s="8">
        <f t="shared" si="4"/>
        <v>0.435715613</v>
      </c>
      <c r="N457" s="8">
        <f t="shared" si="5"/>
        <v>0.0871431226</v>
      </c>
      <c r="O457" s="8">
        <f t="shared" si="6"/>
        <v>0.286767</v>
      </c>
      <c r="P457" s="8">
        <f t="shared" si="7"/>
        <v>0.4301505</v>
      </c>
      <c r="Q457" s="8">
        <f t="shared" si="8"/>
        <v>0.1433835</v>
      </c>
      <c r="R457" s="57"/>
      <c r="S457" s="57"/>
      <c r="T457" s="57"/>
      <c r="U457" s="57"/>
      <c r="V457" s="57"/>
      <c r="W457" s="57"/>
      <c r="X457" s="57"/>
      <c r="Y457" s="57"/>
      <c r="Z457" s="73"/>
    </row>
    <row r="458" ht="34.5" customHeight="1">
      <c r="A458" s="24" t="s">
        <v>485</v>
      </c>
      <c r="B458" s="50" t="s">
        <v>506</v>
      </c>
      <c r="C458" s="50" t="s">
        <v>514</v>
      </c>
      <c r="D458" s="50" t="s">
        <v>518</v>
      </c>
      <c r="E458" s="50">
        <v>265.0</v>
      </c>
      <c r="F458" s="49">
        <v>34.95</v>
      </c>
      <c r="G458" s="50">
        <v>6.0</v>
      </c>
      <c r="H458" s="49">
        <v>34.01</v>
      </c>
      <c r="I458" s="49">
        <v>43.87</v>
      </c>
      <c r="J458" s="51">
        <v>213.52485000000004</v>
      </c>
      <c r="K458" s="51">
        <v>194.11350000000002</v>
      </c>
      <c r="L458" s="8">
        <f t="shared" si="3"/>
        <v>1.966248619</v>
      </c>
      <c r="M458" s="8">
        <f t="shared" si="4"/>
        <v>0.5898745856</v>
      </c>
      <c r="N458" s="8">
        <f t="shared" si="5"/>
        <v>0.1179749171</v>
      </c>
      <c r="O458" s="8">
        <f t="shared" si="6"/>
        <v>0.388227</v>
      </c>
      <c r="P458" s="8">
        <f t="shared" si="7"/>
        <v>0.5823405</v>
      </c>
      <c r="Q458" s="8">
        <f t="shared" si="8"/>
        <v>0.1941135</v>
      </c>
      <c r="R458" s="57"/>
      <c r="S458" s="57"/>
      <c r="T458" s="57"/>
      <c r="U458" s="57"/>
      <c r="V458" s="57"/>
      <c r="W458" s="57"/>
      <c r="X458" s="57"/>
      <c r="Y458" s="57"/>
      <c r="Z458" s="73"/>
    </row>
    <row r="459" ht="34.5" customHeight="1">
      <c r="A459" s="24" t="s">
        <v>485</v>
      </c>
      <c r="B459" s="50" t="s">
        <v>506</v>
      </c>
      <c r="C459" s="50" t="s">
        <v>514</v>
      </c>
      <c r="D459" s="50" t="s">
        <v>519</v>
      </c>
      <c r="E459" s="50">
        <v>412.0</v>
      </c>
      <c r="F459" s="49">
        <v>37.08</v>
      </c>
      <c r="G459" s="50">
        <v>10.0</v>
      </c>
      <c r="H459" s="49">
        <v>65.99</v>
      </c>
      <c r="I459" s="49">
        <v>95.83</v>
      </c>
      <c r="J459" s="51">
        <v>344.17955</v>
      </c>
      <c r="K459" s="51">
        <v>312.8905</v>
      </c>
      <c r="L459" s="8">
        <f t="shared" si="3"/>
        <v>3.169385506</v>
      </c>
      <c r="M459" s="8">
        <f t="shared" si="4"/>
        <v>0.9508156518</v>
      </c>
      <c r="N459" s="8">
        <f t="shared" si="5"/>
        <v>0.1901631304</v>
      </c>
      <c r="O459" s="8">
        <f t="shared" si="6"/>
        <v>0.625781</v>
      </c>
      <c r="P459" s="8">
        <f t="shared" si="7"/>
        <v>0.9386715</v>
      </c>
      <c r="Q459" s="8">
        <f t="shared" si="8"/>
        <v>0.3128905</v>
      </c>
      <c r="R459" s="57"/>
      <c r="S459" s="57"/>
      <c r="T459" s="57"/>
      <c r="U459" s="57"/>
      <c r="V459" s="57"/>
      <c r="W459" s="57"/>
      <c r="X459" s="57"/>
      <c r="Y459" s="57"/>
      <c r="Z459" s="73"/>
    </row>
    <row r="460" ht="34.5" customHeight="1">
      <c r="A460" s="24" t="s">
        <v>485</v>
      </c>
      <c r="B460" s="50" t="s">
        <v>506</v>
      </c>
      <c r="C460" s="50" t="s">
        <v>514</v>
      </c>
      <c r="D460" s="50" t="s">
        <v>520</v>
      </c>
      <c r="E460" s="50">
        <v>204.0</v>
      </c>
      <c r="F460" s="49">
        <v>34.86</v>
      </c>
      <c r="G460" s="50">
        <v>7.0</v>
      </c>
      <c r="H460" s="49">
        <v>31.04</v>
      </c>
      <c r="I460" s="49">
        <v>66.81</v>
      </c>
      <c r="J460" s="51">
        <v>197.15256000000002</v>
      </c>
      <c r="K460" s="51">
        <v>179.2296</v>
      </c>
      <c r="L460" s="8">
        <f t="shared" si="3"/>
        <v>1.815484</v>
      </c>
      <c r="M460" s="8">
        <f t="shared" si="4"/>
        <v>0.5446452</v>
      </c>
      <c r="N460" s="8">
        <f t="shared" si="5"/>
        <v>0.10892904</v>
      </c>
      <c r="O460" s="8">
        <f t="shared" si="6"/>
        <v>0.3584592</v>
      </c>
      <c r="P460" s="8">
        <f t="shared" si="7"/>
        <v>0.5376888</v>
      </c>
      <c r="Q460" s="8">
        <f t="shared" si="8"/>
        <v>0.1792296</v>
      </c>
      <c r="R460" s="57"/>
      <c r="S460" s="57"/>
      <c r="T460" s="57"/>
      <c r="U460" s="57"/>
      <c r="V460" s="57"/>
      <c r="W460" s="57"/>
      <c r="X460" s="57"/>
      <c r="Y460" s="57"/>
      <c r="Z460" s="73"/>
    </row>
    <row r="461" ht="34.5" customHeight="1">
      <c r="A461" s="24" t="s">
        <v>485</v>
      </c>
      <c r="B461" s="50" t="s">
        <v>506</v>
      </c>
      <c r="C461" s="50" t="s">
        <v>521</v>
      </c>
      <c r="D461" s="50" t="s">
        <v>522</v>
      </c>
      <c r="E461" s="50">
        <v>94.0</v>
      </c>
      <c r="F461" s="49">
        <v>17.83</v>
      </c>
      <c r="G461" s="50">
        <v>3.0</v>
      </c>
      <c r="H461" s="49">
        <v>79.94</v>
      </c>
      <c r="I461" s="49">
        <v>100.0</v>
      </c>
      <c r="J461" s="51">
        <v>91.54288000000001</v>
      </c>
      <c r="K461" s="51">
        <v>83.2208</v>
      </c>
      <c r="L461" s="8">
        <f t="shared" si="3"/>
        <v>0.8429747702</v>
      </c>
      <c r="M461" s="8">
        <f t="shared" si="4"/>
        <v>0.2528924311</v>
      </c>
      <c r="N461" s="8">
        <f t="shared" si="5"/>
        <v>0.05057848621</v>
      </c>
      <c r="O461" s="8">
        <f t="shared" si="6"/>
        <v>0.1664416</v>
      </c>
      <c r="P461" s="8">
        <f t="shared" si="7"/>
        <v>0.2496624</v>
      </c>
      <c r="Q461" s="8">
        <f t="shared" si="8"/>
        <v>0.0832208</v>
      </c>
      <c r="R461" s="57"/>
      <c r="S461" s="57"/>
      <c r="T461" s="57"/>
      <c r="U461" s="57"/>
      <c r="V461" s="57"/>
      <c r="W461" s="57"/>
      <c r="X461" s="57"/>
      <c r="Y461" s="57"/>
      <c r="Z461" s="73"/>
    </row>
    <row r="462" ht="34.5" customHeight="1">
      <c r="A462" s="24" t="s">
        <v>485</v>
      </c>
      <c r="B462" s="50" t="s">
        <v>506</v>
      </c>
      <c r="C462" s="50" t="s">
        <v>521</v>
      </c>
      <c r="D462" s="50" t="s">
        <v>506</v>
      </c>
      <c r="E462" s="74">
        <v>4254.0</v>
      </c>
      <c r="F462" s="49">
        <v>33.34</v>
      </c>
      <c r="G462" s="50">
        <v>22.0</v>
      </c>
      <c r="H462" s="49">
        <v>8.79</v>
      </c>
      <c r="I462" s="49">
        <v>20.47</v>
      </c>
      <c r="J462" s="51">
        <v>3240.51156</v>
      </c>
      <c r="K462" s="51">
        <v>2945.9195999999997</v>
      </c>
      <c r="L462" s="8">
        <f t="shared" si="3"/>
        <v>29.84032715</v>
      </c>
      <c r="M462" s="8">
        <f t="shared" si="4"/>
        <v>8.952098145</v>
      </c>
      <c r="N462" s="8">
        <f t="shared" si="5"/>
        <v>1.790419629</v>
      </c>
      <c r="O462" s="8">
        <f t="shared" si="6"/>
        <v>5.8918392</v>
      </c>
      <c r="P462" s="8">
        <f t="shared" si="7"/>
        <v>8.8377588</v>
      </c>
      <c r="Q462" s="8">
        <f t="shared" si="8"/>
        <v>2.9459196</v>
      </c>
      <c r="R462" s="57"/>
      <c r="S462" s="57"/>
      <c r="T462" s="57"/>
      <c r="U462" s="57"/>
      <c r="V462" s="57"/>
      <c r="W462" s="57"/>
      <c r="X462" s="57"/>
      <c r="Y462" s="57"/>
      <c r="Z462" s="73"/>
    </row>
    <row r="463" ht="34.5" customHeight="1">
      <c r="A463" s="24" t="s">
        <v>485</v>
      </c>
      <c r="B463" s="50" t="s">
        <v>506</v>
      </c>
      <c r="C463" s="50" t="s">
        <v>521</v>
      </c>
      <c r="D463" s="50" t="s">
        <v>523</v>
      </c>
      <c r="E463" s="50">
        <v>62.0</v>
      </c>
      <c r="F463" s="49">
        <v>17.82</v>
      </c>
      <c r="G463" s="50">
        <v>2.0</v>
      </c>
      <c r="H463" s="49">
        <v>100.0</v>
      </c>
      <c r="I463" s="49">
        <v>100.0</v>
      </c>
      <c r="J463" s="51">
        <v>65.98669</v>
      </c>
      <c r="K463" s="51">
        <v>59.987899999999996</v>
      </c>
      <c r="L463" s="8">
        <f t="shared" si="3"/>
        <v>0.6076399916</v>
      </c>
      <c r="M463" s="8">
        <f t="shared" si="4"/>
        <v>0.1822919975</v>
      </c>
      <c r="N463" s="8">
        <f t="shared" si="5"/>
        <v>0.0364583995</v>
      </c>
      <c r="O463" s="8">
        <f t="shared" si="6"/>
        <v>0.1199758</v>
      </c>
      <c r="P463" s="8">
        <f t="shared" si="7"/>
        <v>0.1799637</v>
      </c>
      <c r="Q463" s="8">
        <f t="shared" si="8"/>
        <v>0.0599879</v>
      </c>
      <c r="R463" s="57"/>
      <c r="S463" s="57"/>
      <c r="T463" s="57"/>
      <c r="U463" s="57"/>
      <c r="V463" s="57"/>
      <c r="W463" s="57"/>
      <c r="X463" s="57"/>
      <c r="Y463" s="57"/>
      <c r="Z463" s="73"/>
    </row>
    <row r="464" ht="34.5" customHeight="1">
      <c r="A464" s="24" t="s">
        <v>485</v>
      </c>
      <c r="B464" s="50" t="s">
        <v>506</v>
      </c>
      <c r="C464" s="50" t="s">
        <v>521</v>
      </c>
      <c r="D464" s="50" t="s">
        <v>524</v>
      </c>
      <c r="E464" s="50">
        <v>44.0</v>
      </c>
      <c r="F464" s="49">
        <v>15.91</v>
      </c>
      <c r="G464" s="50">
        <v>2.0</v>
      </c>
      <c r="H464" s="49">
        <v>100.0</v>
      </c>
      <c r="I464" s="49">
        <v>100.0</v>
      </c>
      <c r="J464" s="51">
        <v>38.383950000000006</v>
      </c>
      <c r="K464" s="51">
        <v>34.8945</v>
      </c>
      <c r="L464" s="8">
        <f t="shared" si="3"/>
        <v>0.3534595091</v>
      </c>
      <c r="M464" s="8">
        <f t="shared" si="4"/>
        <v>0.1060378527</v>
      </c>
      <c r="N464" s="8">
        <f t="shared" si="5"/>
        <v>0.02120757055</v>
      </c>
      <c r="O464" s="8">
        <f t="shared" si="6"/>
        <v>0.069789</v>
      </c>
      <c r="P464" s="8">
        <f t="shared" si="7"/>
        <v>0.1046835</v>
      </c>
      <c r="Q464" s="8">
        <f t="shared" si="8"/>
        <v>0.0348945</v>
      </c>
      <c r="R464" s="57"/>
      <c r="S464" s="57"/>
      <c r="T464" s="57"/>
      <c r="U464" s="57"/>
      <c r="V464" s="57"/>
      <c r="W464" s="57"/>
      <c r="X464" s="57"/>
      <c r="Y464" s="57"/>
      <c r="Z464" s="73"/>
    </row>
    <row r="465" ht="34.5" customHeight="1">
      <c r="A465" s="24" t="s">
        <v>485</v>
      </c>
      <c r="B465" s="50" t="s">
        <v>506</v>
      </c>
      <c r="C465" s="50" t="s">
        <v>521</v>
      </c>
      <c r="D465" s="50" t="s">
        <v>525</v>
      </c>
      <c r="E465" s="50">
        <v>172.0</v>
      </c>
      <c r="F465" s="49">
        <v>21.33</v>
      </c>
      <c r="G465" s="50">
        <v>6.0</v>
      </c>
      <c r="H465" s="49">
        <v>70.55</v>
      </c>
      <c r="I465" s="49">
        <v>70.55</v>
      </c>
      <c r="J465" s="51">
        <v>154.85822</v>
      </c>
      <c r="K465" s="51">
        <v>140.78019999999998</v>
      </c>
      <c r="L465" s="8">
        <f t="shared" si="3"/>
        <v>1.426015572</v>
      </c>
      <c r="M465" s="8">
        <f t="shared" si="4"/>
        <v>0.4278046717</v>
      </c>
      <c r="N465" s="8">
        <f t="shared" si="5"/>
        <v>0.08556093434</v>
      </c>
      <c r="O465" s="8">
        <f t="shared" si="6"/>
        <v>0.2815604</v>
      </c>
      <c r="P465" s="8">
        <f t="shared" si="7"/>
        <v>0.4223406</v>
      </c>
      <c r="Q465" s="8">
        <f t="shared" si="8"/>
        <v>0.1407802</v>
      </c>
      <c r="R465" s="57"/>
      <c r="S465" s="57"/>
      <c r="T465" s="57"/>
      <c r="U465" s="57"/>
      <c r="V465" s="57"/>
      <c r="W465" s="57"/>
      <c r="X465" s="57"/>
      <c r="Y465" s="57"/>
      <c r="Z465" s="73"/>
    </row>
    <row r="466" ht="34.5" customHeight="1">
      <c r="A466" s="24" t="s">
        <v>485</v>
      </c>
      <c r="B466" s="50" t="s">
        <v>506</v>
      </c>
      <c r="C466" s="50" t="s">
        <v>521</v>
      </c>
      <c r="D466" s="50" t="s">
        <v>526</v>
      </c>
      <c r="E466" s="50">
        <v>198.0</v>
      </c>
      <c r="F466" s="49">
        <v>21.73</v>
      </c>
      <c r="G466" s="50">
        <v>7.0</v>
      </c>
      <c r="H466" s="49">
        <v>100.0</v>
      </c>
      <c r="I466" s="49">
        <v>100.0</v>
      </c>
      <c r="J466" s="51">
        <v>164.483</v>
      </c>
      <c r="K466" s="51">
        <v>149.53</v>
      </c>
      <c r="L466" s="8">
        <f t="shared" si="3"/>
        <v>1.514645586</v>
      </c>
      <c r="M466" s="8">
        <f t="shared" si="4"/>
        <v>0.4543936758</v>
      </c>
      <c r="N466" s="8">
        <f t="shared" si="5"/>
        <v>0.09087873516</v>
      </c>
      <c r="O466" s="8">
        <f t="shared" si="6"/>
        <v>0.29906</v>
      </c>
      <c r="P466" s="8">
        <f t="shared" si="7"/>
        <v>0.44859</v>
      </c>
      <c r="Q466" s="8">
        <f t="shared" si="8"/>
        <v>0.14953</v>
      </c>
      <c r="R466" s="57"/>
      <c r="S466" s="57"/>
      <c r="T466" s="57"/>
      <c r="U466" s="57"/>
      <c r="V466" s="57"/>
      <c r="W466" s="57"/>
      <c r="X466" s="57"/>
      <c r="Y466" s="57"/>
      <c r="Z466" s="73"/>
    </row>
    <row r="467" ht="34.5" customHeight="1">
      <c r="A467" s="24" t="s">
        <v>485</v>
      </c>
      <c r="B467" s="50" t="s">
        <v>506</v>
      </c>
      <c r="C467" s="50" t="s">
        <v>521</v>
      </c>
      <c r="D467" s="50" t="s">
        <v>527</v>
      </c>
      <c r="E467" s="50">
        <v>77.0</v>
      </c>
      <c r="F467" s="49">
        <v>20.58</v>
      </c>
      <c r="G467" s="50">
        <v>2.0</v>
      </c>
      <c r="H467" s="49">
        <v>90.87</v>
      </c>
      <c r="I467" s="49">
        <v>100.0</v>
      </c>
      <c r="J467" s="51">
        <v>108.4479</v>
      </c>
      <c r="K467" s="51">
        <v>98.589</v>
      </c>
      <c r="L467" s="8">
        <f t="shared" si="3"/>
        <v>0.9986450457</v>
      </c>
      <c r="M467" s="8">
        <f t="shared" si="4"/>
        <v>0.2995935137</v>
      </c>
      <c r="N467" s="8">
        <f t="shared" si="5"/>
        <v>0.05991870274</v>
      </c>
      <c r="O467" s="8">
        <f t="shared" si="6"/>
        <v>0.197178</v>
      </c>
      <c r="P467" s="8">
        <f t="shared" si="7"/>
        <v>0.295767</v>
      </c>
      <c r="Q467" s="8">
        <f t="shared" si="8"/>
        <v>0.098589</v>
      </c>
      <c r="R467" s="57"/>
      <c r="S467" s="57"/>
      <c r="T467" s="57"/>
      <c r="U467" s="57"/>
      <c r="V467" s="57"/>
      <c r="W467" s="57"/>
      <c r="X467" s="57"/>
      <c r="Y467" s="57"/>
      <c r="Z467" s="73"/>
    </row>
    <row r="468" ht="34.5" customHeight="1">
      <c r="A468" s="24" t="s">
        <v>485</v>
      </c>
      <c r="B468" s="50" t="s">
        <v>506</v>
      </c>
      <c r="C468" s="50" t="s">
        <v>521</v>
      </c>
      <c r="D468" s="50" t="s">
        <v>528</v>
      </c>
      <c r="E468" s="50">
        <v>45.0</v>
      </c>
      <c r="F468" s="49">
        <v>12.71</v>
      </c>
      <c r="G468" s="50">
        <v>2.0</v>
      </c>
      <c r="H468" s="49">
        <v>73.12</v>
      </c>
      <c r="I468" s="49">
        <v>73.12</v>
      </c>
      <c r="J468" s="51">
        <v>58.175700000000006</v>
      </c>
      <c r="K468" s="51">
        <v>52.887</v>
      </c>
      <c r="L468" s="8">
        <f t="shared" si="3"/>
        <v>0.5357123059</v>
      </c>
      <c r="M468" s="8">
        <f t="shared" si="4"/>
        <v>0.1607136918</v>
      </c>
      <c r="N468" s="8">
        <f t="shared" si="5"/>
        <v>0.03214273836</v>
      </c>
      <c r="O468" s="8">
        <f t="shared" si="6"/>
        <v>0.105774</v>
      </c>
      <c r="P468" s="8">
        <f t="shared" si="7"/>
        <v>0.158661</v>
      </c>
      <c r="Q468" s="8">
        <f t="shared" si="8"/>
        <v>0.052887</v>
      </c>
      <c r="R468" s="57"/>
      <c r="S468" s="57"/>
      <c r="T468" s="57"/>
      <c r="U468" s="57"/>
      <c r="V468" s="57"/>
      <c r="W468" s="57"/>
      <c r="X468" s="57"/>
      <c r="Y468" s="57"/>
      <c r="Z468" s="73"/>
    </row>
    <row r="469" ht="34.5" customHeight="1">
      <c r="A469" s="24" t="s">
        <v>485</v>
      </c>
      <c r="B469" s="50" t="s">
        <v>506</v>
      </c>
      <c r="C469" s="50" t="s">
        <v>521</v>
      </c>
      <c r="D469" s="50" t="s">
        <v>529</v>
      </c>
      <c r="E469" s="50">
        <v>45.0</v>
      </c>
      <c r="F469" s="49">
        <v>22.73</v>
      </c>
      <c r="G469" s="50">
        <v>1.0</v>
      </c>
      <c r="H469" s="49">
        <v>0.0</v>
      </c>
      <c r="I469" s="49">
        <v>82.67</v>
      </c>
      <c r="J469" s="51">
        <v>41.987</v>
      </c>
      <c r="K469" s="51">
        <v>38.17</v>
      </c>
      <c r="L469" s="8">
        <f t="shared" si="3"/>
        <v>0.3866382801</v>
      </c>
      <c r="M469" s="8">
        <f t="shared" si="4"/>
        <v>0.115991484</v>
      </c>
      <c r="N469" s="8">
        <f t="shared" si="5"/>
        <v>0.0231982968</v>
      </c>
      <c r="O469" s="8">
        <f t="shared" si="6"/>
        <v>0.07634</v>
      </c>
      <c r="P469" s="8">
        <f t="shared" si="7"/>
        <v>0.11451</v>
      </c>
      <c r="Q469" s="8">
        <f t="shared" si="8"/>
        <v>0.03817</v>
      </c>
      <c r="R469" s="57"/>
      <c r="S469" s="57"/>
      <c r="T469" s="57"/>
      <c r="U469" s="57"/>
      <c r="V469" s="57"/>
      <c r="W469" s="57"/>
      <c r="X469" s="57"/>
      <c r="Y469" s="57"/>
      <c r="Z469" s="73"/>
    </row>
    <row r="470" ht="34.5" customHeight="1">
      <c r="A470" s="24" t="s">
        <v>485</v>
      </c>
      <c r="B470" s="50" t="s">
        <v>506</v>
      </c>
      <c r="C470" s="50" t="s">
        <v>521</v>
      </c>
      <c r="D470" s="50" t="s">
        <v>530</v>
      </c>
      <c r="E470" s="50">
        <v>70.0</v>
      </c>
      <c r="F470" s="49">
        <v>15.74</v>
      </c>
      <c r="G470" s="50">
        <v>4.0</v>
      </c>
      <c r="H470" s="49">
        <v>77.28</v>
      </c>
      <c r="I470" s="49">
        <v>77.28</v>
      </c>
      <c r="J470" s="51">
        <v>79.12971</v>
      </c>
      <c r="K470" s="51">
        <v>71.9361</v>
      </c>
      <c r="L470" s="8">
        <f t="shared" si="3"/>
        <v>0.7286678014</v>
      </c>
      <c r="M470" s="8">
        <f t="shared" si="4"/>
        <v>0.2186003404</v>
      </c>
      <c r="N470" s="8">
        <f t="shared" si="5"/>
        <v>0.04372006808</v>
      </c>
      <c r="O470" s="8">
        <f t="shared" si="6"/>
        <v>0.1438722</v>
      </c>
      <c r="P470" s="8">
        <f t="shared" si="7"/>
        <v>0.2158083</v>
      </c>
      <c r="Q470" s="8">
        <f t="shared" si="8"/>
        <v>0.0719361</v>
      </c>
      <c r="R470" s="57"/>
      <c r="S470" s="57"/>
      <c r="T470" s="57"/>
      <c r="U470" s="57"/>
      <c r="V470" s="57"/>
      <c r="W470" s="57"/>
      <c r="X470" s="57"/>
      <c r="Y470" s="57"/>
      <c r="Z470" s="73"/>
    </row>
    <row r="471" ht="34.5" customHeight="1">
      <c r="A471" s="24" t="s">
        <v>485</v>
      </c>
      <c r="B471" s="50" t="s">
        <v>531</v>
      </c>
      <c r="C471" s="50" t="s">
        <v>532</v>
      </c>
      <c r="D471" s="50" t="s">
        <v>533</v>
      </c>
      <c r="E471" s="51">
        <v>353.0</v>
      </c>
      <c r="F471" s="49">
        <v>44.45</v>
      </c>
      <c r="G471" s="50">
        <v>6.0</v>
      </c>
      <c r="H471" s="49">
        <v>19.55</v>
      </c>
      <c r="I471" s="49">
        <v>52.7</v>
      </c>
      <c r="J471" s="51">
        <f t="shared" ref="J471:J647" si="11">(E471*(1-F471/100)*1.1)</f>
        <v>215.70065</v>
      </c>
      <c r="K471" s="51">
        <f t="shared" ref="K471:K647" si="12">E471*(1-F471/100)</f>
        <v>196.0915</v>
      </c>
      <c r="L471" s="8">
        <f t="shared" si="3"/>
        <v>1.986284524</v>
      </c>
      <c r="M471" s="8">
        <f t="shared" si="4"/>
        <v>0.5958853573</v>
      </c>
      <c r="N471" s="8">
        <f t="shared" si="5"/>
        <v>0.1191770715</v>
      </c>
      <c r="O471" s="8">
        <f t="shared" si="6"/>
        <v>0.392183</v>
      </c>
      <c r="P471" s="8">
        <f t="shared" si="7"/>
        <v>0.5882745</v>
      </c>
      <c r="Q471" s="8">
        <f t="shared" si="8"/>
        <v>0.1960915</v>
      </c>
      <c r="R471" s="57"/>
      <c r="S471" s="57"/>
      <c r="T471" s="57"/>
      <c r="U471" s="57"/>
      <c r="V471" s="57"/>
      <c r="W471" s="57"/>
      <c r="X471" s="57"/>
      <c r="Y471" s="57"/>
      <c r="Z471" s="61"/>
    </row>
    <row r="472" ht="34.5" customHeight="1">
      <c r="A472" s="24" t="s">
        <v>485</v>
      </c>
      <c r="B472" s="50" t="s">
        <v>531</v>
      </c>
      <c r="C472" s="50" t="s">
        <v>532</v>
      </c>
      <c r="D472" s="50" t="s">
        <v>534</v>
      </c>
      <c r="E472" s="51">
        <v>88.0</v>
      </c>
      <c r="F472" s="49">
        <v>27.84</v>
      </c>
      <c r="G472" s="50">
        <v>3.0</v>
      </c>
      <c r="H472" s="49">
        <v>90.13</v>
      </c>
      <c r="I472" s="49">
        <v>90.13</v>
      </c>
      <c r="J472" s="51">
        <f t="shared" si="11"/>
        <v>69.85088</v>
      </c>
      <c r="K472" s="51">
        <f t="shared" si="12"/>
        <v>63.5008</v>
      </c>
      <c r="L472" s="8">
        <f t="shared" si="3"/>
        <v>0.6432234764</v>
      </c>
      <c r="M472" s="8">
        <f t="shared" si="4"/>
        <v>0.1929670429</v>
      </c>
      <c r="N472" s="8">
        <f t="shared" si="5"/>
        <v>0.03859340858</v>
      </c>
      <c r="O472" s="8">
        <f t="shared" si="6"/>
        <v>0.1270016</v>
      </c>
      <c r="P472" s="8">
        <f t="shared" si="7"/>
        <v>0.1905024</v>
      </c>
      <c r="Q472" s="8">
        <f t="shared" si="8"/>
        <v>0.0635008</v>
      </c>
      <c r="R472" s="57"/>
      <c r="S472" s="57"/>
      <c r="T472" s="57"/>
      <c r="U472" s="57"/>
      <c r="V472" s="57"/>
      <c r="W472" s="57"/>
      <c r="X472" s="57"/>
      <c r="Y472" s="57"/>
      <c r="Z472" s="61"/>
    </row>
    <row r="473" ht="34.5" customHeight="1">
      <c r="A473" s="24" t="s">
        <v>485</v>
      </c>
      <c r="B473" s="50" t="s">
        <v>531</v>
      </c>
      <c r="C473" s="50" t="s">
        <v>532</v>
      </c>
      <c r="D473" s="50" t="s">
        <v>535</v>
      </c>
      <c r="E473" s="51">
        <v>475.0</v>
      </c>
      <c r="F473" s="49">
        <v>29.18</v>
      </c>
      <c r="G473" s="50">
        <v>10.0</v>
      </c>
      <c r="H473" s="49">
        <v>54.42</v>
      </c>
      <c r="I473" s="49">
        <v>100.0</v>
      </c>
      <c r="J473" s="51">
        <f t="shared" si="11"/>
        <v>370.0345</v>
      </c>
      <c r="K473" s="51">
        <f t="shared" si="12"/>
        <v>336.395</v>
      </c>
      <c r="L473" s="8">
        <f t="shared" si="3"/>
        <v>3.407471423</v>
      </c>
      <c r="M473" s="8">
        <f t="shared" si="4"/>
        <v>1.022241427</v>
      </c>
      <c r="N473" s="8">
        <f t="shared" si="5"/>
        <v>0.2044482854</v>
      </c>
      <c r="O473" s="8">
        <f t="shared" si="6"/>
        <v>0.67279</v>
      </c>
      <c r="P473" s="8">
        <f t="shared" si="7"/>
        <v>1.009185</v>
      </c>
      <c r="Q473" s="8">
        <f t="shared" si="8"/>
        <v>0.336395</v>
      </c>
      <c r="R473" s="57"/>
      <c r="S473" s="57"/>
      <c r="T473" s="57"/>
      <c r="U473" s="57"/>
      <c r="V473" s="57"/>
      <c r="W473" s="57"/>
      <c r="X473" s="57"/>
      <c r="Y473" s="57"/>
      <c r="Z473" s="61"/>
    </row>
    <row r="474" ht="34.5" customHeight="1">
      <c r="A474" s="24" t="s">
        <v>485</v>
      </c>
      <c r="B474" s="50" t="s">
        <v>531</v>
      </c>
      <c r="C474" s="50" t="s">
        <v>532</v>
      </c>
      <c r="D474" s="50" t="s">
        <v>536</v>
      </c>
      <c r="E474" s="51">
        <v>139.0</v>
      </c>
      <c r="F474" s="49">
        <v>41.03</v>
      </c>
      <c r="G474" s="50">
        <v>3.0</v>
      </c>
      <c r="H474" s="49">
        <v>0.0</v>
      </c>
      <c r="I474" s="49">
        <v>100.0</v>
      </c>
      <c r="J474" s="51">
        <f t="shared" si="11"/>
        <v>90.16513</v>
      </c>
      <c r="K474" s="51">
        <f t="shared" si="12"/>
        <v>81.9683</v>
      </c>
      <c r="L474" s="8">
        <f t="shared" si="3"/>
        <v>0.8302877268</v>
      </c>
      <c r="M474" s="8">
        <f t="shared" si="4"/>
        <v>0.249086318</v>
      </c>
      <c r="N474" s="8">
        <f t="shared" si="5"/>
        <v>0.04981726361</v>
      </c>
      <c r="O474" s="8">
        <f t="shared" si="6"/>
        <v>0.1639366</v>
      </c>
      <c r="P474" s="8">
        <f t="shared" si="7"/>
        <v>0.2459049</v>
      </c>
      <c r="Q474" s="8">
        <f t="shared" si="8"/>
        <v>0.0819683</v>
      </c>
      <c r="R474" s="57"/>
      <c r="S474" s="57"/>
      <c r="T474" s="57"/>
      <c r="U474" s="57"/>
      <c r="V474" s="57"/>
      <c r="W474" s="57"/>
      <c r="X474" s="57"/>
      <c r="Y474" s="57"/>
      <c r="Z474" s="61"/>
    </row>
    <row r="475" ht="34.5" customHeight="1">
      <c r="A475" s="24" t="s">
        <v>485</v>
      </c>
      <c r="B475" s="50" t="s">
        <v>531</v>
      </c>
      <c r="C475" s="50" t="s">
        <v>532</v>
      </c>
      <c r="D475" s="50" t="s">
        <v>531</v>
      </c>
      <c r="E475" s="51">
        <v>7500.0</v>
      </c>
      <c r="F475" s="49">
        <v>46.59</v>
      </c>
      <c r="G475" s="50">
        <v>46.0</v>
      </c>
      <c r="H475" s="49">
        <v>23.55</v>
      </c>
      <c r="I475" s="49">
        <v>63.9</v>
      </c>
      <c r="J475" s="51">
        <f t="shared" si="11"/>
        <v>4406.325</v>
      </c>
      <c r="K475" s="51">
        <f t="shared" si="12"/>
        <v>4005.75</v>
      </c>
      <c r="L475" s="8">
        <f t="shared" si="3"/>
        <v>40.57574772</v>
      </c>
      <c r="M475" s="8">
        <f t="shared" si="4"/>
        <v>12.17272432</v>
      </c>
      <c r="N475" s="8">
        <f t="shared" si="5"/>
        <v>2.434544863</v>
      </c>
      <c r="O475" s="8">
        <f t="shared" si="6"/>
        <v>8.0115</v>
      </c>
      <c r="P475" s="8">
        <f t="shared" si="7"/>
        <v>12.01725</v>
      </c>
      <c r="Q475" s="8">
        <f t="shared" si="8"/>
        <v>4.00575</v>
      </c>
      <c r="R475" s="57"/>
      <c r="S475" s="57"/>
      <c r="T475" s="57"/>
      <c r="U475" s="57"/>
      <c r="V475" s="57"/>
      <c r="W475" s="57"/>
      <c r="X475" s="57"/>
      <c r="Y475" s="57"/>
      <c r="Z475" s="61"/>
    </row>
    <row r="476" ht="34.5" customHeight="1">
      <c r="A476" s="24" t="s">
        <v>485</v>
      </c>
      <c r="B476" s="50" t="s">
        <v>531</v>
      </c>
      <c r="C476" s="50" t="s">
        <v>532</v>
      </c>
      <c r="D476" s="50" t="s">
        <v>537</v>
      </c>
      <c r="E476" s="51">
        <v>203.0</v>
      </c>
      <c r="F476" s="49">
        <v>36.42</v>
      </c>
      <c r="G476" s="50">
        <v>5.0</v>
      </c>
      <c r="H476" s="49">
        <v>25.04</v>
      </c>
      <c r="I476" s="49">
        <v>68.59</v>
      </c>
      <c r="J476" s="51">
        <f t="shared" si="11"/>
        <v>141.97414</v>
      </c>
      <c r="K476" s="51">
        <f t="shared" si="12"/>
        <v>129.0674</v>
      </c>
      <c r="L476" s="8">
        <f t="shared" si="3"/>
        <v>1.307372218</v>
      </c>
      <c r="M476" s="8">
        <f t="shared" si="4"/>
        <v>0.3922116653</v>
      </c>
      <c r="N476" s="8">
        <f t="shared" si="5"/>
        <v>0.07844233306</v>
      </c>
      <c r="O476" s="8">
        <f t="shared" si="6"/>
        <v>0.2581348</v>
      </c>
      <c r="P476" s="8">
        <f t="shared" si="7"/>
        <v>0.3872022</v>
      </c>
      <c r="Q476" s="8">
        <f t="shared" si="8"/>
        <v>0.1290674</v>
      </c>
      <c r="R476" s="57"/>
      <c r="S476" s="57"/>
      <c r="T476" s="57"/>
      <c r="U476" s="57"/>
      <c r="V476" s="57"/>
      <c r="W476" s="57"/>
      <c r="X476" s="57"/>
      <c r="Y476" s="57"/>
      <c r="Z476" s="61"/>
    </row>
    <row r="477" ht="34.5" customHeight="1">
      <c r="A477" s="24" t="s">
        <v>485</v>
      </c>
      <c r="B477" s="50" t="s">
        <v>531</v>
      </c>
      <c r="C477" s="50" t="s">
        <v>532</v>
      </c>
      <c r="D477" s="50" t="s">
        <v>538</v>
      </c>
      <c r="E477" s="51">
        <v>201.0</v>
      </c>
      <c r="F477" s="49">
        <v>34.65</v>
      </c>
      <c r="G477" s="50">
        <v>3.0</v>
      </c>
      <c r="H477" s="49">
        <v>26.0</v>
      </c>
      <c r="I477" s="49">
        <v>51.43</v>
      </c>
      <c r="J477" s="51">
        <f t="shared" si="11"/>
        <v>144.48885</v>
      </c>
      <c r="K477" s="51">
        <f t="shared" si="12"/>
        <v>131.3535</v>
      </c>
      <c r="L477" s="8">
        <f t="shared" si="3"/>
        <v>1.330528984</v>
      </c>
      <c r="M477" s="8">
        <f t="shared" si="4"/>
        <v>0.3991586952</v>
      </c>
      <c r="N477" s="8">
        <f t="shared" si="5"/>
        <v>0.07983173904</v>
      </c>
      <c r="O477" s="8">
        <f t="shared" si="6"/>
        <v>0.262707</v>
      </c>
      <c r="P477" s="8">
        <f t="shared" si="7"/>
        <v>0.3940605</v>
      </c>
      <c r="Q477" s="8">
        <f t="shared" si="8"/>
        <v>0.1313535</v>
      </c>
      <c r="R477" s="57"/>
      <c r="S477" s="57"/>
      <c r="T477" s="57"/>
      <c r="U477" s="57"/>
      <c r="V477" s="57"/>
      <c r="W477" s="57"/>
      <c r="X477" s="57"/>
      <c r="Y477" s="57"/>
      <c r="Z477" s="61"/>
    </row>
    <row r="478" ht="34.5" customHeight="1">
      <c r="A478" s="24" t="s">
        <v>485</v>
      </c>
      <c r="B478" s="50" t="s">
        <v>531</v>
      </c>
      <c r="C478" s="50" t="s">
        <v>532</v>
      </c>
      <c r="D478" s="50" t="s">
        <v>539</v>
      </c>
      <c r="E478" s="51">
        <v>126.0</v>
      </c>
      <c r="F478" s="49">
        <v>25.12</v>
      </c>
      <c r="G478" s="50">
        <v>3.0</v>
      </c>
      <c r="H478" s="49">
        <v>0.0</v>
      </c>
      <c r="I478" s="49">
        <v>100.0</v>
      </c>
      <c r="J478" s="51">
        <f t="shared" si="11"/>
        <v>103.78368</v>
      </c>
      <c r="K478" s="51">
        <f t="shared" si="12"/>
        <v>94.3488</v>
      </c>
      <c r="L478" s="8">
        <f t="shared" si="3"/>
        <v>0.9556944658</v>
      </c>
      <c r="M478" s="8">
        <f t="shared" si="4"/>
        <v>0.2867083397</v>
      </c>
      <c r="N478" s="8">
        <f t="shared" si="5"/>
        <v>0.05734166795</v>
      </c>
      <c r="O478" s="8">
        <f t="shared" si="6"/>
        <v>0.1886976</v>
      </c>
      <c r="P478" s="8">
        <f t="shared" si="7"/>
        <v>0.2830464</v>
      </c>
      <c r="Q478" s="8">
        <f t="shared" si="8"/>
        <v>0.0943488</v>
      </c>
      <c r="R478" s="57"/>
      <c r="S478" s="57"/>
      <c r="T478" s="57"/>
      <c r="U478" s="57"/>
      <c r="V478" s="57"/>
      <c r="W478" s="57"/>
      <c r="X478" s="57"/>
      <c r="Y478" s="57"/>
      <c r="Z478" s="61"/>
    </row>
    <row r="479" ht="34.5" customHeight="1">
      <c r="A479" s="24" t="s">
        <v>485</v>
      </c>
      <c r="B479" s="50" t="s">
        <v>531</v>
      </c>
      <c r="C479" s="50" t="s">
        <v>532</v>
      </c>
      <c r="D479" s="50" t="s">
        <v>540</v>
      </c>
      <c r="E479" s="51">
        <v>106.0</v>
      </c>
      <c r="F479" s="49">
        <v>12.17</v>
      </c>
      <c r="G479" s="50">
        <v>4.0</v>
      </c>
      <c r="H479" s="49">
        <v>70.59</v>
      </c>
      <c r="I479" s="49">
        <v>100.0</v>
      </c>
      <c r="J479" s="51">
        <f t="shared" si="11"/>
        <v>102.40978</v>
      </c>
      <c r="K479" s="51">
        <f t="shared" si="12"/>
        <v>93.0998</v>
      </c>
      <c r="L479" s="8">
        <f t="shared" si="3"/>
        <v>0.9430428752</v>
      </c>
      <c r="M479" s="8">
        <f t="shared" si="4"/>
        <v>0.2829128626</v>
      </c>
      <c r="N479" s="8">
        <f t="shared" si="5"/>
        <v>0.05658257251</v>
      </c>
      <c r="O479" s="8">
        <f t="shared" si="6"/>
        <v>0.1861996</v>
      </c>
      <c r="P479" s="8">
        <f t="shared" si="7"/>
        <v>0.2792994</v>
      </c>
      <c r="Q479" s="8">
        <f t="shared" si="8"/>
        <v>0.0930998</v>
      </c>
      <c r="R479" s="57"/>
      <c r="S479" s="57"/>
      <c r="T479" s="57"/>
      <c r="U479" s="57"/>
      <c r="V479" s="57"/>
      <c r="W479" s="57"/>
      <c r="X479" s="57"/>
      <c r="Y479" s="57"/>
      <c r="Z479" s="61"/>
    </row>
    <row r="480" ht="34.5" customHeight="1">
      <c r="A480" s="24" t="s">
        <v>485</v>
      </c>
      <c r="B480" s="50" t="s">
        <v>531</v>
      </c>
      <c r="C480" s="50" t="s">
        <v>532</v>
      </c>
      <c r="D480" s="50" t="s">
        <v>541</v>
      </c>
      <c r="E480" s="51">
        <v>573.0</v>
      </c>
      <c r="F480" s="49">
        <v>30.4</v>
      </c>
      <c r="G480" s="50">
        <v>7.0</v>
      </c>
      <c r="H480" s="49">
        <v>30.59</v>
      </c>
      <c r="I480" s="49">
        <v>43.9</v>
      </c>
      <c r="J480" s="51">
        <f t="shared" si="11"/>
        <v>438.6888</v>
      </c>
      <c r="K480" s="51">
        <f t="shared" si="12"/>
        <v>398.808</v>
      </c>
      <c r="L480" s="8">
        <f t="shared" si="3"/>
        <v>4.039676164</v>
      </c>
      <c r="M480" s="8">
        <f t="shared" si="4"/>
        <v>1.211902849</v>
      </c>
      <c r="N480" s="8">
        <f t="shared" si="5"/>
        <v>0.2423805699</v>
      </c>
      <c r="O480" s="8">
        <f t="shared" si="6"/>
        <v>0.797616</v>
      </c>
      <c r="P480" s="8">
        <f t="shared" si="7"/>
        <v>1.196424</v>
      </c>
      <c r="Q480" s="8">
        <f t="shared" si="8"/>
        <v>0.398808</v>
      </c>
      <c r="R480" s="57"/>
      <c r="S480" s="57"/>
      <c r="T480" s="57"/>
      <c r="U480" s="57"/>
      <c r="V480" s="57"/>
      <c r="W480" s="57"/>
      <c r="X480" s="57"/>
      <c r="Y480" s="57"/>
      <c r="Z480" s="61"/>
    </row>
    <row r="481" ht="34.5" customHeight="1">
      <c r="A481" s="24" t="s">
        <v>485</v>
      </c>
      <c r="B481" s="50" t="s">
        <v>531</v>
      </c>
      <c r="C481" s="50" t="s">
        <v>542</v>
      </c>
      <c r="D481" s="50" t="s">
        <v>543</v>
      </c>
      <c r="E481" s="51">
        <v>419.0</v>
      </c>
      <c r="F481" s="49">
        <v>36.39</v>
      </c>
      <c r="G481" s="50">
        <v>4.0</v>
      </c>
      <c r="H481" s="49">
        <v>31.54</v>
      </c>
      <c r="I481" s="49">
        <v>56.69</v>
      </c>
      <c r="J481" s="51">
        <f t="shared" si="11"/>
        <v>293.17849</v>
      </c>
      <c r="K481" s="51">
        <f t="shared" si="12"/>
        <v>266.5259</v>
      </c>
      <c r="L481" s="8">
        <f t="shared" si="3"/>
        <v>2.699741042</v>
      </c>
      <c r="M481" s="8">
        <f t="shared" si="4"/>
        <v>0.8099223126</v>
      </c>
      <c r="N481" s="8">
        <f t="shared" si="5"/>
        <v>0.1619844625</v>
      </c>
      <c r="O481" s="8">
        <f t="shared" si="6"/>
        <v>0.5330518</v>
      </c>
      <c r="P481" s="8">
        <f t="shared" si="7"/>
        <v>0.7995777</v>
      </c>
      <c r="Q481" s="8">
        <f t="shared" si="8"/>
        <v>0.2665259</v>
      </c>
      <c r="R481" s="57"/>
      <c r="S481" s="57"/>
      <c r="T481" s="57"/>
      <c r="U481" s="57"/>
      <c r="V481" s="57"/>
      <c r="W481" s="57"/>
      <c r="X481" s="57"/>
      <c r="Y481" s="57"/>
      <c r="Z481" s="61"/>
    </row>
    <row r="482" ht="34.5" customHeight="1">
      <c r="A482" s="24" t="s">
        <v>485</v>
      </c>
      <c r="B482" s="50" t="s">
        <v>531</v>
      </c>
      <c r="C482" s="50" t="s">
        <v>542</v>
      </c>
      <c r="D482" s="50" t="s">
        <v>544</v>
      </c>
      <c r="E482" s="51">
        <v>85.0</v>
      </c>
      <c r="F482" s="49">
        <v>43.06</v>
      </c>
      <c r="G482" s="50">
        <v>2.0</v>
      </c>
      <c r="H482" s="49">
        <v>34.96</v>
      </c>
      <c r="I482" s="49">
        <v>100.0</v>
      </c>
      <c r="J482" s="51">
        <f t="shared" si="11"/>
        <v>53.2389</v>
      </c>
      <c r="K482" s="51">
        <f t="shared" si="12"/>
        <v>48.399</v>
      </c>
      <c r="L482" s="8">
        <f t="shared" si="3"/>
        <v>0.4902516667</v>
      </c>
      <c r="M482" s="8">
        <f t="shared" si="4"/>
        <v>0.1470755</v>
      </c>
      <c r="N482" s="8">
        <f t="shared" si="5"/>
        <v>0.0294151</v>
      </c>
      <c r="O482" s="8">
        <f t="shared" si="6"/>
        <v>0.096798</v>
      </c>
      <c r="P482" s="8">
        <f t="shared" si="7"/>
        <v>0.145197</v>
      </c>
      <c r="Q482" s="8">
        <f t="shared" si="8"/>
        <v>0.048399</v>
      </c>
      <c r="R482" s="57"/>
      <c r="S482" s="57"/>
      <c r="T482" s="57"/>
      <c r="U482" s="57"/>
      <c r="V482" s="57"/>
      <c r="W482" s="57"/>
      <c r="X482" s="57"/>
      <c r="Y482" s="57"/>
      <c r="Z482" s="61"/>
    </row>
    <row r="483" ht="34.5" customHeight="1">
      <c r="A483" s="24" t="s">
        <v>485</v>
      </c>
      <c r="B483" s="50" t="s">
        <v>531</v>
      </c>
      <c r="C483" s="50" t="s">
        <v>542</v>
      </c>
      <c r="D483" s="50" t="s">
        <v>545</v>
      </c>
      <c r="E483" s="51">
        <v>377.0</v>
      </c>
      <c r="F483" s="49">
        <v>35.1</v>
      </c>
      <c r="G483" s="50">
        <v>6.0</v>
      </c>
      <c r="H483" s="49">
        <v>8.6</v>
      </c>
      <c r="I483" s="49">
        <v>32.91</v>
      </c>
      <c r="J483" s="51">
        <f t="shared" si="11"/>
        <v>269.1403</v>
      </c>
      <c r="K483" s="51">
        <f t="shared" si="12"/>
        <v>244.673</v>
      </c>
      <c r="L483" s="8">
        <f t="shared" si="3"/>
        <v>2.478384802</v>
      </c>
      <c r="M483" s="8">
        <f t="shared" si="4"/>
        <v>0.7435154406</v>
      </c>
      <c r="N483" s="8">
        <f t="shared" si="5"/>
        <v>0.1487030881</v>
      </c>
      <c r="O483" s="8">
        <f t="shared" si="6"/>
        <v>0.489346</v>
      </c>
      <c r="P483" s="8">
        <f t="shared" si="7"/>
        <v>0.734019</v>
      </c>
      <c r="Q483" s="8">
        <f t="shared" si="8"/>
        <v>0.244673</v>
      </c>
      <c r="R483" s="57"/>
      <c r="S483" s="57"/>
      <c r="T483" s="57"/>
      <c r="U483" s="57"/>
      <c r="V483" s="57"/>
      <c r="W483" s="57"/>
      <c r="X483" s="57"/>
      <c r="Y483" s="57"/>
      <c r="Z483" s="61"/>
    </row>
    <row r="484" ht="34.5" customHeight="1">
      <c r="A484" s="24" t="s">
        <v>485</v>
      </c>
      <c r="B484" s="50" t="s">
        <v>531</v>
      </c>
      <c r="C484" s="50" t="s">
        <v>542</v>
      </c>
      <c r="D484" s="50" t="s">
        <v>546</v>
      </c>
      <c r="E484" s="51">
        <v>720.0</v>
      </c>
      <c r="F484" s="49">
        <v>40.94</v>
      </c>
      <c r="G484" s="50">
        <v>12.0</v>
      </c>
      <c r="H484" s="49">
        <v>40.19</v>
      </c>
      <c r="I484" s="49">
        <v>55.72</v>
      </c>
      <c r="J484" s="51">
        <f t="shared" si="11"/>
        <v>467.7552</v>
      </c>
      <c r="K484" s="51">
        <f t="shared" si="12"/>
        <v>425.232</v>
      </c>
      <c r="L484" s="8">
        <f t="shared" si="3"/>
        <v>4.307334795</v>
      </c>
      <c r="M484" s="8">
        <f t="shared" si="4"/>
        <v>1.292200438</v>
      </c>
      <c r="N484" s="8">
        <f t="shared" si="5"/>
        <v>0.2584400877</v>
      </c>
      <c r="O484" s="8">
        <f t="shared" si="6"/>
        <v>0.850464</v>
      </c>
      <c r="P484" s="8">
        <f t="shared" si="7"/>
        <v>1.275696</v>
      </c>
      <c r="Q484" s="8">
        <f t="shared" si="8"/>
        <v>0.425232</v>
      </c>
      <c r="R484" s="57"/>
      <c r="S484" s="57"/>
      <c r="T484" s="57"/>
      <c r="U484" s="57"/>
      <c r="V484" s="57"/>
      <c r="W484" s="57"/>
      <c r="X484" s="57"/>
      <c r="Y484" s="57"/>
      <c r="Z484" s="61"/>
    </row>
    <row r="485" ht="34.5" customHeight="1">
      <c r="A485" s="24" t="s">
        <v>485</v>
      </c>
      <c r="B485" s="50" t="s">
        <v>531</v>
      </c>
      <c r="C485" s="50" t="s">
        <v>542</v>
      </c>
      <c r="D485" s="50" t="s">
        <v>547</v>
      </c>
      <c r="E485" s="51">
        <v>422.0</v>
      </c>
      <c r="F485" s="49">
        <v>48.35</v>
      </c>
      <c r="G485" s="50">
        <v>9.0</v>
      </c>
      <c r="H485" s="49">
        <v>27.33</v>
      </c>
      <c r="I485" s="49">
        <v>58.58</v>
      </c>
      <c r="J485" s="51">
        <f t="shared" si="11"/>
        <v>239.7593</v>
      </c>
      <c r="K485" s="51">
        <f t="shared" si="12"/>
        <v>217.963</v>
      </c>
      <c r="L485" s="8">
        <f t="shared" si="3"/>
        <v>2.20782917</v>
      </c>
      <c r="M485" s="8">
        <f t="shared" si="4"/>
        <v>0.6623487511</v>
      </c>
      <c r="N485" s="8">
        <f t="shared" si="5"/>
        <v>0.1324697502</v>
      </c>
      <c r="O485" s="8">
        <f t="shared" si="6"/>
        <v>0.435926</v>
      </c>
      <c r="P485" s="8">
        <f t="shared" si="7"/>
        <v>0.653889</v>
      </c>
      <c r="Q485" s="8">
        <f t="shared" si="8"/>
        <v>0.217963</v>
      </c>
      <c r="R485" s="57"/>
      <c r="S485" s="57"/>
      <c r="T485" s="57"/>
      <c r="U485" s="57"/>
      <c r="V485" s="57"/>
      <c r="W485" s="57"/>
      <c r="X485" s="57"/>
      <c r="Y485" s="57"/>
      <c r="Z485" s="61"/>
    </row>
    <row r="486" ht="34.5" customHeight="1">
      <c r="A486" s="24" t="s">
        <v>485</v>
      </c>
      <c r="B486" s="50" t="s">
        <v>531</v>
      </c>
      <c r="C486" s="50" t="s">
        <v>542</v>
      </c>
      <c r="D486" s="50" t="s">
        <v>548</v>
      </c>
      <c r="E486" s="51">
        <v>401.0</v>
      </c>
      <c r="F486" s="49">
        <v>30.32</v>
      </c>
      <c r="G486" s="50">
        <v>7.0</v>
      </c>
      <c r="H486" s="49">
        <v>17.37</v>
      </c>
      <c r="I486" s="49">
        <v>63.07</v>
      </c>
      <c r="J486" s="51">
        <f t="shared" si="11"/>
        <v>307.35848</v>
      </c>
      <c r="K486" s="51">
        <f t="shared" si="12"/>
        <v>279.4168</v>
      </c>
      <c r="L486" s="8">
        <f t="shared" si="3"/>
        <v>2.830317814</v>
      </c>
      <c r="M486" s="8">
        <f t="shared" si="4"/>
        <v>0.8490953443</v>
      </c>
      <c r="N486" s="8">
        <f t="shared" si="5"/>
        <v>0.1698190689</v>
      </c>
      <c r="O486" s="8">
        <f t="shared" si="6"/>
        <v>0.5588336</v>
      </c>
      <c r="P486" s="8">
        <f t="shared" si="7"/>
        <v>0.8382504</v>
      </c>
      <c r="Q486" s="8">
        <f t="shared" si="8"/>
        <v>0.2794168</v>
      </c>
      <c r="R486" s="57"/>
      <c r="S486" s="57"/>
      <c r="T486" s="57"/>
      <c r="U486" s="57"/>
      <c r="V486" s="57"/>
      <c r="W486" s="57"/>
      <c r="X486" s="57"/>
      <c r="Y486" s="57"/>
      <c r="Z486" s="61"/>
    </row>
    <row r="487" ht="34.5" customHeight="1">
      <c r="A487" s="24" t="s">
        <v>485</v>
      </c>
      <c r="B487" s="50" t="s">
        <v>531</v>
      </c>
      <c r="C487" s="50" t="s">
        <v>542</v>
      </c>
      <c r="D487" s="50" t="s">
        <v>549</v>
      </c>
      <c r="E487" s="51">
        <v>468.0</v>
      </c>
      <c r="F487" s="49">
        <v>47.3</v>
      </c>
      <c r="G487" s="50">
        <v>8.0</v>
      </c>
      <c r="H487" s="49">
        <v>62.15</v>
      </c>
      <c r="I487" s="49">
        <v>97.16</v>
      </c>
      <c r="J487" s="51">
        <f t="shared" si="11"/>
        <v>271.2996</v>
      </c>
      <c r="K487" s="51">
        <f t="shared" si="12"/>
        <v>246.636</v>
      </c>
      <c r="L487" s="8">
        <f t="shared" si="3"/>
        <v>2.498268767</v>
      </c>
      <c r="M487" s="8">
        <f t="shared" si="4"/>
        <v>0.7494806301</v>
      </c>
      <c r="N487" s="8">
        <f t="shared" si="5"/>
        <v>0.149896126</v>
      </c>
      <c r="O487" s="8">
        <f t="shared" si="6"/>
        <v>0.493272</v>
      </c>
      <c r="P487" s="8">
        <f t="shared" si="7"/>
        <v>0.739908</v>
      </c>
      <c r="Q487" s="8">
        <f t="shared" si="8"/>
        <v>0.246636</v>
      </c>
      <c r="R487" s="57"/>
      <c r="S487" s="57"/>
      <c r="T487" s="57"/>
      <c r="U487" s="57"/>
      <c r="V487" s="57"/>
      <c r="W487" s="57"/>
      <c r="X487" s="57"/>
      <c r="Y487" s="57"/>
      <c r="Z487" s="61"/>
    </row>
    <row r="488" ht="34.5" customHeight="1">
      <c r="A488" s="24" t="s">
        <v>485</v>
      </c>
      <c r="B488" s="50" t="s">
        <v>531</v>
      </c>
      <c r="C488" s="50" t="s">
        <v>542</v>
      </c>
      <c r="D488" s="50" t="s">
        <v>550</v>
      </c>
      <c r="E488" s="51">
        <v>166.0</v>
      </c>
      <c r="F488" s="49">
        <v>48.16</v>
      </c>
      <c r="G488" s="50">
        <v>2.0</v>
      </c>
      <c r="H488" s="49">
        <v>16.05</v>
      </c>
      <c r="I488" s="49">
        <v>30.01</v>
      </c>
      <c r="J488" s="51">
        <f t="shared" si="11"/>
        <v>94.65984</v>
      </c>
      <c r="K488" s="51">
        <f t="shared" si="12"/>
        <v>86.0544</v>
      </c>
      <c r="L488" s="8">
        <f t="shared" si="3"/>
        <v>0.8716773699</v>
      </c>
      <c r="M488" s="8">
        <f t="shared" si="4"/>
        <v>0.261503211</v>
      </c>
      <c r="N488" s="8">
        <f t="shared" si="5"/>
        <v>0.05230064219</v>
      </c>
      <c r="O488" s="8">
        <f t="shared" si="6"/>
        <v>0.1721088</v>
      </c>
      <c r="P488" s="8">
        <f t="shared" si="7"/>
        <v>0.2581632</v>
      </c>
      <c r="Q488" s="8">
        <f t="shared" si="8"/>
        <v>0.0860544</v>
      </c>
      <c r="R488" s="57"/>
      <c r="S488" s="57"/>
      <c r="T488" s="57"/>
      <c r="U488" s="57"/>
      <c r="V488" s="57"/>
      <c r="W488" s="57"/>
      <c r="X488" s="57"/>
      <c r="Y488" s="57"/>
      <c r="Z488" s="61"/>
    </row>
    <row r="489" ht="34.5" customHeight="1">
      <c r="A489" s="24" t="s">
        <v>485</v>
      </c>
      <c r="B489" s="50" t="s">
        <v>531</v>
      </c>
      <c r="C489" s="50" t="s">
        <v>542</v>
      </c>
      <c r="D489" s="50" t="s">
        <v>551</v>
      </c>
      <c r="E489" s="51">
        <v>1441.0</v>
      </c>
      <c r="F489" s="49">
        <v>44.58</v>
      </c>
      <c r="G489" s="50">
        <v>9.0</v>
      </c>
      <c r="H489" s="49">
        <v>0.0</v>
      </c>
      <c r="I489" s="49">
        <v>58.54</v>
      </c>
      <c r="J489" s="51">
        <f t="shared" si="11"/>
        <v>878.46242</v>
      </c>
      <c r="K489" s="51">
        <f t="shared" si="12"/>
        <v>798.6022</v>
      </c>
      <c r="L489" s="8">
        <f t="shared" si="3"/>
        <v>8.089341919</v>
      </c>
      <c r="M489" s="8">
        <f t="shared" si="4"/>
        <v>2.426802576</v>
      </c>
      <c r="N489" s="8">
        <f t="shared" si="5"/>
        <v>0.4853605152</v>
      </c>
      <c r="O489" s="8">
        <f t="shared" si="6"/>
        <v>1.5972044</v>
      </c>
      <c r="P489" s="8">
        <f t="shared" si="7"/>
        <v>2.3958066</v>
      </c>
      <c r="Q489" s="8">
        <f t="shared" si="8"/>
        <v>0.7986022</v>
      </c>
      <c r="R489" s="57"/>
      <c r="S489" s="57"/>
      <c r="T489" s="57"/>
      <c r="U489" s="57"/>
      <c r="V489" s="57"/>
      <c r="W489" s="57"/>
      <c r="X489" s="57"/>
      <c r="Y489" s="57"/>
      <c r="Z489" s="61"/>
    </row>
    <row r="490" ht="34.5" customHeight="1">
      <c r="A490" s="24" t="s">
        <v>485</v>
      </c>
      <c r="B490" s="50" t="s">
        <v>531</v>
      </c>
      <c r="C490" s="50" t="s">
        <v>552</v>
      </c>
      <c r="D490" s="50" t="s">
        <v>553</v>
      </c>
      <c r="E490" s="51">
        <v>153.0</v>
      </c>
      <c r="F490" s="49">
        <v>14.25</v>
      </c>
      <c r="G490" s="50">
        <v>6.0</v>
      </c>
      <c r="H490" s="49">
        <v>100.0</v>
      </c>
      <c r="I490" s="49">
        <v>100.0</v>
      </c>
      <c r="J490" s="51">
        <f t="shared" si="11"/>
        <v>144.31725</v>
      </c>
      <c r="K490" s="51">
        <f t="shared" si="12"/>
        <v>131.1975</v>
      </c>
      <c r="L490" s="8">
        <f t="shared" si="3"/>
        <v>1.328948801</v>
      </c>
      <c r="M490" s="8">
        <f t="shared" si="4"/>
        <v>0.3986846404</v>
      </c>
      <c r="N490" s="8">
        <f t="shared" si="5"/>
        <v>0.07973692808</v>
      </c>
      <c r="O490" s="8">
        <f t="shared" si="6"/>
        <v>0.262395</v>
      </c>
      <c r="P490" s="8">
        <f t="shared" si="7"/>
        <v>0.3935925</v>
      </c>
      <c r="Q490" s="8">
        <f t="shared" si="8"/>
        <v>0.1311975</v>
      </c>
      <c r="R490" s="57"/>
      <c r="S490" s="57"/>
      <c r="T490" s="57"/>
      <c r="U490" s="57"/>
      <c r="V490" s="57"/>
      <c r="W490" s="57"/>
      <c r="X490" s="57"/>
      <c r="Y490" s="57"/>
      <c r="Z490" s="61"/>
    </row>
    <row r="491" ht="34.5" customHeight="1">
      <c r="A491" s="24" t="s">
        <v>485</v>
      </c>
      <c r="B491" s="50" t="s">
        <v>531</v>
      </c>
      <c r="C491" s="50" t="s">
        <v>552</v>
      </c>
      <c r="D491" s="50" t="s">
        <v>554</v>
      </c>
      <c r="E491" s="51">
        <v>631.0</v>
      </c>
      <c r="F491" s="49">
        <v>22.31</v>
      </c>
      <c r="G491" s="50">
        <v>10.0</v>
      </c>
      <c r="H491" s="49">
        <v>60.71</v>
      </c>
      <c r="I491" s="49">
        <v>79.91</v>
      </c>
      <c r="J491" s="51">
        <f t="shared" si="11"/>
        <v>539.24629</v>
      </c>
      <c r="K491" s="51">
        <f t="shared" si="12"/>
        <v>490.2239</v>
      </c>
      <c r="L491" s="8">
        <f t="shared" si="3"/>
        <v>4.965662183</v>
      </c>
      <c r="M491" s="8">
        <f t="shared" si="4"/>
        <v>1.489698655</v>
      </c>
      <c r="N491" s="8">
        <f t="shared" si="5"/>
        <v>0.297939731</v>
      </c>
      <c r="O491" s="8">
        <f t="shared" si="6"/>
        <v>0.9804478</v>
      </c>
      <c r="P491" s="8">
        <f t="shared" si="7"/>
        <v>1.4706717</v>
      </c>
      <c r="Q491" s="8">
        <f t="shared" si="8"/>
        <v>0.4902239</v>
      </c>
      <c r="R491" s="57"/>
      <c r="S491" s="57"/>
      <c r="T491" s="57"/>
      <c r="U491" s="57"/>
      <c r="V491" s="57"/>
      <c r="W491" s="57"/>
      <c r="X491" s="57"/>
      <c r="Y491" s="57"/>
      <c r="Z491" s="61"/>
    </row>
    <row r="492" ht="34.5" customHeight="1">
      <c r="A492" s="24" t="s">
        <v>485</v>
      </c>
      <c r="B492" s="50" t="s">
        <v>531</v>
      </c>
      <c r="C492" s="50" t="s">
        <v>552</v>
      </c>
      <c r="D492" s="50" t="s">
        <v>555</v>
      </c>
      <c r="E492" s="51">
        <v>259.0</v>
      </c>
      <c r="F492" s="49">
        <v>25.86</v>
      </c>
      <c r="G492" s="50">
        <v>6.0</v>
      </c>
      <c r="H492" s="49">
        <v>69.17</v>
      </c>
      <c r="I492" s="49">
        <v>100.0</v>
      </c>
      <c r="J492" s="51">
        <f t="shared" si="11"/>
        <v>211.22486</v>
      </c>
      <c r="K492" s="51">
        <f t="shared" si="12"/>
        <v>192.0226</v>
      </c>
      <c r="L492" s="8">
        <f t="shared" si="3"/>
        <v>1.945069107</v>
      </c>
      <c r="M492" s="8">
        <f t="shared" si="4"/>
        <v>0.583520732</v>
      </c>
      <c r="N492" s="8">
        <f t="shared" si="5"/>
        <v>0.1167041464</v>
      </c>
      <c r="O492" s="8">
        <f t="shared" si="6"/>
        <v>0.3840452</v>
      </c>
      <c r="P492" s="8">
        <f t="shared" si="7"/>
        <v>0.5760678</v>
      </c>
      <c r="Q492" s="8">
        <f t="shared" si="8"/>
        <v>0.1920226</v>
      </c>
      <c r="R492" s="57"/>
      <c r="S492" s="57"/>
      <c r="T492" s="57"/>
      <c r="U492" s="57"/>
      <c r="V492" s="57"/>
      <c r="W492" s="57"/>
      <c r="X492" s="57"/>
      <c r="Y492" s="57"/>
      <c r="Z492" s="61"/>
    </row>
    <row r="493" ht="34.5" customHeight="1">
      <c r="A493" s="24" t="s">
        <v>485</v>
      </c>
      <c r="B493" s="50" t="s">
        <v>531</v>
      </c>
      <c r="C493" s="50" t="s">
        <v>552</v>
      </c>
      <c r="D493" s="50" t="s">
        <v>556</v>
      </c>
      <c r="E493" s="51">
        <v>254.0</v>
      </c>
      <c r="F493" s="49">
        <v>24.1</v>
      </c>
      <c r="G493" s="50">
        <v>7.0</v>
      </c>
      <c r="H493" s="49">
        <v>39.55</v>
      </c>
      <c r="I493" s="49">
        <v>65.35</v>
      </c>
      <c r="J493" s="51">
        <f t="shared" si="11"/>
        <v>212.0646</v>
      </c>
      <c r="K493" s="51">
        <f t="shared" si="12"/>
        <v>192.786</v>
      </c>
      <c r="L493" s="8">
        <f t="shared" si="3"/>
        <v>1.952801872</v>
      </c>
      <c r="M493" s="8">
        <f t="shared" si="4"/>
        <v>0.5858405616</v>
      </c>
      <c r="N493" s="8">
        <f t="shared" si="5"/>
        <v>0.1171681123</v>
      </c>
      <c r="O493" s="8">
        <f t="shared" si="6"/>
        <v>0.385572</v>
      </c>
      <c r="P493" s="8">
        <f t="shared" si="7"/>
        <v>0.578358</v>
      </c>
      <c r="Q493" s="8">
        <f t="shared" si="8"/>
        <v>0.192786</v>
      </c>
      <c r="R493" s="57"/>
      <c r="S493" s="57"/>
      <c r="T493" s="57"/>
      <c r="U493" s="57"/>
      <c r="V493" s="57"/>
      <c r="W493" s="57"/>
      <c r="X493" s="57"/>
      <c r="Y493" s="57"/>
      <c r="Z493" s="61"/>
    </row>
    <row r="494" ht="34.5" customHeight="1">
      <c r="A494" s="24" t="s">
        <v>485</v>
      </c>
      <c r="B494" s="50" t="s">
        <v>531</v>
      </c>
      <c r="C494" s="50" t="s">
        <v>552</v>
      </c>
      <c r="D494" s="50" t="s">
        <v>557</v>
      </c>
      <c r="E494" s="51">
        <v>15.0</v>
      </c>
      <c r="F494" s="49">
        <v>8.44</v>
      </c>
      <c r="G494" s="50">
        <v>1.0</v>
      </c>
      <c r="H494" s="49">
        <v>100.0</v>
      </c>
      <c r="I494" s="49">
        <v>100.0</v>
      </c>
      <c r="J494" s="51">
        <f t="shared" si="11"/>
        <v>15.1074</v>
      </c>
      <c r="K494" s="51">
        <f t="shared" si="12"/>
        <v>13.734</v>
      </c>
      <c r="L494" s="8">
        <f t="shared" si="3"/>
        <v>0.1391168493</v>
      </c>
      <c r="M494" s="8">
        <f t="shared" si="4"/>
        <v>0.04173505479</v>
      </c>
      <c r="N494" s="8">
        <f t="shared" si="5"/>
        <v>0.008347010959</v>
      </c>
      <c r="O494" s="8">
        <f t="shared" si="6"/>
        <v>0.027468</v>
      </c>
      <c r="P494" s="8">
        <f t="shared" si="7"/>
        <v>0.041202</v>
      </c>
      <c r="Q494" s="8">
        <f t="shared" si="8"/>
        <v>0.013734</v>
      </c>
      <c r="R494" s="57"/>
      <c r="S494" s="57"/>
      <c r="T494" s="57"/>
      <c r="U494" s="57"/>
      <c r="V494" s="57"/>
      <c r="W494" s="57"/>
      <c r="X494" s="57"/>
      <c r="Y494" s="57"/>
      <c r="Z494" s="61"/>
    </row>
    <row r="495" ht="34.5" customHeight="1">
      <c r="A495" s="24" t="s">
        <v>485</v>
      </c>
      <c r="B495" s="50" t="s">
        <v>531</v>
      </c>
      <c r="C495" s="50" t="s">
        <v>552</v>
      </c>
      <c r="D495" s="50" t="s">
        <v>558</v>
      </c>
      <c r="E495" s="51">
        <v>25.0</v>
      </c>
      <c r="F495" s="49">
        <v>8.95</v>
      </c>
      <c r="G495" s="50">
        <v>1.0</v>
      </c>
      <c r="H495" s="49">
        <v>100.0</v>
      </c>
      <c r="I495" s="49">
        <v>100.0</v>
      </c>
      <c r="J495" s="51">
        <f t="shared" si="11"/>
        <v>25.03875</v>
      </c>
      <c r="K495" s="51">
        <f t="shared" si="12"/>
        <v>22.7625</v>
      </c>
      <c r="L495" s="8">
        <f t="shared" si="3"/>
        <v>0.2305699201</v>
      </c>
      <c r="M495" s="8">
        <f t="shared" si="4"/>
        <v>0.06917097603</v>
      </c>
      <c r="N495" s="8">
        <f t="shared" si="5"/>
        <v>0.01383419521</v>
      </c>
      <c r="O495" s="8">
        <f t="shared" si="6"/>
        <v>0.045525</v>
      </c>
      <c r="P495" s="8">
        <f t="shared" si="7"/>
        <v>0.0682875</v>
      </c>
      <c r="Q495" s="8">
        <f t="shared" si="8"/>
        <v>0.0227625</v>
      </c>
      <c r="R495" s="57"/>
      <c r="S495" s="57"/>
      <c r="T495" s="57"/>
      <c r="U495" s="57"/>
      <c r="V495" s="57"/>
      <c r="W495" s="57"/>
      <c r="X495" s="57"/>
      <c r="Y495" s="57"/>
      <c r="Z495" s="61"/>
    </row>
    <row r="496" ht="34.5" customHeight="1">
      <c r="A496" s="24" t="s">
        <v>485</v>
      </c>
      <c r="B496" s="50" t="s">
        <v>531</v>
      </c>
      <c r="C496" s="50" t="s">
        <v>552</v>
      </c>
      <c r="D496" s="50" t="s">
        <v>559</v>
      </c>
      <c r="E496" s="51">
        <v>54.0</v>
      </c>
      <c r="F496" s="49">
        <v>5.23</v>
      </c>
      <c r="G496" s="50">
        <v>3.0</v>
      </c>
      <c r="H496" s="49">
        <v>49.79</v>
      </c>
      <c r="I496" s="49">
        <v>93.09</v>
      </c>
      <c r="J496" s="51">
        <f t="shared" si="11"/>
        <v>56.29338</v>
      </c>
      <c r="K496" s="51">
        <f t="shared" si="12"/>
        <v>51.1758</v>
      </c>
      <c r="L496" s="8">
        <f t="shared" si="3"/>
        <v>0.5183789178</v>
      </c>
      <c r="M496" s="8">
        <f t="shared" si="4"/>
        <v>0.1555136753</v>
      </c>
      <c r="N496" s="8">
        <f t="shared" si="5"/>
        <v>0.03110273507</v>
      </c>
      <c r="O496" s="8">
        <f t="shared" si="6"/>
        <v>0.1023516</v>
      </c>
      <c r="P496" s="8">
        <f t="shared" si="7"/>
        <v>0.1535274</v>
      </c>
      <c r="Q496" s="8">
        <f t="shared" si="8"/>
        <v>0.0511758</v>
      </c>
      <c r="R496" s="57"/>
      <c r="S496" s="57"/>
      <c r="T496" s="57"/>
      <c r="U496" s="57"/>
      <c r="V496" s="57"/>
      <c r="W496" s="57"/>
      <c r="X496" s="57"/>
      <c r="Y496" s="57"/>
      <c r="Z496" s="61"/>
    </row>
    <row r="497" ht="34.5" customHeight="1">
      <c r="A497" s="24" t="s">
        <v>560</v>
      </c>
      <c r="B497" s="50" t="s">
        <v>561</v>
      </c>
      <c r="C497" s="50" t="s">
        <v>562</v>
      </c>
      <c r="D497" s="42" t="s">
        <v>562</v>
      </c>
      <c r="E497" s="42">
        <v>1312.0</v>
      </c>
      <c r="F497" s="43">
        <v>40.65</v>
      </c>
      <c r="G497" s="42">
        <v>24.0</v>
      </c>
      <c r="H497" s="43">
        <v>38.55</v>
      </c>
      <c r="I497" s="43">
        <v>53.08</v>
      </c>
      <c r="J497" s="51">
        <f t="shared" si="11"/>
        <v>856.5392</v>
      </c>
      <c r="K497" s="51">
        <f t="shared" si="12"/>
        <v>778.672</v>
      </c>
      <c r="L497" s="8">
        <f t="shared" si="3"/>
        <v>7.887461431</v>
      </c>
      <c r="M497" s="8">
        <f t="shared" si="4"/>
        <v>2.366238429</v>
      </c>
      <c r="N497" s="8">
        <f t="shared" si="5"/>
        <v>0.4732476858</v>
      </c>
      <c r="O497" s="8">
        <f t="shared" si="6"/>
        <v>1.557344</v>
      </c>
      <c r="P497" s="8">
        <f t="shared" si="7"/>
        <v>2.336016</v>
      </c>
      <c r="Q497" s="8">
        <f t="shared" si="8"/>
        <v>0.778672</v>
      </c>
      <c r="R497" s="57"/>
      <c r="S497" s="57"/>
      <c r="T497" s="57"/>
      <c r="U497" s="57"/>
      <c r="V497" s="57"/>
      <c r="W497" s="57"/>
      <c r="X497" s="57"/>
      <c r="Y497" s="57"/>
    </row>
    <row r="498" ht="34.5" customHeight="1">
      <c r="A498" s="24" t="s">
        <v>560</v>
      </c>
      <c r="B498" s="50" t="s">
        <v>561</v>
      </c>
      <c r="C498" s="50" t="s">
        <v>562</v>
      </c>
      <c r="D498" s="42" t="s">
        <v>563</v>
      </c>
      <c r="E498" s="42">
        <v>372.0</v>
      </c>
      <c r="F498" s="43">
        <v>19.91</v>
      </c>
      <c r="G498" s="42">
        <v>7.0</v>
      </c>
      <c r="H498" s="43">
        <v>12.3</v>
      </c>
      <c r="I498" s="43">
        <v>22.99</v>
      </c>
      <c r="J498" s="51">
        <f t="shared" si="11"/>
        <v>327.72828</v>
      </c>
      <c r="K498" s="51">
        <f t="shared" si="12"/>
        <v>297.9348</v>
      </c>
      <c r="L498" s="8">
        <f t="shared" si="3"/>
        <v>3.017893598</v>
      </c>
      <c r="M498" s="8">
        <f t="shared" si="4"/>
        <v>0.9053680795</v>
      </c>
      <c r="N498" s="8">
        <f t="shared" si="5"/>
        <v>0.1810736159</v>
      </c>
      <c r="O498" s="8">
        <f t="shared" si="6"/>
        <v>0.5958696</v>
      </c>
      <c r="P498" s="8">
        <f t="shared" si="7"/>
        <v>0.8938044</v>
      </c>
      <c r="Q498" s="8">
        <f t="shared" si="8"/>
        <v>0.2979348</v>
      </c>
      <c r="R498" s="57"/>
      <c r="S498" s="57"/>
      <c r="T498" s="57"/>
      <c r="U498" s="57"/>
      <c r="V498" s="57"/>
      <c r="W498" s="57"/>
      <c r="X498" s="57"/>
      <c r="Y498" s="57"/>
    </row>
    <row r="499" ht="34.5" customHeight="1">
      <c r="A499" s="24" t="s">
        <v>560</v>
      </c>
      <c r="B499" s="50" t="s">
        <v>561</v>
      </c>
      <c r="C499" s="50" t="s">
        <v>562</v>
      </c>
      <c r="D499" s="42" t="s">
        <v>564</v>
      </c>
      <c r="E499" s="42">
        <v>1005.0</v>
      </c>
      <c r="F499" s="43">
        <v>33.26</v>
      </c>
      <c r="G499" s="42">
        <v>18.0</v>
      </c>
      <c r="H499" s="43">
        <v>26.69</v>
      </c>
      <c r="I499" s="43">
        <v>57.48</v>
      </c>
      <c r="J499" s="51">
        <f t="shared" si="11"/>
        <v>737.8107</v>
      </c>
      <c r="K499" s="51">
        <f t="shared" si="12"/>
        <v>670.737</v>
      </c>
      <c r="L499" s="8">
        <f t="shared" si="3"/>
        <v>6.794147237</v>
      </c>
      <c r="M499" s="8">
        <f t="shared" si="4"/>
        <v>2.038244171</v>
      </c>
      <c r="N499" s="8">
        <f t="shared" si="5"/>
        <v>0.4076488342</v>
      </c>
      <c r="O499" s="8">
        <f t="shared" si="6"/>
        <v>1.341474</v>
      </c>
      <c r="P499" s="8">
        <f t="shared" si="7"/>
        <v>2.012211</v>
      </c>
      <c r="Q499" s="8">
        <f t="shared" si="8"/>
        <v>0.670737</v>
      </c>
      <c r="R499" s="57"/>
      <c r="S499" s="57"/>
      <c r="T499" s="57"/>
      <c r="U499" s="57"/>
      <c r="V499" s="57"/>
      <c r="W499" s="57"/>
      <c r="X499" s="57"/>
      <c r="Y499" s="57"/>
    </row>
    <row r="500" ht="34.5" customHeight="1">
      <c r="A500" s="24" t="s">
        <v>560</v>
      </c>
      <c r="B500" s="50" t="s">
        <v>561</v>
      </c>
      <c r="C500" s="50" t="s">
        <v>562</v>
      </c>
      <c r="D500" s="42" t="s">
        <v>565</v>
      </c>
      <c r="E500" s="42">
        <v>761.0</v>
      </c>
      <c r="F500" s="43">
        <v>36.51</v>
      </c>
      <c r="G500" s="42">
        <v>15.0</v>
      </c>
      <c r="H500" s="43">
        <v>54.18</v>
      </c>
      <c r="I500" s="43">
        <v>64.63</v>
      </c>
      <c r="J500" s="51">
        <f t="shared" si="11"/>
        <v>531.47479</v>
      </c>
      <c r="K500" s="51">
        <f t="shared" si="12"/>
        <v>483.1589</v>
      </c>
      <c r="L500" s="8">
        <f t="shared" si="3"/>
        <v>4.894098142</v>
      </c>
      <c r="M500" s="8">
        <f t="shared" si="4"/>
        <v>1.468229443</v>
      </c>
      <c r="N500" s="8">
        <f t="shared" si="5"/>
        <v>0.2936458885</v>
      </c>
      <c r="O500" s="8">
        <f t="shared" si="6"/>
        <v>0.9663178</v>
      </c>
      <c r="P500" s="8">
        <f t="shared" si="7"/>
        <v>1.4494767</v>
      </c>
      <c r="Q500" s="8">
        <f t="shared" si="8"/>
        <v>0.4831589</v>
      </c>
      <c r="R500" s="57"/>
      <c r="S500" s="57"/>
      <c r="T500" s="57"/>
      <c r="U500" s="57"/>
      <c r="V500" s="57"/>
      <c r="W500" s="57"/>
      <c r="X500" s="57"/>
      <c r="Y500" s="57"/>
    </row>
    <row r="501" ht="34.5" customHeight="1">
      <c r="A501" s="24" t="s">
        <v>560</v>
      </c>
      <c r="B501" s="50" t="s">
        <v>561</v>
      </c>
      <c r="C501" s="50" t="s">
        <v>562</v>
      </c>
      <c r="D501" s="42" t="s">
        <v>566</v>
      </c>
      <c r="E501" s="42">
        <v>25.0</v>
      </c>
      <c r="F501" s="43">
        <v>21.25</v>
      </c>
      <c r="G501" s="42">
        <v>2.0</v>
      </c>
      <c r="H501" s="43">
        <v>76.62</v>
      </c>
      <c r="I501" s="43">
        <v>100.0</v>
      </c>
      <c r="J501" s="51">
        <f t="shared" si="11"/>
        <v>21.65625</v>
      </c>
      <c r="K501" s="51">
        <f t="shared" si="12"/>
        <v>19.6875</v>
      </c>
      <c r="L501" s="8">
        <f t="shared" si="3"/>
        <v>0.199422089</v>
      </c>
      <c r="M501" s="8">
        <f t="shared" si="4"/>
        <v>0.05982662671</v>
      </c>
      <c r="N501" s="8">
        <f t="shared" si="5"/>
        <v>0.01196532534</v>
      </c>
      <c r="O501" s="8">
        <f t="shared" si="6"/>
        <v>0.039375</v>
      </c>
      <c r="P501" s="8">
        <f t="shared" si="7"/>
        <v>0.0590625</v>
      </c>
      <c r="Q501" s="8">
        <f t="shared" si="8"/>
        <v>0.0196875</v>
      </c>
      <c r="R501" s="57"/>
      <c r="S501" s="57"/>
      <c r="T501" s="57"/>
      <c r="U501" s="57"/>
      <c r="V501" s="57"/>
      <c r="W501" s="57"/>
      <c r="X501" s="57"/>
      <c r="Y501" s="57"/>
    </row>
    <row r="502" ht="34.5" customHeight="1">
      <c r="A502" s="24" t="s">
        <v>560</v>
      </c>
      <c r="B502" s="50" t="s">
        <v>561</v>
      </c>
      <c r="C502" s="50" t="s">
        <v>567</v>
      </c>
      <c r="D502" s="42" t="s">
        <v>568</v>
      </c>
      <c r="E502" s="42">
        <v>273.0</v>
      </c>
      <c r="F502" s="43">
        <v>43.96</v>
      </c>
      <c r="G502" s="42">
        <v>7.0</v>
      </c>
      <c r="H502" s="43">
        <v>28.13</v>
      </c>
      <c r="I502" s="43">
        <v>28.13</v>
      </c>
      <c r="J502" s="51">
        <f t="shared" si="11"/>
        <v>168.28812</v>
      </c>
      <c r="K502" s="51">
        <f t="shared" si="12"/>
        <v>152.9892</v>
      </c>
      <c r="L502" s="8">
        <f t="shared" si="3"/>
        <v>1.549685123</v>
      </c>
      <c r="M502" s="8">
        <f t="shared" si="4"/>
        <v>0.464905537</v>
      </c>
      <c r="N502" s="8">
        <f t="shared" si="5"/>
        <v>0.0929811074</v>
      </c>
      <c r="O502" s="8">
        <f t="shared" si="6"/>
        <v>0.3059784</v>
      </c>
      <c r="P502" s="8">
        <f t="shared" si="7"/>
        <v>0.4589676</v>
      </c>
      <c r="Q502" s="8">
        <f t="shared" si="8"/>
        <v>0.1529892</v>
      </c>
      <c r="R502" s="57"/>
      <c r="S502" s="57"/>
      <c r="T502" s="57"/>
      <c r="U502" s="57"/>
      <c r="V502" s="57"/>
      <c r="W502" s="57"/>
      <c r="X502" s="57"/>
      <c r="Y502" s="57"/>
    </row>
    <row r="503" ht="34.5" customHeight="1">
      <c r="A503" s="24" t="s">
        <v>560</v>
      </c>
      <c r="B503" s="50" t="s">
        <v>561</v>
      </c>
      <c r="C503" s="50" t="s">
        <v>567</v>
      </c>
      <c r="D503" s="42" t="s">
        <v>569</v>
      </c>
      <c r="E503" s="42">
        <v>281.0</v>
      </c>
      <c r="F503" s="43">
        <v>24.17</v>
      </c>
      <c r="G503" s="42">
        <v>5.0</v>
      </c>
      <c r="H503" s="43">
        <v>16.61</v>
      </c>
      <c r="I503" s="43">
        <v>35.82</v>
      </c>
      <c r="J503" s="51">
        <f t="shared" si="11"/>
        <v>234.39053</v>
      </c>
      <c r="K503" s="51">
        <f t="shared" si="12"/>
        <v>213.0823</v>
      </c>
      <c r="L503" s="8">
        <f t="shared" si="3"/>
        <v>2.158390725</v>
      </c>
      <c r="M503" s="8">
        <f t="shared" si="4"/>
        <v>0.6475172176</v>
      </c>
      <c r="N503" s="8">
        <f t="shared" si="5"/>
        <v>0.1295034435</v>
      </c>
      <c r="O503" s="8">
        <f t="shared" si="6"/>
        <v>0.4261646</v>
      </c>
      <c r="P503" s="8">
        <f t="shared" si="7"/>
        <v>0.6392469</v>
      </c>
      <c r="Q503" s="8">
        <f t="shared" si="8"/>
        <v>0.2130823</v>
      </c>
      <c r="R503" s="57"/>
      <c r="S503" s="57"/>
      <c r="T503" s="57"/>
      <c r="U503" s="57"/>
      <c r="V503" s="57"/>
      <c r="W503" s="57"/>
      <c r="X503" s="57"/>
      <c r="Y503" s="57"/>
    </row>
    <row r="504" ht="34.5" customHeight="1">
      <c r="A504" s="24" t="s">
        <v>560</v>
      </c>
      <c r="B504" s="50" t="s">
        <v>561</v>
      </c>
      <c r="C504" s="50" t="s">
        <v>567</v>
      </c>
      <c r="D504" s="42" t="s">
        <v>570</v>
      </c>
      <c r="E504" s="42">
        <v>203.0</v>
      </c>
      <c r="F504" s="43">
        <v>51.78</v>
      </c>
      <c r="G504" s="42">
        <v>3.0</v>
      </c>
      <c r="H504" s="43">
        <v>42.71</v>
      </c>
      <c r="I504" s="43">
        <v>42.71</v>
      </c>
      <c r="J504" s="51">
        <f t="shared" si="11"/>
        <v>107.67526</v>
      </c>
      <c r="K504" s="51">
        <f t="shared" si="12"/>
        <v>97.8866</v>
      </c>
      <c r="L504" s="8">
        <f t="shared" si="3"/>
        <v>0.991530172</v>
      </c>
      <c r="M504" s="8">
        <f t="shared" si="4"/>
        <v>0.2974590516</v>
      </c>
      <c r="N504" s="8">
        <f t="shared" si="5"/>
        <v>0.05949181032</v>
      </c>
      <c r="O504" s="8">
        <f t="shared" si="6"/>
        <v>0.1957732</v>
      </c>
      <c r="P504" s="8">
        <f t="shared" si="7"/>
        <v>0.2936598</v>
      </c>
      <c r="Q504" s="8">
        <f t="shared" si="8"/>
        <v>0.0978866</v>
      </c>
      <c r="R504" s="57"/>
      <c r="S504" s="57"/>
      <c r="T504" s="57"/>
      <c r="U504" s="57"/>
      <c r="V504" s="57"/>
      <c r="W504" s="57"/>
      <c r="X504" s="57"/>
      <c r="Y504" s="57"/>
    </row>
    <row r="505" ht="34.5" customHeight="1">
      <c r="A505" s="24" t="s">
        <v>560</v>
      </c>
      <c r="B505" s="50" t="s">
        <v>561</v>
      </c>
      <c r="C505" s="50" t="s">
        <v>567</v>
      </c>
      <c r="D505" s="42" t="s">
        <v>567</v>
      </c>
      <c r="E505" s="42">
        <v>3148.0</v>
      </c>
      <c r="F505" s="43">
        <v>47.16</v>
      </c>
      <c r="G505" s="42">
        <v>33.0</v>
      </c>
      <c r="H505" s="43">
        <v>31.56</v>
      </c>
      <c r="I505" s="43">
        <v>38.12</v>
      </c>
      <c r="J505" s="51">
        <f t="shared" si="11"/>
        <v>1829.74352</v>
      </c>
      <c r="K505" s="51">
        <f t="shared" si="12"/>
        <v>1663.4032</v>
      </c>
      <c r="L505" s="8">
        <f t="shared" si="3"/>
        <v>16.84923637</v>
      </c>
      <c r="M505" s="8">
        <f t="shared" si="4"/>
        <v>5.054770911</v>
      </c>
      <c r="N505" s="8">
        <f t="shared" si="5"/>
        <v>1.010954182</v>
      </c>
      <c r="O505" s="8">
        <f t="shared" si="6"/>
        <v>3.3268064</v>
      </c>
      <c r="P505" s="8">
        <f t="shared" si="7"/>
        <v>4.9902096</v>
      </c>
      <c r="Q505" s="8">
        <f t="shared" si="8"/>
        <v>1.6634032</v>
      </c>
      <c r="R505" s="57"/>
      <c r="S505" s="57"/>
      <c r="T505" s="57"/>
      <c r="U505" s="57"/>
      <c r="V505" s="57"/>
      <c r="W505" s="57"/>
      <c r="X505" s="57"/>
      <c r="Y505" s="57"/>
    </row>
    <row r="506" ht="34.5" customHeight="1">
      <c r="A506" s="24" t="s">
        <v>560</v>
      </c>
      <c r="B506" s="50" t="s">
        <v>561</v>
      </c>
      <c r="C506" s="50" t="s">
        <v>561</v>
      </c>
      <c r="D506" s="42" t="s">
        <v>571</v>
      </c>
      <c r="E506" s="42">
        <v>30.0</v>
      </c>
      <c r="F506" s="43">
        <v>54.18</v>
      </c>
      <c r="G506" s="42">
        <v>1.0</v>
      </c>
      <c r="H506" s="43">
        <v>40.98</v>
      </c>
      <c r="I506" s="43">
        <v>59.72</v>
      </c>
      <c r="J506" s="51">
        <f t="shared" si="11"/>
        <v>15.1206</v>
      </c>
      <c r="K506" s="51">
        <f t="shared" si="12"/>
        <v>13.746</v>
      </c>
      <c r="L506" s="8">
        <f t="shared" si="3"/>
        <v>0.1392384018</v>
      </c>
      <c r="M506" s="8">
        <f t="shared" si="4"/>
        <v>0.04177152055</v>
      </c>
      <c r="N506" s="8">
        <f t="shared" si="5"/>
        <v>0.00835430411</v>
      </c>
      <c r="O506" s="8">
        <f t="shared" si="6"/>
        <v>0.027492</v>
      </c>
      <c r="P506" s="8">
        <f t="shared" si="7"/>
        <v>0.041238</v>
      </c>
      <c r="Q506" s="8">
        <f t="shared" si="8"/>
        <v>0.013746</v>
      </c>
      <c r="R506" s="57"/>
      <c r="S506" s="57"/>
      <c r="T506" s="57"/>
      <c r="U506" s="57"/>
      <c r="V506" s="57"/>
      <c r="W506" s="57"/>
      <c r="X506" s="57"/>
      <c r="Y506" s="57"/>
    </row>
    <row r="507" ht="34.5" customHeight="1">
      <c r="A507" s="24" t="s">
        <v>560</v>
      </c>
      <c r="B507" s="50" t="s">
        <v>561</v>
      </c>
      <c r="C507" s="50" t="s">
        <v>561</v>
      </c>
      <c r="D507" s="42" t="s">
        <v>572</v>
      </c>
      <c r="E507" s="42">
        <v>619.0</v>
      </c>
      <c r="F507" s="43">
        <v>46.24</v>
      </c>
      <c r="G507" s="42">
        <v>7.0</v>
      </c>
      <c r="H507" s="43">
        <v>12.37</v>
      </c>
      <c r="I507" s="43">
        <v>33.51</v>
      </c>
      <c r="J507" s="51">
        <f t="shared" si="11"/>
        <v>366.05184</v>
      </c>
      <c r="K507" s="51">
        <f t="shared" si="12"/>
        <v>332.7744</v>
      </c>
      <c r="L507" s="8">
        <f t="shared" si="3"/>
        <v>3.370797005</v>
      </c>
      <c r="M507" s="8">
        <f t="shared" si="4"/>
        <v>1.011239101</v>
      </c>
      <c r="N507" s="8">
        <f t="shared" si="5"/>
        <v>0.2022478203</v>
      </c>
      <c r="O507" s="8">
        <f t="shared" si="6"/>
        <v>0.6655488</v>
      </c>
      <c r="P507" s="8">
        <f t="shared" si="7"/>
        <v>0.9983232</v>
      </c>
      <c r="Q507" s="8">
        <f t="shared" si="8"/>
        <v>0.3327744</v>
      </c>
      <c r="R507" s="57"/>
      <c r="S507" s="57"/>
      <c r="T507" s="57"/>
      <c r="U507" s="57"/>
      <c r="V507" s="57"/>
      <c r="W507" s="57"/>
      <c r="X507" s="57"/>
      <c r="Y507" s="57"/>
    </row>
    <row r="508" ht="34.5" customHeight="1">
      <c r="A508" s="24" t="s">
        <v>560</v>
      </c>
      <c r="B508" s="50" t="s">
        <v>561</v>
      </c>
      <c r="C508" s="50" t="s">
        <v>561</v>
      </c>
      <c r="D508" s="42" t="s">
        <v>573</v>
      </c>
      <c r="E508" s="42">
        <v>178.0</v>
      </c>
      <c r="F508" s="43">
        <v>39.91</v>
      </c>
      <c r="G508" s="42">
        <v>5.0</v>
      </c>
      <c r="H508" s="43">
        <v>20.07</v>
      </c>
      <c r="I508" s="43">
        <v>54.97</v>
      </c>
      <c r="J508" s="51">
        <f t="shared" si="11"/>
        <v>117.65622</v>
      </c>
      <c r="K508" s="51">
        <f t="shared" si="12"/>
        <v>106.9602</v>
      </c>
      <c r="L508" s="8">
        <f t="shared" si="3"/>
        <v>1.083440078</v>
      </c>
      <c r="M508" s="8">
        <f t="shared" si="4"/>
        <v>0.3250320233</v>
      </c>
      <c r="N508" s="8">
        <f t="shared" si="5"/>
        <v>0.06500640466</v>
      </c>
      <c r="O508" s="8">
        <f t="shared" si="6"/>
        <v>0.2139204</v>
      </c>
      <c r="P508" s="8">
        <f t="shared" si="7"/>
        <v>0.3208806</v>
      </c>
      <c r="Q508" s="8">
        <f t="shared" si="8"/>
        <v>0.1069602</v>
      </c>
      <c r="R508" s="57"/>
      <c r="S508" s="57"/>
      <c r="T508" s="57"/>
      <c r="U508" s="57"/>
      <c r="V508" s="57"/>
      <c r="W508" s="57"/>
      <c r="X508" s="57"/>
      <c r="Y508" s="57"/>
    </row>
    <row r="509" ht="34.5" customHeight="1">
      <c r="A509" s="24" t="s">
        <v>560</v>
      </c>
      <c r="B509" s="50" t="s">
        <v>561</v>
      </c>
      <c r="C509" s="50" t="s">
        <v>561</v>
      </c>
      <c r="D509" s="42" t="s">
        <v>574</v>
      </c>
      <c r="E509" s="42">
        <v>180.0</v>
      </c>
      <c r="F509" s="43">
        <v>22.5</v>
      </c>
      <c r="G509" s="42">
        <v>4.0</v>
      </c>
      <c r="H509" s="43">
        <v>58.24</v>
      </c>
      <c r="I509" s="43">
        <v>58.24</v>
      </c>
      <c r="J509" s="51">
        <f t="shared" si="11"/>
        <v>153.45</v>
      </c>
      <c r="K509" s="51">
        <f t="shared" si="12"/>
        <v>139.5</v>
      </c>
      <c r="L509" s="8">
        <f t="shared" si="3"/>
        <v>1.413047945</v>
      </c>
      <c r="M509" s="8">
        <f t="shared" si="4"/>
        <v>0.4239143836</v>
      </c>
      <c r="N509" s="8">
        <f t="shared" si="5"/>
        <v>0.08478287671</v>
      </c>
      <c r="O509" s="8">
        <f t="shared" si="6"/>
        <v>0.279</v>
      </c>
      <c r="P509" s="8">
        <f t="shared" si="7"/>
        <v>0.4185</v>
      </c>
      <c r="Q509" s="8">
        <f t="shared" si="8"/>
        <v>0.1395</v>
      </c>
      <c r="R509" s="57"/>
      <c r="S509" s="57"/>
      <c r="T509" s="57"/>
      <c r="U509" s="57"/>
      <c r="V509" s="57"/>
      <c r="W509" s="57"/>
      <c r="X509" s="57"/>
      <c r="Y509" s="57"/>
    </row>
    <row r="510" ht="34.5" customHeight="1">
      <c r="A510" s="24" t="s">
        <v>560</v>
      </c>
      <c r="B510" s="50" t="s">
        <v>561</v>
      </c>
      <c r="C510" s="50" t="s">
        <v>561</v>
      </c>
      <c r="D510" s="42" t="s">
        <v>575</v>
      </c>
      <c r="E510" s="42">
        <v>40.0</v>
      </c>
      <c r="F510" s="43">
        <v>24.7</v>
      </c>
      <c r="G510" s="42">
        <v>2.0</v>
      </c>
      <c r="H510" s="43">
        <v>0.0</v>
      </c>
      <c r="I510" s="43">
        <v>85.89</v>
      </c>
      <c r="J510" s="51">
        <f t="shared" si="11"/>
        <v>33.132</v>
      </c>
      <c r="K510" s="51">
        <f t="shared" si="12"/>
        <v>30.12</v>
      </c>
      <c r="L510" s="8">
        <f t="shared" si="3"/>
        <v>0.3050968037</v>
      </c>
      <c r="M510" s="8">
        <f t="shared" si="4"/>
        <v>0.0915290411</v>
      </c>
      <c r="N510" s="8">
        <f t="shared" si="5"/>
        <v>0.01830580822</v>
      </c>
      <c r="O510" s="8">
        <f t="shared" si="6"/>
        <v>0.06024</v>
      </c>
      <c r="P510" s="8">
        <f t="shared" si="7"/>
        <v>0.09036</v>
      </c>
      <c r="Q510" s="8">
        <f t="shared" si="8"/>
        <v>0.03012</v>
      </c>
      <c r="R510" s="57"/>
      <c r="S510" s="57"/>
      <c r="T510" s="57"/>
      <c r="U510" s="57"/>
      <c r="V510" s="57"/>
      <c r="W510" s="57"/>
      <c r="X510" s="57"/>
      <c r="Y510" s="57"/>
    </row>
    <row r="511" ht="34.5" customHeight="1">
      <c r="A511" s="24" t="s">
        <v>560</v>
      </c>
      <c r="B511" s="50" t="s">
        <v>561</v>
      </c>
      <c r="C511" s="50" t="s">
        <v>561</v>
      </c>
      <c r="D511" s="42" t="s">
        <v>561</v>
      </c>
      <c r="E511" s="42">
        <v>4821.0</v>
      </c>
      <c r="F511" s="43">
        <v>52.43</v>
      </c>
      <c r="G511" s="42">
        <v>70.0</v>
      </c>
      <c r="H511" s="43">
        <v>40.98</v>
      </c>
      <c r="I511" s="43">
        <v>59.72</v>
      </c>
      <c r="J511" s="51">
        <f t="shared" si="11"/>
        <v>2522.68467</v>
      </c>
      <c r="K511" s="51">
        <f t="shared" si="12"/>
        <v>2293.3497</v>
      </c>
      <c r="L511" s="8">
        <f t="shared" si="3"/>
        <v>23.2302013</v>
      </c>
      <c r="M511" s="8">
        <f t="shared" si="4"/>
        <v>6.96906039</v>
      </c>
      <c r="N511" s="8">
        <f t="shared" si="5"/>
        <v>1.393812078</v>
      </c>
      <c r="O511" s="8">
        <f t="shared" si="6"/>
        <v>4.5866994</v>
      </c>
      <c r="P511" s="8">
        <f t="shared" si="7"/>
        <v>6.8800491</v>
      </c>
      <c r="Q511" s="8">
        <f t="shared" si="8"/>
        <v>2.2933497</v>
      </c>
      <c r="R511" s="57"/>
      <c r="S511" s="57"/>
      <c r="T511" s="57"/>
      <c r="U511" s="57"/>
      <c r="V511" s="57"/>
      <c r="W511" s="57"/>
      <c r="X511" s="57"/>
      <c r="Y511" s="57"/>
    </row>
    <row r="512" ht="34.5" customHeight="1">
      <c r="A512" s="24" t="s">
        <v>560</v>
      </c>
      <c r="B512" s="50" t="s">
        <v>561</v>
      </c>
      <c r="C512" s="50" t="s">
        <v>561</v>
      </c>
      <c r="D512" s="42" t="s">
        <v>576</v>
      </c>
      <c r="E512" s="42">
        <v>96.0</v>
      </c>
      <c r="F512" s="43">
        <v>42.88</v>
      </c>
      <c r="G512" s="42">
        <v>2.0</v>
      </c>
      <c r="H512" s="43">
        <v>0.0</v>
      </c>
      <c r="I512" s="43">
        <v>100.0</v>
      </c>
      <c r="J512" s="51">
        <f t="shared" si="11"/>
        <v>60.31872</v>
      </c>
      <c r="K512" s="51">
        <f t="shared" si="12"/>
        <v>54.8352</v>
      </c>
      <c r="L512" s="8">
        <f t="shared" si="3"/>
        <v>0.5554463562</v>
      </c>
      <c r="M512" s="8">
        <f t="shared" si="4"/>
        <v>0.1666339068</v>
      </c>
      <c r="N512" s="8">
        <f t="shared" si="5"/>
        <v>0.03332678137</v>
      </c>
      <c r="O512" s="8">
        <f t="shared" si="6"/>
        <v>0.1096704</v>
      </c>
      <c r="P512" s="8">
        <f t="shared" si="7"/>
        <v>0.1645056</v>
      </c>
      <c r="Q512" s="8">
        <f t="shared" si="8"/>
        <v>0.0548352</v>
      </c>
      <c r="R512" s="57"/>
      <c r="S512" s="57"/>
      <c r="T512" s="57"/>
      <c r="U512" s="57"/>
      <c r="V512" s="57"/>
      <c r="W512" s="57"/>
      <c r="X512" s="57"/>
      <c r="Y512" s="57"/>
    </row>
    <row r="513" ht="34.5" customHeight="1">
      <c r="A513" s="24" t="s">
        <v>560</v>
      </c>
      <c r="B513" s="50" t="s">
        <v>561</v>
      </c>
      <c r="C513" s="50" t="s">
        <v>561</v>
      </c>
      <c r="D513" s="42" t="s">
        <v>577</v>
      </c>
      <c r="E513" s="42">
        <v>342.0</v>
      </c>
      <c r="F513" s="43">
        <v>48.46</v>
      </c>
      <c r="G513" s="42">
        <v>3.0</v>
      </c>
      <c r="H513" s="43">
        <v>9.79</v>
      </c>
      <c r="I513" s="43">
        <v>41.3</v>
      </c>
      <c r="J513" s="51">
        <f t="shared" si="11"/>
        <v>193.89348</v>
      </c>
      <c r="K513" s="51">
        <f t="shared" si="12"/>
        <v>176.2668</v>
      </c>
      <c r="L513" s="8">
        <f t="shared" si="3"/>
        <v>1.785472685</v>
      </c>
      <c r="M513" s="8">
        <f t="shared" si="4"/>
        <v>0.5356418055</v>
      </c>
      <c r="N513" s="8">
        <f t="shared" si="5"/>
        <v>0.1071283611</v>
      </c>
      <c r="O513" s="8">
        <f t="shared" si="6"/>
        <v>0.3525336</v>
      </c>
      <c r="P513" s="8">
        <f t="shared" si="7"/>
        <v>0.5288004</v>
      </c>
      <c r="Q513" s="8">
        <f t="shared" si="8"/>
        <v>0.1762668</v>
      </c>
      <c r="R513" s="57"/>
      <c r="S513" s="57"/>
      <c r="T513" s="57"/>
      <c r="U513" s="57"/>
      <c r="V513" s="57"/>
      <c r="W513" s="57"/>
      <c r="X513" s="57"/>
      <c r="Y513" s="57"/>
    </row>
    <row r="514" ht="34.5" customHeight="1">
      <c r="A514" s="24" t="s">
        <v>560</v>
      </c>
      <c r="B514" s="50" t="s">
        <v>561</v>
      </c>
      <c r="C514" s="50" t="s">
        <v>561</v>
      </c>
      <c r="D514" s="42" t="s">
        <v>578</v>
      </c>
      <c r="E514" s="42">
        <v>80.0</v>
      </c>
      <c r="F514" s="43">
        <v>49.73</v>
      </c>
      <c r="G514" s="42">
        <v>2.0</v>
      </c>
      <c r="H514" s="43">
        <v>41.64</v>
      </c>
      <c r="I514" s="43">
        <v>100.0</v>
      </c>
      <c r="J514" s="51">
        <f t="shared" si="11"/>
        <v>44.2376</v>
      </c>
      <c r="K514" s="51">
        <f t="shared" si="12"/>
        <v>40.216</v>
      </c>
      <c r="L514" s="8">
        <f t="shared" si="3"/>
        <v>0.4073629833</v>
      </c>
      <c r="M514" s="8">
        <f t="shared" si="4"/>
        <v>0.122208895</v>
      </c>
      <c r="N514" s="8">
        <f t="shared" si="5"/>
        <v>0.024441779</v>
      </c>
      <c r="O514" s="8">
        <f t="shared" si="6"/>
        <v>0.080432</v>
      </c>
      <c r="P514" s="8">
        <f t="shared" si="7"/>
        <v>0.120648</v>
      </c>
      <c r="Q514" s="8">
        <f t="shared" si="8"/>
        <v>0.040216</v>
      </c>
      <c r="R514" s="57"/>
      <c r="S514" s="57"/>
      <c r="T514" s="57"/>
      <c r="U514" s="57"/>
      <c r="V514" s="57"/>
      <c r="W514" s="57"/>
      <c r="X514" s="57"/>
      <c r="Y514" s="57"/>
    </row>
    <row r="515" ht="34.5" customHeight="1">
      <c r="A515" s="24" t="s">
        <v>560</v>
      </c>
      <c r="B515" s="50" t="s">
        <v>561</v>
      </c>
      <c r="C515" s="50" t="s">
        <v>561</v>
      </c>
      <c r="D515" s="42" t="s">
        <v>579</v>
      </c>
      <c r="E515" s="42">
        <v>65.0</v>
      </c>
      <c r="F515" s="43">
        <v>13.95</v>
      </c>
      <c r="G515" s="42">
        <v>2.0</v>
      </c>
      <c r="H515" s="43">
        <v>0.0</v>
      </c>
      <c r="I515" s="43">
        <v>48.6</v>
      </c>
      <c r="J515" s="51">
        <f t="shared" si="11"/>
        <v>61.52575</v>
      </c>
      <c r="K515" s="51">
        <f t="shared" si="12"/>
        <v>55.9325</v>
      </c>
      <c r="L515" s="8">
        <f t="shared" si="3"/>
        <v>0.5665613204</v>
      </c>
      <c r="M515" s="8">
        <f t="shared" si="4"/>
        <v>0.1699683961</v>
      </c>
      <c r="N515" s="8">
        <f t="shared" si="5"/>
        <v>0.03399367922</v>
      </c>
      <c r="O515" s="8">
        <f t="shared" si="6"/>
        <v>0.111865</v>
      </c>
      <c r="P515" s="8">
        <f t="shared" si="7"/>
        <v>0.1677975</v>
      </c>
      <c r="Q515" s="8">
        <f t="shared" si="8"/>
        <v>0.0559325</v>
      </c>
      <c r="R515" s="57"/>
      <c r="S515" s="57"/>
      <c r="T515" s="57"/>
      <c r="U515" s="57"/>
      <c r="V515" s="57"/>
      <c r="W515" s="57"/>
      <c r="X515" s="57"/>
      <c r="Y515" s="57"/>
    </row>
    <row r="516" ht="34.5" customHeight="1">
      <c r="A516" s="24" t="s">
        <v>560</v>
      </c>
      <c r="B516" s="50" t="s">
        <v>561</v>
      </c>
      <c r="C516" s="50" t="s">
        <v>561</v>
      </c>
      <c r="D516" s="42" t="s">
        <v>580</v>
      </c>
      <c r="E516" s="42">
        <v>392.0</v>
      </c>
      <c r="F516" s="43">
        <v>21.77</v>
      </c>
      <c r="G516" s="42">
        <v>9.0</v>
      </c>
      <c r="H516" s="43">
        <v>40.98</v>
      </c>
      <c r="I516" s="43">
        <v>59.72</v>
      </c>
      <c r="J516" s="51">
        <f t="shared" si="11"/>
        <v>337.32776</v>
      </c>
      <c r="K516" s="51">
        <f t="shared" si="12"/>
        <v>306.6616</v>
      </c>
      <c r="L516" s="8">
        <f t="shared" si="3"/>
        <v>3.106290636</v>
      </c>
      <c r="M516" s="8">
        <f t="shared" si="4"/>
        <v>0.9318871909</v>
      </c>
      <c r="N516" s="8">
        <f t="shared" si="5"/>
        <v>0.1863774382</v>
      </c>
      <c r="O516" s="8">
        <f t="shared" si="6"/>
        <v>0.6133232</v>
      </c>
      <c r="P516" s="8">
        <f t="shared" si="7"/>
        <v>0.9199848</v>
      </c>
      <c r="Q516" s="8">
        <f t="shared" si="8"/>
        <v>0.3066616</v>
      </c>
      <c r="R516" s="57"/>
      <c r="S516" s="57"/>
      <c r="T516" s="57"/>
      <c r="U516" s="57"/>
      <c r="V516" s="57"/>
      <c r="W516" s="57"/>
      <c r="X516" s="57"/>
      <c r="Y516" s="57"/>
    </row>
    <row r="517" ht="34.5" customHeight="1">
      <c r="A517" s="24" t="s">
        <v>560</v>
      </c>
      <c r="B517" s="50" t="s">
        <v>561</v>
      </c>
      <c r="C517" s="50" t="s">
        <v>581</v>
      </c>
      <c r="D517" s="42" t="s">
        <v>582</v>
      </c>
      <c r="E517" s="42">
        <v>52.0</v>
      </c>
      <c r="F517" s="43">
        <v>16.58</v>
      </c>
      <c r="G517" s="42">
        <v>2.0</v>
      </c>
      <c r="H517" s="43">
        <v>0.0</v>
      </c>
      <c r="I517" s="43">
        <v>100.0</v>
      </c>
      <c r="J517" s="51">
        <f t="shared" si="11"/>
        <v>47.71624</v>
      </c>
      <c r="K517" s="51">
        <f t="shared" si="12"/>
        <v>43.3784</v>
      </c>
      <c r="L517" s="8">
        <f t="shared" si="3"/>
        <v>0.4393961218</v>
      </c>
      <c r="M517" s="8">
        <f t="shared" si="4"/>
        <v>0.1318188365</v>
      </c>
      <c r="N517" s="8">
        <f t="shared" si="5"/>
        <v>0.02636376731</v>
      </c>
      <c r="O517" s="8">
        <f t="shared" si="6"/>
        <v>0.0867568</v>
      </c>
      <c r="P517" s="8">
        <f t="shared" si="7"/>
        <v>0.1301352</v>
      </c>
      <c r="Q517" s="8">
        <f t="shared" si="8"/>
        <v>0.0433784</v>
      </c>
      <c r="R517" s="57"/>
      <c r="S517" s="57"/>
      <c r="T517" s="57"/>
      <c r="U517" s="57"/>
      <c r="V517" s="57"/>
      <c r="W517" s="57"/>
      <c r="X517" s="57"/>
      <c r="Y517" s="57"/>
    </row>
    <row r="518" ht="34.5" customHeight="1">
      <c r="A518" s="24" t="s">
        <v>560</v>
      </c>
      <c r="B518" s="50" t="s">
        <v>561</v>
      </c>
      <c r="C518" s="50" t="s">
        <v>581</v>
      </c>
      <c r="D518" s="42" t="s">
        <v>583</v>
      </c>
      <c r="E518" s="42">
        <v>40.0</v>
      </c>
      <c r="F518" s="43">
        <v>29.34</v>
      </c>
      <c r="G518" s="42">
        <v>2.0</v>
      </c>
      <c r="H518" s="43">
        <v>0.0</v>
      </c>
      <c r="I518" s="43">
        <v>73.98</v>
      </c>
      <c r="J518" s="51">
        <f t="shared" si="11"/>
        <v>31.0904</v>
      </c>
      <c r="K518" s="51">
        <f t="shared" si="12"/>
        <v>28.264</v>
      </c>
      <c r="L518" s="8">
        <f t="shared" si="3"/>
        <v>0.2862966819</v>
      </c>
      <c r="M518" s="8">
        <f t="shared" si="4"/>
        <v>0.08588900457</v>
      </c>
      <c r="N518" s="8">
        <f t="shared" si="5"/>
        <v>0.01717780091</v>
      </c>
      <c r="O518" s="8">
        <f t="shared" si="6"/>
        <v>0.056528</v>
      </c>
      <c r="P518" s="8">
        <f t="shared" si="7"/>
        <v>0.084792</v>
      </c>
      <c r="Q518" s="8">
        <f t="shared" si="8"/>
        <v>0.028264</v>
      </c>
      <c r="R518" s="57"/>
      <c r="S518" s="57"/>
      <c r="T518" s="57"/>
      <c r="U518" s="57"/>
      <c r="V518" s="57"/>
      <c r="W518" s="57"/>
      <c r="X518" s="57"/>
      <c r="Y518" s="57"/>
    </row>
    <row r="519" ht="34.5" customHeight="1">
      <c r="A519" s="24" t="s">
        <v>560</v>
      </c>
      <c r="B519" s="50" t="s">
        <v>561</v>
      </c>
      <c r="C519" s="50" t="s">
        <v>581</v>
      </c>
      <c r="D519" s="42" t="s">
        <v>584</v>
      </c>
      <c r="E519" s="42">
        <v>85.0</v>
      </c>
      <c r="F519" s="43">
        <v>26.76</v>
      </c>
      <c r="G519" s="42">
        <v>2.0</v>
      </c>
      <c r="H519" s="43">
        <v>45.72</v>
      </c>
      <c r="I519" s="43">
        <v>100.0</v>
      </c>
      <c r="J519" s="51">
        <f t="shared" si="11"/>
        <v>68.4794</v>
      </c>
      <c r="K519" s="51">
        <f t="shared" si="12"/>
        <v>62.254</v>
      </c>
      <c r="L519" s="8">
        <f t="shared" si="3"/>
        <v>0.6305941705</v>
      </c>
      <c r="M519" s="8">
        <f t="shared" si="4"/>
        <v>0.1891782511</v>
      </c>
      <c r="N519" s="8">
        <f t="shared" si="5"/>
        <v>0.03783565023</v>
      </c>
      <c r="O519" s="8">
        <f t="shared" si="6"/>
        <v>0.124508</v>
      </c>
      <c r="P519" s="8">
        <f t="shared" si="7"/>
        <v>0.186762</v>
      </c>
      <c r="Q519" s="8">
        <f t="shared" si="8"/>
        <v>0.062254</v>
      </c>
      <c r="R519" s="57"/>
      <c r="S519" s="57"/>
      <c r="T519" s="57"/>
      <c r="U519" s="57"/>
      <c r="V519" s="57"/>
      <c r="W519" s="57"/>
      <c r="X519" s="57"/>
      <c r="Y519" s="57"/>
    </row>
    <row r="520" ht="34.5" customHeight="1">
      <c r="A520" s="24" t="s">
        <v>560</v>
      </c>
      <c r="B520" s="50" t="s">
        <v>561</v>
      </c>
      <c r="C520" s="50" t="s">
        <v>581</v>
      </c>
      <c r="D520" s="42" t="s">
        <v>585</v>
      </c>
      <c r="E520" s="42">
        <v>135.0</v>
      </c>
      <c r="F520" s="43">
        <v>17.61</v>
      </c>
      <c r="G520" s="42">
        <v>4.0</v>
      </c>
      <c r="H520" s="43">
        <v>38.0</v>
      </c>
      <c r="I520" s="43">
        <v>99.96</v>
      </c>
      <c r="J520" s="51">
        <f t="shared" si="11"/>
        <v>122.34915</v>
      </c>
      <c r="K520" s="51">
        <f t="shared" si="12"/>
        <v>111.2265</v>
      </c>
      <c r="L520" s="8">
        <f t="shared" si="3"/>
        <v>1.126655034</v>
      </c>
      <c r="M520" s="8">
        <f t="shared" si="4"/>
        <v>0.3379965103</v>
      </c>
      <c r="N520" s="8">
        <f t="shared" si="5"/>
        <v>0.06759930205</v>
      </c>
      <c r="O520" s="8">
        <f t="shared" si="6"/>
        <v>0.222453</v>
      </c>
      <c r="P520" s="8">
        <f t="shared" si="7"/>
        <v>0.3336795</v>
      </c>
      <c r="Q520" s="8">
        <f t="shared" si="8"/>
        <v>0.1112265</v>
      </c>
      <c r="R520" s="57"/>
      <c r="S520" s="57"/>
      <c r="T520" s="57"/>
      <c r="U520" s="57"/>
      <c r="V520" s="57"/>
      <c r="W520" s="57"/>
      <c r="X520" s="57"/>
      <c r="Y520" s="57"/>
    </row>
    <row r="521" ht="34.5" customHeight="1">
      <c r="A521" s="24" t="s">
        <v>560</v>
      </c>
      <c r="B521" s="50" t="s">
        <v>561</v>
      </c>
      <c r="C521" s="50" t="s">
        <v>581</v>
      </c>
      <c r="D521" s="42" t="s">
        <v>581</v>
      </c>
      <c r="E521" s="42">
        <v>2099.0</v>
      </c>
      <c r="F521" s="43">
        <v>46.73</v>
      </c>
      <c r="G521" s="42">
        <v>21.0</v>
      </c>
      <c r="H521" s="43">
        <v>38.44</v>
      </c>
      <c r="I521" s="43">
        <v>49.82</v>
      </c>
      <c r="J521" s="51">
        <f t="shared" si="11"/>
        <v>1229.95103</v>
      </c>
      <c r="K521" s="51">
        <f t="shared" si="12"/>
        <v>1118.1373</v>
      </c>
      <c r="L521" s="8">
        <f t="shared" si="3"/>
        <v>11.32603308</v>
      </c>
      <c r="M521" s="8">
        <f t="shared" si="4"/>
        <v>3.397809923</v>
      </c>
      <c r="N521" s="8">
        <f t="shared" si="5"/>
        <v>0.6795619846</v>
      </c>
      <c r="O521" s="8">
        <f t="shared" si="6"/>
        <v>2.2362746</v>
      </c>
      <c r="P521" s="8">
        <f t="shared" si="7"/>
        <v>3.3544119</v>
      </c>
      <c r="Q521" s="8">
        <f t="shared" si="8"/>
        <v>1.1181373</v>
      </c>
      <c r="R521" s="57"/>
      <c r="S521" s="57"/>
      <c r="T521" s="57"/>
      <c r="U521" s="57"/>
      <c r="V521" s="57"/>
      <c r="W521" s="57"/>
      <c r="X521" s="57"/>
      <c r="Y521" s="57"/>
    </row>
    <row r="522" ht="34.5" customHeight="1">
      <c r="A522" s="24" t="s">
        <v>560</v>
      </c>
      <c r="B522" s="50" t="s">
        <v>561</v>
      </c>
      <c r="C522" s="50" t="s">
        <v>581</v>
      </c>
      <c r="D522" s="42" t="s">
        <v>586</v>
      </c>
      <c r="E522" s="42">
        <v>301.0</v>
      </c>
      <c r="F522" s="43">
        <v>39.1</v>
      </c>
      <c r="G522" s="42">
        <v>5.0</v>
      </c>
      <c r="H522" s="43">
        <v>38.48</v>
      </c>
      <c r="I522" s="43">
        <v>83.76</v>
      </c>
      <c r="J522" s="51">
        <f t="shared" si="11"/>
        <v>201.6399</v>
      </c>
      <c r="K522" s="51">
        <f t="shared" si="12"/>
        <v>183.309</v>
      </c>
      <c r="L522" s="8">
        <f t="shared" si="3"/>
        <v>1.856805776</v>
      </c>
      <c r="M522" s="8">
        <f t="shared" si="4"/>
        <v>0.5570417329</v>
      </c>
      <c r="N522" s="8">
        <f t="shared" si="5"/>
        <v>0.1114083466</v>
      </c>
      <c r="O522" s="8">
        <f t="shared" si="6"/>
        <v>0.366618</v>
      </c>
      <c r="P522" s="8">
        <f t="shared" si="7"/>
        <v>0.549927</v>
      </c>
      <c r="Q522" s="8">
        <f t="shared" si="8"/>
        <v>0.183309</v>
      </c>
      <c r="R522" s="57"/>
      <c r="S522" s="57"/>
      <c r="T522" s="57"/>
      <c r="U522" s="57"/>
      <c r="V522" s="57"/>
      <c r="W522" s="57"/>
      <c r="X522" s="57"/>
      <c r="Y522" s="57"/>
    </row>
    <row r="523" ht="34.5" customHeight="1">
      <c r="A523" s="24" t="s">
        <v>587</v>
      </c>
      <c r="B523" s="50" t="s">
        <v>588</v>
      </c>
      <c r="C523" s="50" t="s">
        <v>589</v>
      </c>
      <c r="D523" s="50" t="s">
        <v>590</v>
      </c>
      <c r="E523" s="50">
        <v>221.0</v>
      </c>
      <c r="F523" s="49">
        <v>15.78</v>
      </c>
      <c r="G523" s="50">
        <v>4.0</v>
      </c>
      <c r="H523" s="49">
        <v>36.89</v>
      </c>
      <c r="I523" s="49">
        <v>100.0</v>
      </c>
      <c r="J523" s="51">
        <f t="shared" si="11"/>
        <v>204.73882</v>
      </c>
      <c r="K523" s="51">
        <f t="shared" si="12"/>
        <v>186.1262</v>
      </c>
      <c r="L523" s="8">
        <f t="shared" si="3"/>
        <v>1.885342254</v>
      </c>
      <c r="M523" s="8">
        <f t="shared" si="4"/>
        <v>0.5656026763</v>
      </c>
      <c r="N523" s="8">
        <f t="shared" si="5"/>
        <v>0.1131205353</v>
      </c>
      <c r="O523" s="8">
        <f t="shared" si="6"/>
        <v>0.3722524</v>
      </c>
      <c r="P523" s="8">
        <f t="shared" si="7"/>
        <v>0.5583786</v>
      </c>
      <c r="Q523" s="8">
        <f t="shared" si="8"/>
        <v>0.1861262</v>
      </c>
      <c r="R523" s="57"/>
      <c r="S523" s="57"/>
      <c r="T523" s="57"/>
      <c r="U523" s="57"/>
      <c r="V523" s="57"/>
      <c r="W523" s="57"/>
      <c r="X523" s="57"/>
      <c r="Y523" s="57"/>
    </row>
    <row r="524" ht="34.5" customHeight="1">
      <c r="A524" s="24" t="s">
        <v>587</v>
      </c>
      <c r="B524" s="50" t="s">
        <v>588</v>
      </c>
      <c r="C524" s="50" t="s">
        <v>591</v>
      </c>
      <c r="D524" s="50" t="s">
        <v>592</v>
      </c>
      <c r="E524" s="50">
        <v>2311.0</v>
      </c>
      <c r="F524" s="49">
        <v>54.32</v>
      </c>
      <c r="G524" s="50">
        <v>21.0</v>
      </c>
      <c r="H524" s="49">
        <v>14.4</v>
      </c>
      <c r="I524" s="49" t="s">
        <v>593</v>
      </c>
      <c r="J524" s="51">
        <f t="shared" si="11"/>
        <v>1161.23128</v>
      </c>
      <c r="K524" s="51">
        <f t="shared" si="12"/>
        <v>1055.6648</v>
      </c>
      <c r="L524" s="8">
        <f t="shared" si="3"/>
        <v>10.69322564</v>
      </c>
      <c r="M524" s="8">
        <f t="shared" si="4"/>
        <v>3.207967691</v>
      </c>
      <c r="N524" s="8">
        <f t="shared" si="5"/>
        <v>0.6415935383</v>
      </c>
      <c r="O524" s="8">
        <f t="shared" si="6"/>
        <v>2.1113296</v>
      </c>
      <c r="P524" s="8">
        <f t="shared" si="7"/>
        <v>3.1669944</v>
      </c>
      <c r="Q524" s="8">
        <f t="shared" si="8"/>
        <v>1.0556648</v>
      </c>
      <c r="R524" s="57"/>
      <c r="S524" s="57"/>
      <c r="T524" s="57"/>
      <c r="U524" s="57"/>
      <c r="V524" s="57"/>
      <c r="W524" s="57"/>
      <c r="X524" s="57"/>
      <c r="Y524" s="57"/>
    </row>
    <row r="525" ht="34.5" customHeight="1">
      <c r="A525" s="24" t="s">
        <v>587</v>
      </c>
      <c r="B525" s="50" t="s">
        <v>588</v>
      </c>
      <c r="C525" s="50" t="s">
        <v>589</v>
      </c>
      <c r="D525" s="50" t="s">
        <v>594</v>
      </c>
      <c r="E525" s="50">
        <v>721.0</v>
      </c>
      <c r="F525" s="49">
        <v>47.7</v>
      </c>
      <c r="G525" s="50">
        <v>16.0</v>
      </c>
      <c r="H525" s="49">
        <v>100.0</v>
      </c>
      <c r="I525" s="49">
        <v>100.0</v>
      </c>
      <c r="J525" s="51">
        <f t="shared" si="11"/>
        <v>414.7913</v>
      </c>
      <c r="K525" s="51">
        <f t="shared" si="12"/>
        <v>377.083</v>
      </c>
      <c r="L525" s="8">
        <f t="shared" si="3"/>
        <v>3.819615472</v>
      </c>
      <c r="M525" s="8">
        <f t="shared" si="4"/>
        <v>1.145884642</v>
      </c>
      <c r="N525" s="8">
        <f t="shared" si="5"/>
        <v>0.2291769283</v>
      </c>
      <c r="O525" s="8">
        <f t="shared" si="6"/>
        <v>0.754166</v>
      </c>
      <c r="P525" s="8">
        <f t="shared" si="7"/>
        <v>1.131249</v>
      </c>
      <c r="Q525" s="8">
        <f t="shared" si="8"/>
        <v>0.377083</v>
      </c>
      <c r="R525" s="57"/>
      <c r="S525" s="57"/>
      <c r="T525" s="57"/>
      <c r="U525" s="57"/>
      <c r="V525" s="57"/>
      <c r="W525" s="57"/>
      <c r="X525" s="57"/>
      <c r="Y525" s="57"/>
    </row>
    <row r="526" ht="34.5" customHeight="1">
      <c r="A526" s="24" t="s">
        <v>587</v>
      </c>
      <c r="B526" s="50" t="s">
        <v>588</v>
      </c>
      <c r="C526" s="50" t="s">
        <v>591</v>
      </c>
      <c r="D526" s="50" t="s">
        <v>595</v>
      </c>
      <c r="E526" s="50">
        <v>605.0</v>
      </c>
      <c r="F526" s="49">
        <v>27.16</v>
      </c>
      <c r="G526" s="50">
        <v>13.0</v>
      </c>
      <c r="H526" s="49">
        <v>69.75</v>
      </c>
      <c r="I526" s="49" t="s">
        <v>596</v>
      </c>
      <c r="J526" s="51">
        <f t="shared" si="11"/>
        <v>484.7502</v>
      </c>
      <c r="K526" s="51">
        <f t="shared" si="12"/>
        <v>440.682</v>
      </c>
      <c r="L526" s="8">
        <f t="shared" si="3"/>
        <v>4.463833653</v>
      </c>
      <c r="M526" s="8">
        <f t="shared" si="4"/>
        <v>1.339150096</v>
      </c>
      <c r="N526" s="8">
        <f t="shared" si="5"/>
        <v>0.2678300192</v>
      </c>
      <c r="O526" s="8">
        <f t="shared" si="6"/>
        <v>0.881364</v>
      </c>
      <c r="P526" s="8">
        <f t="shared" si="7"/>
        <v>1.322046</v>
      </c>
      <c r="Q526" s="8">
        <f t="shared" si="8"/>
        <v>0.440682</v>
      </c>
      <c r="R526" s="57"/>
      <c r="S526" s="57"/>
      <c r="T526" s="57"/>
      <c r="U526" s="57"/>
      <c r="V526" s="57"/>
      <c r="W526" s="57"/>
      <c r="X526" s="57"/>
      <c r="Y526" s="57"/>
    </row>
    <row r="527" ht="34.5" customHeight="1">
      <c r="A527" s="24" t="s">
        <v>587</v>
      </c>
      <c r="B527" s="50" t="s">
        <v>588</v>
      </c>
      <c r="C527" s="50" t="s">
        <v>591</v>
      </c>
      <c r="D527" s="50" t="s">
        <v>588</v>
      </c>
      <c r="E527" s="50">
        <v>12257.0</v>
      </c>
      <c r="F527" s="49">
        <v>50.92</v>
      </c>
      <c r="G527" s="50">
        <v>68.0</v>
      </c>
      <c r="H527" s="49">
        <v>56.16</v>
      </c>
      <c r="I527" s="49" t="s">
        <v>597</v>
      </c>
      <c r="J527" s="51">
        <f t="shared" si="11"/>
        <v>6617.30916</v>
      </c>
      <c r="K527" s="51">
        <f t="shared" si="12"/>
        <v>6015.7356</v>
      </c>
      <c r="L527" s="8">
        <f t="shared" si="3"/>
        <v>60.93564752</v>
      </c>
      <c r="M527" s="8">
        <f t="shared" si="4"/>
        <v>18.28069425</v>
      </c>
      <c r="N527" s="8">
        <f t="shared" si="5"/>
        <v>3.656138851</v>
      </c>
      <c r="O527" s="8">
        <f t="shared" si="6"/>
        <v>12.0314712</v>
      </c>
      <c r="P527" s="8">
        <f t="shared" si="7"/>
        <v>18.0472068</v>
      </c>
      <c r="Q527" s="8">
        <f t="shared" si="8"/>
        <v>6.0157356</v>
      </c>
      <c r="R527" s="57"/>
      <c r="S527" s="57"/>
      <c r="T527" s="57"/>
      <c r="U527" s="57"/>
      <c r="V527" s="57"/>
      <c r="W527" s="57"/>
      <c r="X527" s="57"/>
      <c r="Y527" s="57"/>
    </row>
    <row r="528" ht="34.5" customHeight="1">
      <c r="A528" s="24" t="s">
        <v>587</v>
      </c>
      <c r="B528" s="50" t="s">
        <v>588</v>
      </c>
      <c r="C528" s="50" t="s">
        <v>591</v>
      </c>
      <c r="D528" s="50" t="s">
        <v>598</v>
      </c>
      <c r="E528" s="50">
        <v>609.0</v>
      </c>
      <c r="F528" s="49">
        <v>36.7</v>
      </c>
      <c r="G528" s="50">
        <v>8.0</v>
      </c>
      <c r="H528" s="49">
        <v>14.32</v>
      </c>
      <c r="I528" s="49" t="s">
        <v>599</v>
      </c>
      <c r="J528" s="51">
        <f t="shared" si="11"/>
        <v>424.0467</v>
      </c>
      <c r="K528" s="51">
        <f t="shared" si="12"/>
        <v>385.497</v>
      </c>
      <c r="L528" s="8">
        <f t="shared" si="3"/>
        <v>3.904844041</v>
      </c>
      <c r="M528" s="8">
        <f t="shared" si="4"/>
        <v>1.171453212</v>
      </c>
      <c r="N528" s="8">
        <f t="shared" si="5"/>
        <v>0.2342906425</v>
      </c>
      <c r="O528" s="8">
        <f t="shared" si="6"/>
        <v>0.770994</v>
      </c>
      <c r="P528" s="8">
        <f t="shared" si="7"/>
        <v>1.156491</v>
      </c>
      <c r="Q528" s="8">
        <f t="shared" si="8"/>
        <v>0.385497</v>
      </c>
      <c r="R528" s="57"/>
      <c r="S528" s="57"/>
      <c r="T528" s="57"/>
      <c r="U528" s="57"/>
      <c r="V528" s="57"/>
      <c r="W528" s="57"/>
      <c r="X528" s="57"/>
      <c r="Y528" s="57"/>
    </row>
    <row r="529" ht="34.5" customHeight="1">
      <c r="A529" s="24" t="s">
        <v>587</v>
      </c>
      <c r="B529" s="50" t="s">
        <v>588</v>
      </c>
      <c r="C529" s="50" t="s">
        <v>591</v>
      </c>
      <c r="D529" s="50" t="s">
        <v>600</v>
      </c>
      <c r="E529" s="50">
        <v>215.0</v>
      </c>
      <c r="F529" s="49">
        <v>30.79</v>
      </c>
      <c r="G529" s="50">
        <v>4.0</v>
      </c>
      <c r="H529" s="49">
        <v>23.11</v>
      </c>
      <c r="I529" s="49">
        <v>100.0</v>
      </c>
      <c r="J529" s="51">
        <f t="shared" si="11"/>
        <v>163.68165</v>
      </c>
      <c r="K529" s="51">
        <f t="shared" si="12"/>
        <v>148.8015</v>
      </c>
      <c r="L529" s="8">
        <f t="shared" si="3"/>
        <v>1.507266336</v>
      </c>
      <c r="M529" s="8">
        <f t="shared" si="4"/>
        <v>0.4521799007</v>
      </c>
      <c r="N529" s="8">
        <f t="shared" si="5"/>
        <v>0.09043598014</v>
      </c>
      <c r="O529" s="8">
        <f t="shared" si="6"/>
        <v>0.297603</v>
      </c>
      <c r="P529" s="8">
        <f t="shared" si="7"/>
        <v>0.4464045</v>
      </c>
      <c r="Q529" s="8">
        <f t="shared" si="8"/>
        <v>0.1488015</v>
      </c>
      <c r="R529" s="57"/>
      <c r="S529" s="57"/>
      <c r="T529" s="57"/>
      <c r="U529" s="57"/>
      <c r="V529" s="57"/>
      <c r="W529" s="57"/>
      <c r="X529" s="57"/>
      <c r="Y529" s="57"/>
    </row>
    <row r="530" ht="34.5" customHeight="1">
      <c r="A530" s="24" t="s">
        <v>587</v>
      </c>
      <c r="B530" s="50" t="s">
        <v>588</v>
      </c>
      <c r="C530" s="50" t="s">
        <v>591</v>
      </c>
      <c r="D530" s="50" t="s">
        <v>601</v>
      </c>
      <c r="E530" s="50">
        <v>2822.0</v>
      </c>
      <c r="F530" s="49">
        <v>30.79</v>
      </c>
      <c r="G530" s="50">
        <v>15.0</v>
      </c>
      <c r="H530" s="49">
        <v>41.85</v>
      </c>
      <c r="I530" s="49" t="s">
        <v>602</v>
      </c>
      <c r="J530" s="51">
        <f t="shared" si="11"/>
        <v>2148.41682</v>
      </c>
      <c r="K530" s="51">
        <f t="shared" si="12"/>
        <v>1953.1062</v>
      </c>
      <c r="L530" s="8">
        <f t="shared" si="3"/>
        <v>19.78374697</v>
      </c>
      <c r="M530" s="8">
        <f t="shared" si="4"/>
        <v>5.935124092</v>
      </c>
      <c r="N530" s="8">
        <f t="shared" si="5"/>
        <v>1.187024818</v>
      </c>
      <c r="O530" s="8">
        <f t="shared" si="6"/>
        <v>3.9062124</v>
      </c>
      <c r="P530" s="8">
        <f t="shared" si="7"/>
        <v>5.8593186</v>
      </c>
      <c r="Q530" s="8">
        <f t="shared" si="8"/>
        <v>1.9531062</v>
      </c>
      <c r="R530" s="57"/>
      <c r="S530" s="57"/>
      <c r="T530" s="57"/>
      <c r="U530" s="57"/>
      <c r="V530" s="57"/>
      <c r="W530" s="57"/>
      <c r="X530" s="57"/>
      <c r="Y530" s="57"/>
    </row>
    <row r="531" ht="34.5" customHeight="1">
      <c r="A531" s="24" t="s">
        <v>587</v>
      </c>
      <c r="B531" s="50" t="s">
        <v>588</v>
      </c>
      <c r="C531" s="50" t="s">
        <v>591</v>
      </c>
      <c r="D531" s="50" t="s">
        <v>603</v>
      </c>
      <c r="E531" s="50">
        <v>3088.0</v>
      </c>
      <c r="F531" s="49">
        <v>43.84</v>
      </c>
      <c r="G531" s="50">
        <v>17.0</v>
      </c>
      <c r="H531" s="49">
        <v>34.28</v>
      </c>
      <c r="I531" s="49">
        <v>52.1</v>
      </c>
      <c r="J531" s="51">
        <f t="shared" si="11"/>
        <v>1907.64288</v>
      </c>
      <c r="K531" s="51">
        <f t="shared" si="12"/>
        <v>1734.2208</v>
      </c>
      <c r="L531" s="8">
        <f t="shared" si="3"/>
        <v>17.56657447</v>
      </c>
      <c r="M531" s="8">
        <f t="shared" si="4"/>
        <v>5.26997234</v>
      </c>
      <c r="N531" s="8">
        <f t="shared" si="5"/>
        <v>1.053994468</v>
      </c>
      <c r="O531" s="8">
        <f t="shared" si="6"/>
        <v>3.4684416</v>
      </c>
      <c r="P531" s="8">
        <f t="shared" si="7"/>
        <v>5.2026624</v>
      </c>
      <c r="Q531" s="8">
        <f t="shared" si="8"/>
        <v>1.7342208</v>
      </c>
      <c r="R531" s="57"/>
      <c r="S531" s="57"/>
      <c r="T531" s="57"/>
      <c r="U531" s="57"/>
      <c r="V531" s="57"/>
      <c r="W531" s="57"/>
      <c r="X531" s="57"/>
      <c r="Y531" s="57"/>
    </row>
    <row r="532" ht="34.5" customHeight="1">
      <c r="A532" s="24" t="s">
        <v>587</v>
      </c>
      <c r="B532" s="50" t="s">
        <v>588</v>
      </c>
      <c r="C532" s="50" t="s">
        <v>591</v>
      </c>
      <c r="D532" s="50" t="s">
        <v>604</v>
      </c>
      <c r="E532" s="50">
        <v>1287.0</v>
      </c>
      <c r="F532" s="49">
        <v>30.43</v>
      </c>
      <c r="G532" s="50">
        <v>22.0</v>
      </c>
      <c r="H532" s="49">
        <v>54.24</v>
      </c>
      <c r="I532" s="49" t="s">
        <v>605</v>
      </c>
      <c r="J532" s="51">
        <f t="shared" si="11"/>
        <v>984.90249</v>
      </c>
      <c r="K532" s="51">
        <f t="shared" si="12"/>
        <v>895.3659</v>
      </c>
      <c r="L532" s="8">
        <f t="shared" si="3"/>
        <v>9.069497815</v>
      </c>
      <c r="M532" s="8">
        <f t="shared" si="4"/>
        <v>2.720849345</v>
      </c>
      <c r="N532" s="8">
        <f t="shared" si="5"/>
        <v>0.5441698689</v>
      </c>
      <c r="O532" s="8">
        <f t="shared" si="6"/>
        <v>1.7907318</v>
      </c>
      <c r="P532" s="8">
        <f t="shared" si="7"/>
        <v>2.6860977</v>
      </c>
      <c r="Q532" s="8">
        <f t="shared" si="8"/>
        <v>0.8953659</v>
      </c>
      <c r="R532" s="57"/>
      <c r="S532" s="57"/>
      <c r="T532" s="57"/>
      <c r="U532" s="57"/>
      <c r="V532" s="57"/>
      <c r="W532" s="57"/>
      <c r="X532" s="57"/>
      <c r="Y532" s="57"/>
    </row>
    <row r="533" ht="34.5" customHeight="1">
      <c r="A533" s="24" t="s">
        <v>587</v>
      </c>
      <c r="B533" s="50" t="s">
        <v>588</v>
      </c>
      <c r="C533" s="50" t="s">
        <v>591</v>
      </c>
      <c r="D533" s="50" t="s">
        <v>606</v>
      </c>
      <c r="E533" s="50">
        <v>717.0</v>
      </c>
      <c r="F533" s="49">
        <v>33.15</v>
      </c>
      <c r="G533" s="50">
        <v>11.0</v>
      </c>
      <c r="H533" s="49">
        <v>6.0</v>
      </c>
      <c r="I533" s="49" t="s">
        <v>607</v>
      </c>
      <c r="J533" s="51">
        <f t="shared" si="11"/>
        <v>527.24595</v>
      </c>
      <c r="K533" s="51">
        <f t="shared" si="12"/>
        <v>479.3145</v>
      </c>
      <c r="L533" s="8">
        <f t="shared" si="3"/>
        <v>4.855156769</v>
      </c>
      <c r="M533" s="8">
        <f t="shared" si="4"/>
        <v>1.456547031</v>
      </c>
      <c r="N533" s="8">
        <f t="shared" si="5"/>
        <v>0.2913094062</v>
      </c>
      <c r="O533" s="8">
        <f t="shared" si="6"/>
        <v>0.958629</v>
      </c>
      <c r="P533" s="8">
        <f t="shared" si="7"/>
        <v>1.4379435</v>
      </c>
      <c r="Q533" s="8">
        <f t="shared" si="8"/>
        <v>0.4793145</v>
      </c>
      <c r="R533" s="57"/>
      <c r="S533" s="57"/>
      <c r="T533" s="57"/>
      <c r="U533" s="57"/>
      <c r="V533" s="57"/>
      <c r="W533" s="57"/>
      <c r="X533" s="57"/>
      <c r="Y533" s="57"/>
    </row>
    <row r="534" ht="34.5" customHeight="1">
      <c r="A534" s="24" t="s">
        <v>587</v>
      </c>
      <c r="B534" s="50" t="s">
        <v>588</v>
      </c>
      <c r="C534" s="50" t="s">
        <v>589</v>
      </c>
      <c r="D534" s="50" t="s">
        <v>608</v>
      </c>
      <c r="E534" s="50">
        <v>67.0</v>
      </c>
      <c r="F534" s="49">
        <v>10.85</v>
      </c>
      <c r="G534" s="50">
        <v>4.0</v>
      </c>
      <c r="H534" s="49">
        <v>86.47</v>
      </c>
      <c r="I534" s="49">
        <v>86.47</v>
      </c>
      <c r="J534" s="51">
        <f t="shared" si="11"/>
        <v>65.70355</v>
      </c>
      <c r="K534" s="51">
        <f t="shared" si="12"/>
        <v>59.7305</v>
      </c>
      <c r="L534" s="8">
        <f t="shared" si="3"/>
        <v>0.6050326903</v>
      </c>
      <c r="M534" s="8">
        <f t="shared" si="4"/>
        <v>0.1815098071</v>
      </c>
      <c r="N534" s="8">
        <f t="shared" si="5"/>
        <v>0.03630196142</v>
      </c>
      <c r="O534" s="8">
        <f t="shared" si="6"/>
        <v>0.119461</v>
      </c>
      <c r="P534" s="8">
        <f t="shared" si="7"/>
        <v>0.1791915</v>
      </c>
      <c r="Q534" s="8">
        <f t="shared" si="8"/>
        <v>0.0597305</v>
      </c>
      <c r="R534" s="57"/>
      <c r="S534" s="57"/>
      <c r="T534" s="57"/>
      <c r="U534" s="57"/>
      <c r="V534" s="57"/>
      <c r="W534" s="57"/>
      <c r="X534" s="57"/>
      <c r="Y534" s="57"/>
    </row>
    <row r="535" ht="34.5" customHeight="1">
      <c r="A535" s="24" t="s">
        <v>587</v>
      </c>
      <c r="B535" s="50" t="s">
        <v>588</v>
      </c>
      <c r="C535" s="50" t="s">
        <v>589</v>
      </c>
      <c r="D535" s="50" t="s">
        <v>609</v>
      </c>
      <c r="E535" s="50">
        <v>66.0</v>
      </c>
      <c r="F535" s="49">
        <v>40.85</v>
      </c>
      <c r="G535" s="50">
        <v>3.0</v>
      </c>
      <c r="H535" s="49">
        <v>85.84</v>
      </c>
      <c r="I535" s="49" t="s">
        <v>610</v>
      </c>
      <c r="J535" s="51">
        <f t="shared" si="11"/>
        <v>42.9429</v>
      </c>
      <c r="K535" s="51">
        <f t="shared" si="12"/>
        <v>39.039</v>
      </c>
      <c r="L535" s="8">
        <f t="shared" si="3"/>
        <v>0.3954407078</v>
      </c>
      <c r="M535" s="8">
        <f t="shared" si="4"/>
        <v>0.1186322123</v>
      </c>
      <c r="N535" s="8">
        <f t="shared" si="5"/>
        <v>0.02372644247</v>
      </c>
      <c r="O535" s="8">
        <f t="shared" si="6"/>
        <v>0.078078</v>
      </c>
      <c r="P535" s="8">
        <f t="shared" si="7"/>
        <v>0.117117</v>
      </c>
      <c r="Q535" s="8">
        <f t="shared" si="8"/>
        <v>0.039039</v>
      </c>
      <c r="R535" s="57"/>
      <c r="S535" s="57"/>
      <c r="T535" s="57"/>
      <c r="U535" s="57"/>
      <c r="V535" s="57"/>
      <c r="W535" s="57"/>
      <c r="X535" s="57"/>
      <c r="Y535" s="57"/>
    </row>
    <row r="536" ht="34.5" customHeight="1">
      <c r="A536" s="24" t="s">
        <v>587</v>
      </c>
      <c r="B536" s="50" t="s">
        <v>588</v>
      </c>
      <c r="C536" s="50" t="s">
        <v>591</v>
      </c>
      <c r="D536" s="50" t="s">
        <v>611</v>
      </c>
      <c r="E536" s="50">
        <v>820.0</v>
      </c>
      <c r="F536" s="49">
        <v>30.56</v>
      </c>
      <c r="G536" s="50">
        <v>11.0</v>
      </c>
      <c r="H536" s="49">
        <v>51.95</v>
      </c>
      <c r="I536" s="49" t="s">
        <v>612</v>
      </c>
      <c r="J536" s="51">
        <f t="shared" si="11"/>
        <v>626.3488</v>
      </c>
      <c r="K536" s="51">
        <f t="shared" si="12"/>
        <v>569.408</v>
      </c>
      <c r="L536" s="8">
        <f t="shared" si="3"/>
        <v>5.767747702</v>
      </c>
      <c r="M536" s="8">
        <f t="shared" si="4"/>
        <v>1.730324311</v>
      </c>
      <c r="N536" s="8">
        <f t="shared" si="5"/>
        <v>0.3460648621</v>
      </c>
      <c r="O536" s="8">
        <f t="shared" si="6"/>
        <v>1.138816</v>
      </c>
      <c r="P536" s="8">
        <f t="shared" si="7"/>
        <v>1.708224</v>
      </c>
      <c r="Q536" s="8">
        <f t="shared" si="8"/>
        <v>0.569408</v>
      </c>
      <c r="R536" s="57"/>
      <c r="S536" s="57"/>
      <c r="T536" s="57"/>
      <c r="U536" s="57"/>
      <c r="V536" s="57"/>
      <c r="W536" s="57"/>
      <c r="X536" s="57"/>
      <c r="Y536" s="57"/>
    </row>
    <row r="537" ht="34.5" customHeight="1">
      <c r="A537" s="24" t="s">
        <v>587</v>
      </c>
      <c r="B537" s="50" t="s">
        <v>588</v>
      </c>
      <c r="C537" s="50" t="s">
        <v>591</v>
      </c>
      <c r="D537" s="50" t="s">
        <v>613</v>
      </c>
      <c r="E537" s="50">
        <v>179.0</v>
      </c>
      <c r="F537" s="49">
        <v>27.03</v>
      </c>
      <c r="G537" s="50">
        <v>3.0</v>
      </c>
      <c r="H537" s="49">
        <v>50.65</v>
      </c>
      <c r="I537" s="49">
        <v>91.4</v>
      </c>
      <c r="J537" s="51">
        <f t="shared" si="11"/>
        <v>143.67793</v>
      </c>
      <c r="K537" s="51">
        <f t="shared" si="12"/>
        <v>130.6163</v>
      </c>
      <c r="L537" s="8">
        <f t="shared" si="3"/>
        <v>1.323061608</v>
      </c>
      <c r="M537" s="8">
        <f t="shared" si="4"/>
        <v>0.3969184824</v>
      </c>
      <c r="N537" s="8">
        <f t="shared" si="5"/>
        <v>0.07938369648</v>
      </c>
      <c r="O537" s="8">
        <f t="shared" si="6"/>
        <v>0.2612326</v>
      </c>
      <c r="P537" s="8">
        <f t="shared" si="7"/>
        <v>0.3918489</v>
      </c>
      <c r="Q537" s="8">
        <f t="shared" si="8"/>
        <v>0.1306163</v>
      </c>
      <c r="R537" s="57"/>
      <c r="S537" s="57"/>
      <c r="T537" s="57"/>
      <c r="U537" s="57"/>
      <c r="V537" s="57"/>
      <c r="W537" s="57"/>
      <c r="X537" s="57"/>
      <c r="Y537" s="57"/>
    </row>
    <row r="538" ht="34.5" customHeight="1">
      <c r="A538" s="24" t="s">
        <v>587</v>
      </c>
      <c r="B538" s="50" t="s">
        <v>588</v>
      </c>
      <c r="C538" s="50" t="s">
        <v>591</v>
      </c>
      <c r="D538" s="50" t="s">
        <v>614</v>
      </c>
      <c r="E538" s="50">
        <v>615.0</v>
      </c>
      <c r="F538" s="49">
        <v>40.88</v>
      </c>
      <c r="G538" s="50">
        <v>7.0</v>
      </c>
      <c r="H538" s="49">
        <v>5.73</v>
      </c>
      <c r="I538" s="49" t="s">
        <v>615</v>
      </c>
      <c r="J538" s="51">
        <f t="shared" si="11"/>
        <v>399.9468</v>
      </c>
      <c r="K538" s="51">
        <f t="shared" si="12"/>
        <v>363.588</v>
      </c>
      <c r="L538" s="8">
        <f t="shared" si="3"/>
        <v>3.682919543</v>
      </c>
      <c r="M538" s="8">
        <f t="shared" si="4"/>
        <v>1.104875863</v>
      </c>
      <c r="N538" s="8">
        <f t="shared" si="5"/>
        <v>0.2209751726</v>
      </c>
      <c r="O538" s="8">
        <f t="shared" si="6"/>
        <v>0.727176</v>
      </c>
      <c r="P538" s="8">
        <f t="shared" si="7"/>
        <v>1.090764</v>
      </c>
      <c r="Q538" s="8">
        <f t="shared" si="8"/>
        <v>0.363588</v>
      </c>
      <c r="R538" s="57"/>
      <c r="S538" s="57"/>
      <c r="T538" s="57"/>
      <c r="U538" s="57"/>
      <c r="V538" s="57"/>
      <c r="W538" s="57"/>
      <c r="X538" s="57"/>
      <c r="Y538" s="57"/>
    </row>
    <row r="539" ht="34.5" customHeight="1">
      <c r="A539" s="24" t="s">
        <v>587</v>
      </c>
      <c r="B539" s="50" t="s">
        <v>588</v>
      </c>
      <c r="C539" s="50" t="s">
        <v>591</v>
      </c>
      <c r="D539" s="50" t="s">
        <v>616</v>
      </c>
      <c r="E539" s="50">
        <v>1400.0</v>
      </c>
      <c r="F539" s="49">
        <v>49.22</v>
      </c>
      <c r="G539" s="50">
        <v>10.0</v>
      </c>
      <c r="H539" s="49">
        <v>0.0</v>
      </c>
      <c r="I539" s="49" t="s">
        <v>617</v>
      </c>
      <c r="J539" s="51">
        <f t="shared" si="11"/>
        <v>782.012</v>
      </c>
      <c r="K539" s="51">
        <f t="shared" si="12"/>
        <v>710.92</v>
      </c>
      <c r="L539" s="8">
        <f t="shared" si="3"/>
        <v>7.201175951</v>
      </c>
      <c r="M539" s="8">
        <f t="shared" si="4"/>
        <v>2.160352785</v>
      </c>
      <c r="N539" s="8">
        <f t="shared" si="5"/>
        <v>0.4320705571</v>
      </c>
      <c r="O539" s="8">
        <f t="shared" si="6"/>
        <v>1.42184</v>
      </c>
      <c r="P539" s="8">
        <f t="shared" si="7"/>
        <v>2.13276</v>
      </c>
      <c r="Q539" s="8">
        <f t="shared" si="8"/>
        <v>0.71092</v>
      </c>
      <c r="R539" s="57"/>
      <c r="S539" s="57"/>
      <c r="T539" s="57"/>
      <c r="U539" s="57"/>
      <c r="V539" s="57"/>
      <c r="W539" s="57"/>
      <c r="X539" s="57"/>
      <c r="Y539" s="57"/>
    </row>
    <row r="540" ht="34.5" customHeight="1">
      <c r="A540" s="24" t="s">
        <v>587</v>
      </c>
      <c r="B540" s="50" t="s">
        <v>588</v>
      </c>
      <c r="C540" s="50" t="s">
        <v>591</v>
      </c>
      <c r="D540" s="50" t="s">
        <v>618</v>
      </c>
      <c r="E540" s="50">
        <v>485.0</v>
      </c>
      <c r="F540" s="49">
        <v>29.23</v>
      </c>
      <c r="G540" s="50">
        <v>9.0</v>
      </c>
      <c r="H540" s="49">
        <v>72.0</v>
      </c>
      <c r="I540" s="49" t="s">
        <v>619</v>
      </c>
      <c r="J540" s="51">
        <f t="shared" si="11"/>
        <v>377.55795</v>
      </c>
      <c r="K540" s="51">
        <f t="shared" si="12"/>
        <v>343.2345</v>
      </c>
      <c r="L540" s="8">
        <f t="shared" si="3"/>
        <v>3.47675129</v>
      </c>
      <c r="M540" s="8">
        <f t="shared" si="4"/>
        <v>1.043025387</v>
      </c>
      <c r="N540" s="8">
        <f t="shared" si="5"/>
        <v>0.2086050774</v>
      </c>
      <c r="O540" s="8">
        <f t="shared" si="6"/>
        <v>0.686469</v>
      </c>
      <c r="P540" s="8">
        <f t="shared" si="7"/>
        <v>1.0297035</v>
      </c>
      <c r="Q540" s="8">
        <f t="shared" si="8"/>
        <v>0.3432345</v>
      </c>
      <c r="R540" s="57"/>
      <c r="S540" s="57"/>
      <c r="T540" s="57"/>
      <c r="U540" s="57"/>
      <c r="V540" s="57"/>
      <c r="W540" s="57"/>
      <c r="X540" s="57"/>
      <c r="Y540" s="57"/>
    </row>
    <row r="541" ht="34.5" customHeight="1">
      <c r="A541" s="24" t="s">
        <v>587</v>
      </c>
      <c r="B541" s="50" t="s">
        <v>588</v>
      </c>
      <c r="C541" s="50" t="s">
        <v>591</v>
      </c>
      <c r="D541" s="50" t="s">
        <v>620</v>
      </c>
      <c r="E541" s="50">
        <v>1971.0</v>
      </c>
      <c r="F541" s="49">
        <v>44.99</v>
      </c>
      <c r="G541" s="50">
        <v>17.0</v>
      </c>
      <c r="H541" s="49">
        <v>10.7</v>
      </c>
      <c r="I541" s="49" t="s">
        <v>621</v>
      </c>
      <c r="J541" s="51">
        <f t="shared" si="11"/>
        <v>1192.67181</v>
      </c>
      <c r="K541" s="51">
        <f t="shared" si="12"/>
        <v>1084.2471</v>
      </c>
      <c r="L541" s="8">
        <f t="shared" si="3"/>
        <v>10.9827465</v>
      </c>
      <c r="M541" s="8">
        <f t="shared" si="4"/>
        <v>3.29482395</v>
      </c>
      <c r="N541" s="8">
        <f t="shared" si="5"/>
        <v>0.65896479</v>
      </c>
      <c r="O541" s="8">
        <f t="shared" si="6"/>
        <v>2.1684942</v>
      </c>
      <c r="P541" s="8">
        <f t="shared" si="7"/>
        <v>3.2527413</v>
      </c>
      <c r="Q541" s="8">
        <f t="shared" si="8"/>
        <v>1.0842471</v>
      </c>
      <c r="R541" s="57"/>
      <c r="S541" s="57"/>
      <c r="T541" s="57"/>
      <c r="U541" s="57"/>
      <c r="V541" s="57"/>
      <c r="W541" s="57"/>
      <c r="X541" s="57"/>
      <c r="Y541" s="57"/>
    </row>
    <row r="542" ht="34.5" customHeight="1">
      <c r="A542" s="24" t="s">
        <v>587</v>
      </c>
      <c r="B542" s="50" t="s">
        <v>588</v>
      </c>
      <c r="C542" s="50" t="s">
        <v>591</v>
      </c>
      <c r="D542" s="50" t="s">
        <v>622</v>
      </c>
      <c r="E542" s="50">
        <v>278.0</v>
      </c>
      <c r="F542" s="49">
        <v>23.36</v>
      </c>
      <c r="G542" s="50">
        <v>7.0</v>
      </c>
      <c r="H542" s="49">
        <v>88.8</v>
      </c>
      <c r="I542" s="49" t="s">
        <v>623</v>
      </c>
      <c r="J542" s="51">
        <f t="shared" si="11"/>
        <v>234.36512</v>
      </c>
      <c r="K542" s="51">
        <f t="shared" si="12"/>
        <v>213.0592</v>
      </c>
      <c r="L542" s="8">
        <f t="shared" si="3"/>
        <v>2.158156737</v>
      </c>
      <c r="M542" s="8">
        <f t="shared" si="4"/>
        <v>0.647447021</v>
      </c>
      <c r="N542" s="8">
        <f t="shared" si="5"/>
        <v>0.1294894042</v>
      </c>
      <c r="O542" s="8">
        <f t="shared" si="6"/>
        <v>0.4261184</v>
      </c>
      <c r="P542" s="8">
        <f t="shared" si="7"/>
        <v>0.6391776</v>
      </c>
      <c r="Q542" s="8">
        <f t="shared" si="8"/>
        <v>0.2130592</v>
      </c>
      <c r="R542" s="57"/>
      <c r="S542" s="57"/>
      <c r="T542" s="57"/>
      <c r="U542" s="57"/>
      <c r="V542" s="57"/>
      <c r="W542" s="57"/>
      <c r="X542" s="57"/>
      <c r="Y542" s="57"/>
    </row>
    <row r="543" ht="34.5" customHeight="1">
      <c r="A543" s="24" t="s">
        <v>587</v>
      </c>
      <c r="B543" s="50" t="s">
        <v>588</v>
      </c>
      <c r="C543" s="50" t="s">
        <v>589</v>
      </c>
      <c r="D543" s="50" t="s">
        <v>624</v>
      </c>
      <c r="E543" s="50">
        <v>254.0</v>
      </c>
      <c r="F543" s="49">
        <v>19.91</v>
      </c>
      <c r="G543" s="50">
        <v>9.0</v>
      </c>
      <c r="H543" s="49">
        <v>82.62</v>
      </c>
      <c r="I543" s="49">
        <v>100.0</v>
      </c>
      <c r="J543" s="51">
        <f t="shared" si="11"/>
        <v>223.77146</v>
      </c>
      <c r="K543" s="51">
        <f t="shared" si="12"/>
        <v>203.4286</v>
      </c>
      <c r="L543" s="8">
        <f t="shared" si="3"/>
        <v>2.060604769</v>
      </c>
      <c r="M543" s="8">
        <f t="shared" si="4"/>
        <v>0.6181814306</v>
      </c>
      <c r="N543" s="8">
        <f t="shared" si="5"/>
        <v>0.1236362861</v>
      </c>
      <c r="O543" s="8">
        <f t="shared" si="6"/>
        <v>0.4068572</v>
      </c>
      <c r="P543" s="8">
        <f t="shared" si="7"/>
        <v>0.6102858</v>
      </c>
      <c r="Q543" s="8">
        <f t="shared" si="8"/>
        <v>0.2034286</v>
      </c>
      <c r="R543" s="57"/>
      <c r="S543" s="57"/>
      <c r="T543" s="57"/>
      <c r="U543" s="57"/>
      <c r="V543" s="57"/>
      <c r="W543" s="57"/>
      <c r="X543" s="57"/>
      <c r="Y543" s="57"/>
    </row>
    <row r="544" ht="34.5" customHeight="1">
      <c r="A544" s="24" t="s">
        <v>587</v>
      </c>
      <c r="B544" s="50" t="s">
        <v>588</v>
      </c>
      <c r="C544" s="50" t="s">
        <v>591</v>
      </c>
      <c r="D544" s="50" t="s">
        <v>625</v>
      </c>
      <c r="E544" s="50">
        <v>3329.0</v>
      </c>
      <c r="F544" s="49">
        <v>38.25</v>
      </c>
      <c r="G544" s="50">
        <v>22.0</v>
      </c>
      <c r="H544" s="49">
        <v>25.65</v>
      </c>
      <c r="I544" s="49" t="s">
        <v>626</v>
      </c>
      <c r="J544" s="51">
        <f t="shared" si="11"/>
        <v>2261.22325</v>
      </c>
      <c r="K544" s="51">
        <f t="shared" si="12"/>
        <v>2055.6575</v>
      </c>
      <c r="L544" s="8">
        <f t="shared" si="3"/>
        <v>20.82252764</v>
      </c>
      <c r="M544" s="8">
        <f t="shared" si="4"/>
        <v>6.246758293</v>
      </c>
      <c r="N544" s="8">
        <f t="shared" si="5"/>
        <v>1.249351659</v>
      </c>
      <c r="O544" s="8">
        <f t="shared" si="6"/>
        <v>4.111315</v>
      </c>
      <c r="P544" s="8">
        <f t="shared" si="7"/>
        <v>6.1669725</v>
      </c>
      <c r="Q544" s="8">
        <f t="shared" si="8"/>
        <v>2.0556575</v>
      </c>
      <c r="R544" s="57"/>
      <c r="S544" s="57"/>
      <c r="T544" s="57"/>
      <c r="U544" s="57"/>
      <c r="V544" s="57"/>
      <c r="W544" s="57"/>
      <c r="X544" s="57"/>
      <c r="Y544" s="57"/>
    </row>
    <row r="545" ht="34.5" customHeight="1">
      <c r="A545" s="24" t="s">
        <v>587</v>
      </c>
      <c r="B545" s="50" t="s">
        <v>588</v>
      </c>
      <c r="C545" s="50" t="s">
        <v>591</v>
      </c>
      <c r="D545" s="50" t="s">
        <v>627</v>
      </c>
      <c r="E545" s="50">
        <v>1251.0</v>
      </c>
      <c r="F545" s="49">
        <v>55.25</v>
      </c>
      <c r="G545" s="50">
        <v>14.0</v>
      </c>
      <c r="H545" s="49">
        <v>0.0</v>
      </c>
      <c r="I545" s="49" t="s">
        <v>628</v>
      </c>
      <c r="J545" s="51">
        <f t="shared" si="11"/>
        <v>615.80475</v>
      </c>
      <c r="K545" s="51">
        <f t="shared" si="12"/>
        <v>559.8225</v>
      </c>
      <c r="L545" s="8">
        <f t="shared" si="3"/>
        <v>5.670652568</v>
      </c>
      <c r="M545" s="8">
        <f t="shared" si="4"/>
        <v>1.701195771</v>
      </c>
      <c r="N545" s="8">
        <f t="shared" si="5"/>
        <v>0.3402391541</v>
      </c>
      <c r="O545" s="8">
        <f t="shared" si="6"/>
        <v>1.119645</v>
      </c>
      <c r="P545" s="8">
        <f t="shared" si="7"/>
        <v>1.6794675</v>
      </c>
      <c r="Q545" s="8">
        <f t="shared" si="8"/>
        <v>0.5598225</v>
      </c>
      <c r="R545" s="57"/>
      <c r="S545" s="57"/>
      <c r="T545" s="57"/>
      <c r="U545" s="57"/>
      <c r="V545" s="57"/>
      <c r="W545" s="57"/>
      <c r="X545" s="57"/>
      <c r="Y545" s="57"/>
    </row>
    <row r="546" ht="34.5" customHeight="1">
      <c r="A546" s="24" t="s">
        <v>587</v>
      </c>
      <c r="B546" s="50" t="s">
        <v>588</v>
      </c>
      <c r="C546" s="50" t="s">
        <v>591</v>
      </c>
      <c r="D546" s="50" t="s">
        <v>629</v>
      </c>
      <c r="E546" s="50">
        <v>787.0</v>
      </c>
      <c r="F546" s="49">
        <v>53.27</v>
      </c>
      <c r="G546" s="50">
        <v>6.0</v>
      </c>
      <c r="H546" s="49">
        <v>0.0</v>
      </c>
      <c r="I546" s="49">
        <v>70.0</v>
      </c>
      <c r="J546" s="51">
        <f t="shared" si="11"/>
        <v>404.54161</v>
      </c>
      <c r="K546" s="51">
        <f t="shared" si="12"/>
        <v>367.7651</v>
      </c>
      <c r="L546" s="8">
        <f t="shared" si="3"/>
        <v>3.72523096</v>
      </c>
      <c r="M546" s="8">
        <f t="shared" si="4"/>
        <v>1.117569288</v>
      </c>
      <c r="N546" s="8">
        <f t="shared" si="5"/>
        <v>0.2235138576</v>
      </c>
      <c r="O546" s="8">
        <f t="shared" si="6"/>
        <v>0.7355302</v>
      </c>
      <c r="P546" s="8">
        <f t="shared" si="7"/>
        <v>1.1032953</v>
      </c>
      <c r="Q546" s="8">
        <f t="shared" si="8"/>
        <v>0.3677651</v>
      </c>
      <c r="R546" s="57"/>
      <c r="S546" s="57"/>
      <c r="T546" s="57"/>
      <c r="U546" s="57"/>
      <c r="V546" s="57"/>
      <c r="W546" s="57"/>
      <c r="X546" s="57"/>
      <c r="Y546" s="57"/>
    </row>
    <row r="547" ht="34.5" customHeight="1">
      <c r="A547" s="24" t="s">
        <v>587</v>
      </c>
      <c r="B547" s="42" t="s">
        <v>630</v>
      </c>
      <c r="C547" s="42" t="s">
        <v>631</v>
      </c>
      <c r="D547" s="42" t="s">
        <v>632</v>
      </c>
      <c r="E547" s="42">
        <v>378.0</v>
      </c>
      <c r="F547" s="43">
        <v>20.86</v>
      </c>
      <c r="G547" s="42">
        <v>6.0</v>
      </c>
      <c r="H547" s="43">
        <v>28.51</v>
      </c>
      <c r="I547" s="43">
        <v>53.3</v>
      </c>
      <c r="J547" s="44">
        <f t="shared" si="11"/>
        <v>329.06412</v>
      </c>
      <c r="K547" s="44">
        <f t="shared" si="12"/>
        <v>299.1492</v>
      </c>
      <c r="L547" s="8">
        <f t="shared" si="3"/>
        <v>3.030194712</v>
      </c>
      <c r="M547" s="8">
        <f t="shared" si="4"/>
        <v>0.9090584137</v>
      </c>
      <c r="N547" s="8">
        <f t="shared" si="5"/>
        <v>0.1818116827</v>
      </c>
      <c r="O547" s="8">
        <f t="shared" si="6"/>
        <v>0.5982984</v>
      </c>
      <c r="P547" s="8">
        <f t="shared" si="7"/>
        <v>0.8974476</v>
      </c>
      <c r="Q547" s="8">
        <f t="shared" si="8"/>
        <v>0.2991492</v>
      </c>
      <c r="R547" s="57"/>
      <c r="S547" s="57"/>
      <c r="T547" s="57"/>
      <c r="U547" s="57"/>
      <c r="V547" s="57"/>
      <c r="W547" s="57"/>
      <c r="X547" s="57"/>
      <c r="Y547" s="57"/>
      <c r="Z547" s="61"/>
    </row>
    <row r="548" ht="34.5" customHeight="1">
      <c r="A548" s="24" t="s">
        <v>587</v>
      </c>
      <c r="B548" s="42" t="s">
        <v>630</v>
      </c>
      <c r="C548" s="42" t="s">
        <v>631</v>
      </c>
      <c r="D548" s="42" t="s">
        <v>633</v>
      </c>
      <c r="E548" s="42">
        <v>57.0</v>
      </c>
      <c r="F548" s="43">
        <v>23.81</v>
      </c>
      <c r="G548" s="42">
        <v>3.0</v>
      </c>
      <c r="H548" s="43">
        <v>84.35</v>
      </c>
      <c r="I548" s="43">
        <v>100.0</v>
      </c>
      <c r="J548" s="44">
        <f t="shared" si="11"/>
        <v>47.77113</v>
      </c>
      <c r="K548" s="44">
        <f t="shared" si="12"/>
        <v>43.4283</v>
      </c>
      <c r="L548" s="8">
        <f t="shared" si="3"/>
        <v>0.4399015776</v>
      </c>
      <c r="M548" s="8">
        <f t="shared" si="4"/>
        <v>0.1319704733</v>
      </c>
      <c r="N548" s="8">
        <f t="shared" si="5"/>
        <v>0.02639409466</v>
      </c>
      <c r="O548" s="8">
        <f t="shared" si="6"/>
        <v>0.0868566</v>
      </c>
      <c r="P548" s="8">
        <f t="shared" si="7"/>
        <v>0.1302849</v>
      </c>
      <c r="Q548" s="8">
        <f t="shared" si="8"/>
        <v>0.0434283</v>
      </c>
      <c r="R548" s="57"/>
      <c r="S548" s="57"/>
      <c r="T548" s="57"/>
      <c r="U548" s="57"/>
      <c r="V548" s="57"/>
      <c r="W548" s="57"/>
      <c r="X548" s="57"/>
      <c r="Y548" s="57"/>
      <c r="Z548" s="61"/>
    </row>
    <row r="549" ht="34.5" customHeight="1">
      <c r="A549" s="24" t="s">
        <v>587</v>
      </c>
      <c r="B549" s="42" t="s">
        <v>630</v>
      </c>
      <c r="C549" s="42" t="s">
        <v>634</v>
      </c>
      <c r="D549" s="42" t="s">
        <v>635</v>
      </c>
      <c r="E549" s="42">
        <v>190.0</v>
      </c>
      <c r="F549" s="43">
        <v>13.21</v>
      </c>
      <c r="G549" s="42">
        <v>6.0</v>
      </c>
      <c r="H549" s="43">
        <v>72.69</v>
      </c>
      <c r="I549" s="43" t="s">
        <v>636</v>
      </c>
      <c r="J549" s="44">
        <f t="shared" si="11"/>
        <v>181.3911</v>
      </c>
      <c r="K549" s="44">
        <f t="shared" si="12"/>
        <v>164.901</v>
      </c>
      <c r="L549" s="8">
        <f t="shared" si="3"/>
        <v>1.670344224</v>
      </c>
      <c r="M549" s="8">
        <f t="shared" si="4"/>
        <v>0.5011032671</v>
      </c>
      <c r="N549" s="8">
        <f t="shared" si="5"/>
        <v>0.1002206534</v>
      </c>
      <c r="O549" s="8">
        <f t="shared" si="6"/>
        <v>0.329802</v>
      </c>
      <c r="P549" s="8">
        <f t="shared" si="7"/>
        <v>0.494703</v>
      </c>
      <c r="Q549" s="8">
        <f t="shared" si="8"/>
        <v>0.164901</v>
      </c>
      <c r="R549" s="57"/>
      <c r="S549" s="57"/>
      <c r="T549" s="57"/>
      <c r="U549" s="57"/>
      <c r="V549" s="57"/>
      <c r="W549" s="57"/>
      <c r="X549" s="57"/>
      <c r="Y549" s="57"/>
      <c r="Z549" s="61"/>
    </row>
    <row r="550" ht="34.5" customHeight="1">
      <c r="A550" s="24" t="s">
        <v>587</v>
      </c>
      <c r="B550" s="42" t="s">
        <v>630</v>
      </c>
      <c r="C550" s="42" t="s">
        <v>634</v>
      </c>
      <c r="D550" s="42" t="s">
        <v>637</v>
      </c>
      <c r="E550" s="42">
        <v>268.0</v>
      </c>
      <c r="F550" s="43">
        <v>20.44</v>
      </c>
      <c r="G550" s="42">
        <v>6.0</v>
      </c>
      <c r="H550" s="43">
        <v>22.71</v>
      </c>
      <c r="I550" s="43">
        <v>32.59</v>
      </c>
      <c r="J550" s="44">
        <f t="shared" si="11"/>
        <v>234.54288</v>
      </c>
      <c r="K550" s="44">
        <f t="shared" si="12"/>
        <v>213.2208</v>
      </c>
      <c r="L550" s="8">
        <f t="shared" si="3"/>
        <v>2.159793644</v>
      </c>
      <c r="M550" s="8">
        <f t="shared" si="4"/>
        <v>0.6479380932</v>
      </c>
      <c r="N550" s="8">
        <f t="shared" si="5"/>
        <v>0.1295876186</v>
      </c>
      <c r="O550" s="8">
        <f t="shared" si="6"/>
        <v>0.4264416</v>
      </c>
      <c r="P550" s="8">
        <f t="shared" si="7"/>
        <v>0.6396624</v>
      </c>
      <c r="Q550" s="8">
        <f t="shared" si="8"/>
        <v>0.2132208</v>
      </c>
      <c r="R550" s="57"/>
      <c r="S550" s="57"/>
      <c r="T550" s="57"/>
      <c r="U550" s="57"/>
      <c r="V550" s="57"/>
      <c r="W550" s="57"/>
      <c r="X550" s="57"/>
      <c r="Y550" s="57"/>
      <c r="Z550" s="61"/>
    </row>
    <row r="551" ht="34.5" customHeight="1">
      <c r="A551" s="24" t="s">
        <v>587</v>
      </c>
      <c r="B551" s="42" t="s">
        <v>630</v>
      </c>
      <c r="C551" s="42" t="s">
        <v>634</v>
      </c>
      <c r="D551" s="42" t="s">
        <v>638</v>
      </c>
      <c r="E551" s="42">
        <v>126.0</v>
      </c>
      <c r="F551" s="43">
        <v>11.63</v>
      </c>
      <c r="G551" s="42">
        <v>3.0</v>
      </c>
      <c r="H551" s="43">
        <v>0.0</v>
      </c>
      <c r="I551" s="43">
        <v>49.26</v>
      </c>
      <c r="J551" s="44">
        <f t="shared" si="11"/>
        <v>122.48082</v>
      </c>
      <c r="K551" s="44">
        <f t="shared" si="12"/>
        <v>111.3462</v>
      </c>
      <c r="L551" s="8">
        <f t="shared" si="3"/>
        <v>1.127867521</v>
      </c>
      <c r="M551" s="8">
        <f t="shared" si="4"/>
        <v>0.3383602562</v>
      </c>
      <c r="N551" s="8">
        <f t="shared" si="5"/>
        <v>0.06767205123</v>
      </c>
      <c r="O551" s="8">
        <f t="shared" si="6"/>
        <v>0.2226924</v>
      </c>
      <c r="P551" s="8">
        <f t="shared" si="7"/>
        <v>0.3340386</v>
      </c>
      <c r="Q551" s="8">
        <f t="shared" si="8"/>
        <v>0.1113462</v>
      </c>
      <c r="R551" s="57"/>
      <c r="S551" s="57"/>
      <c r="T551" s="57"/>
      <c r="U551" s="57"/>
      <c r="V551" s="57"/>
      <c r="W551" s="57"/>
      <c r="X551" s="57"/>
      <c r="Y551" s="57"/>
      <c r="Z551" s="61"/>
    </row>
    <row r="552" ht="34.5" customHeight="1">
      <c r="A552" s="24" t="s">
        <v>587</v>
      </c>
      <c r="B552" s="42" t="s">
        <v>630</v>
      </c>
      <c r="C552" s="42" t="s">
        <v>631</v>
      </c>
      <c r="D552" s="42" t="s">
        <v>639</v>
      </c>
      <c r="E552" s="42">
        <v>413.0</v>
      </c>
      <c r="F552" s="43">
        <v>39.75</v>
      </c>
      <c r="G552" s="42">
        <v>7.0</v>
      </c>
      <c r="H552" s="43">
        <v>62.26</v>
      </c>
      <c r="I552" s="43">
        <v>100.0</v>
      </c>
      <c r="J552" s="44">
        <f t="shared" si="11"/>
        <v>273.71575</v>
      </c>
      <c r="K552" s="44">
        <f t="shared" si="12"/>
        <v>248.8325</v>
      </c>
      <c r="L552" s="8">
        <f t="shared" si="3"/>
        <v>2.520517941</v>
      </c>
      <c r="M552" s="8">
        <f t="shared" si="4"/>
        <v>0.7561553824</v>
      </c>
      <c r="N552" s="8">
        <f t="shared" si="5"/>
        <v>0.1512310765</v>
      </c>
      <c r="O552" s="8">
        <f t="shared" si="6"/>
        <v>0.497665</v>
      </c>
      <c r="P552" s="8">
        <f t="shared" si="7"/>
        <v>0.7464975</v>
      </c>
      <c r="Q552" s="8">
        <f t="shared" si="8"/>
        <v>0.2488325</v>
      </c>
      <c r="R552" s="57"/>
      <c r="S552" s="57"/>
      <c r="T552" s="57"/>
      <c r="U552" s="57"/>
      <c r="V552" s="57"/>
      <c r="W552" s="57"/>
      <c r="X552" s="57"/>
      <c r="Y552" s="57"/>
      <c r="Z552" s="61"/>
    </row>
    <row r="553" ht="34.5" customHeight="1">
      <c r="A553" s="24" t="s">
        <v>587</v>
      </c>
      <c r="B553" s="42" t="s">
        <v>630</v>
      </c>
      <c r="C553" s="42" t="s">
        <v>640</v>
      </c>
      <c r="D553" s="42" t="s">
        <v>641</v>
      </c>
      <c r="E553" s="42">
        <v>129.0</v>
      </c>
      <c r="F553" s="43">
        <v>29.42</v>
      </c>
      <c r="G553" s="42">
        <v>5.0</v>
      </c>
      <c r="H553" s="43">
        <v>91.56</v>
      </c>
      <c r="I553" s="43">
        <v>91.56</v>
      </c>
      <c r="J553" s="44">
        <f t="shared" si="11"/>
        <v>100.15302</v>
      </c>
      <c r="K553" s="44">
        <f t="shared" si="12"/>
        <v>91.0482</v>
      </c>
      <c r="L553" s="8">
        <f t="shared" si="3"/>
        <v>0.9222614475</v>
      </c>
      <c r="M553" s="8">
        <f t="shared" si="4"/>
        <v>0.2766784342</v>
      </c>
      <c r="N553" s="8">
        <f t="shared" si="5"/>
        <v>0.05533568685</v>
      </c>
      <c r="O553" s="8">
        <f t="shared" si="6"/>
        <v>0.1820964</v>
      </c>
      <c r="P553" s="8">
        <f t="shared" si="7"/>
        <v>0.2731446</v>
      </c>
      <c r="Q553" s="8">
        <f t="shared" si="8"/>
        <v>0.0910482</v>
      </c>
      <c r="R553" s="57"/>
      <c r="S553" s="57"/>
      <c r="T553" s="57"/>
      <c r="U553" s="57"/>
      <c r="V553" s="57"/>
      <c r="W553" s="57"/>
      <c r="X553" s="57"/>
      <c r="Y553" s="57"/>
      <c r="Z553" s="61"/>
    </row>
    <row r="554" ht="34.5" customHeight="1">
      <c r="A554" s="24" t="s">
        <v>587</v>
      </c>
      <c r="B554" s="42" t="s">
        <v>630</v>
      </c>
      <c r="C554" s="42" t="s">
        <v>640</v>
      </c>
      <c r="D554" s="42" t="s">
        <v>642</v>
      </c>
      <c r="E554" s="42">
        <v>735.0</v>
      </c>
      <c r="F554" s="43">
        <v>30.43</v>
      </c>
      <c r="G554" s="42">
        <v>13.0</v>
      </c>
      <c r="H554" s="43">
        <v>36.91</v>
      </c>
      <c r="I554" s="43">
        <v>41.53</v>
      </c>
      <c r="J554" s="44">
        <f t="shared" si="11"/>
        <v>562.47345</v>
      </c>
      <c r="K554" s="44">
        <f t="shared" si="12"/>
        <v>511.3395</v>
      </c>
      <c r="L554" s="8">
        <f t="shared" si="3"/>
        <v>5.179550034</v>
      </c>
      <c r="M554" s="8">
        <f t="shared" si="4"/>
        <v>1.55386501</v>
      </c>
      <c r="N554" s="8">
        <f t="shared" si="5"/>
        <v>0.3107730021</v>
      </c>
      <c r="O554" s="8">
        <f t="shared" si="6"/>
        <v>1.022679</v>
      </c>
      <c r="P554" s="8">
        <f t="shared" si="7"/>
        <v>1.5340185</v>
      </c>
      <c r="Q554" s="8">
        <f t="shared" si="8"/>
        <v>0.5113395</v>
      </c>
      <c r="R554" s="57"/>
      <c r="S554" s="57"/>
      <c r="T554" s="57"/>
      <c r="U554" s="57"/>
      <c r="V554" s="57"/>
      <c r="W554" s="57"/>
      <c r="X554" s="57"/>
      <c r="Y554" s="57"/>
      <c r="Z554" s="61"/>
    </row>
    <row r="555" ht="34.5" customHeight="1">
      <c r="A555" s="24" t="s">
        <v>587</v>
      </c>
      <c r="B555" s="42" t="s">
        <v>630</v>
      </c>
      <c r="C555" s="42" t="s">
        <v>634</v>
      </c>
      <c r="D555" s="42" t="s">
        <v>643</v>
      </c>
      <c r="E555" s="42">
        <v>74.0</v>
      </c>
      <c r="F555" s="43">
        <v>19.86</v>
      </c>
      <c r="G555" s="42">
        <v>1.0</v>
      </c>
      <c r="H555" s="43">
        <v>0.0</v>
      </c>
      <c r="I555" s="43">
        <v>100.0</v>
      </c>
      <c r="J555" s="44">
        <f t="shared" si="11"/>
        <v>65.23396</v>
      </c>
      <c r="K555" s="44">
        <f t="shared" si="12"/>
        <v>59.3036</v>
      </c>
      <c r="L555" s="8">
        <f t="shared" si="3"/>
        <v>0.6007084597</v>
      </c>
      <c r="M555" s="8">
        <f t="shared" si="4"/>
        <v>0.1802125379</v>
      </c>
      <c r="N555" s="8">
        <f t="shared" si="5"/>
        <v>0.03604250758</v>
      </c>
      <c r="O555" s="8">
        <f t="shared" si="6"/>
        <v>0.1186072</v>
      </c>
      <c r="P555" s="8">
        <f t="shared" si="7"/>
        <v>0.1779108</v>
      </c>
      <c r="Q555" s="8">
        <f t="shared" si="8"/>
        <v>0.0593036</v>
      </c>
      <c r="R555" s="57"/>
      <c r="S555" s="57"/>
      <c r="T555" s="57"/>
      <c r="U555" s="57"/>
      <c r="V555" s="57"/>
      <c r="W555" s="57"/>
      <c r="X555" s="57"/>
      <c r="Y555" s="57"/>
      <c r="Z555" s="61"/>
    </row>
    <row r="556" ht="34.5" customHeight="1">
      <c r="A556" s="24" t="s">
        <v>587</v>
      </c>
      <c r="B556" s="42" t="s">
        <v>630</v>
      </c>
      <c r="C556" s="42" t="s">
        <v>634</v>
      </c>
      <c r="D556" s="42" t="s">
        <v>644</v>
      </c>
      <c r="E556" s="42">
        <v>659.0</v>
      </c>
      <c r="F556" s="43">
        <v>29.69</v>
      </c>
      <c r="G556" s="42">
        <v>12.0</v>
      </c>
      <c r="H556" s="43">
        <v>15.03</v>
      </c>
      <c r="I556" s="43">
        <v>40.28</v>
      </c>
      <c r="J556" s="44">
        <f t="shared" si="11"/>
        <v>509.67719</v>
      </c>
      <c r="K556" s="44">
        <f t="shared" si="12"/>
        <v>463.3429</v>
      </c>
      <c r="L556" s="8">
        <f t="shared" si="3"/>
        <v>4.693374428</v>
      </c>
      <c r="M556" s="8">
        <f t="shared" si="4"/>
        <v>1.408012329</v>
      </c>
      <c r="N556" s="8">
        <f t="shared" si="5"/>
        <v>0.2816024657</v>
      </c>
      <c r="O556" s="8">
        <f t="shared" si="6"/>
        <v>0.9266858</v>
      </c>
      <c r="P556" s="8">
        <f t="shared" si="7"/>
        <v>1.3900287</v>
      </c>
      <c r="Q556" s="8">
        <f t="shared" si="8"/>
        <v>0.4633429</v>
      </c>
      <c r="R556" s="57"/>
      <c r="S556" s="57"/>
      <c r="T556" s="57"/>
      <c r="U556" s="57"/>
      <c r="V556" s="57"/>
      <c r="W556" s="57"/>
      <c r="X556" s="57"/>
      <c r="Y556" s="57"/>
      <c r="Z556" s="61"/>
    </row>
    <row r="557" ht="34.5" customHeight="1">
      <c r="A557" s="24" t="s">
        <v>587</v>
      </c>
      <c r="B557" s="42" t="s">
        <v>630</v>
      </c>
      <c r="C557" s="42" t="s">
        <v>640</v>
      </c>
      <c r="D557" s="42" t="s">
        <v>645</v>
      </c>
      <c r="E557" s="42">
        <v>1751.0</v>
      </c>
      <c r="F557" s="43">
        <v>35.5</v>
      </c>
      <c r="G557" s="42">
        <v>23.0</v>
      </c>
      <c r="H557" s="43">
        <v>38.61</v>
      </c>
      <c r="I557" s="43">
        <v>55.42</v>
      </c>
      <c r="J557" s="44">
        <f t="shared" si="11"/>
        <v>1242.3345</v>
      </c>
      <c r="K557" s="44">
        <f t="shared" si="12"/>
        <v>1129.395</v>
      </c>
      <c r="L557" s="8">
        <f t="shared" si="3"/>
        <v>11.44006655</v>
      </c>
      <c r="M557" s="8">
        <f t="shared" si="4"/>
        <v>3.432019966</v>
      </c>
      <c r="N557" s="8">
        <f t="shared" si="5"/>
        <v>0.6864039932</v>
      </c>
      <c r="O557" s="8">
        <f t="shared" si="6"/>
        <v>2.25879</v>
      </c>
      <c r="P557" s="8">
        <f t="shared" si="7"/>
        <v>3.388185</v>
      </c>
      <c r="Q557" s="8">
        <f t="shared" si="8"/>
        <v>1.129395</v>
      </c>
      <c r="R557" s="57"/>
      <c r="S557" s="57"/>
      <c r="T557" s="57"/>
      <c r="U557" s="57"/>
      <c r="V557" s="57"/>
      <c r="W557" s="57"/>
      <c r="X557" s="57"/>
      <c r="Y557" s="57"/>
      <c r="Z557" s="61"/>
    </row>
    <row r="558" ht="34.5" customHeight="1">
      <c r="A558" s="24" t="s">
        <v>587</v>
      </c>
      <c r="B558" s="42" t="s">
        <v>630</v>
      </c>
      <c r="C558" s="42" t="s">
        <v>640</v>
      </c>
      <c r="D558" s="42" t="s">
        <v>646</v>
      </c>
      <c r="E558" s="42">
        <v>931.0</v>
      </c>
      <c r="F558" s="43">
        <v>35.58</v>
      </c>
      <c r="G558" s="42">
        <v>13.0</v>
      </c>
      <c r="H558" s="43">
        <v>11.11</v>
      </c>
      <c r="I558" s="43">
        <v>23.92</v>
      </c>
      <c r="J558" s="44">
        <f t="shared" si="11"/>
        <v>659.72522</v>
      </c>
      <c r="K558" s="44">
        <f t="shared" si="12"/>
        <v>599.7502</v>
      </c>
      <c r="L558" s="8">
        <f t="shared" si="3"/>
        <v>6.075095253</v>
      </c>
      <c r="M558" s="8">
        <f t="shared" si="4"/>
        <v>1.822528576</v>
      </c>
      <c r="N558" s="8">
        <f t="shared" si="5"/>
        <v>0.3645057152</v>
      </c>
      <c r="O558" s="8">
        <f t="shared" si="6"/>
        <v>1.1995004</v>
      </c>
      <c r="P558" s="8">
        <f t="shared" si="7"/>
        <v>1.7992506</v>
      </c>
      <c r="Q558" s="8">
        <f t="shared" si="8"/>
        <v>0.5997502</v>
      </c>
      <c r="R558" s="57"/>
      <c r="S558" s="57"/>
      <c r="T558" s="57"/>
      <c r="U558" s="57"/>
      <c r="V558" s="57"/>
      <c r="W558" s="57"/>
      <c r="X558" s="57"/>
      <c r="Y558" s="57"/>
      <c r="Z558" s="61"/>
    </row>
    <row r="559" ht="34.5" customHeight="1">
      <c r="A559" s="24" t="s">
        <v>587</v>
      </c>
      <c r="B559" s="42" t="s">
        <v>630</v>
      </c>
      <c r="C559" s="42" t="s">
        <v>631</v>
      </c>
      <c r="D559" s="42" t="s">
        <v>647</v>
      </c>
      <c r="E559" s="42">
        <v>342.0</v>
      </c>
      <c r="F559" s="43">
        <v>40.71</v>
      </c>
      <c r="G559" s="42">
        <v>3.0</v>
      </c>
      <c r="H559" s="43">
        <v>40.16</v>
      </c>
      <c r="I559" s="43">
        <v>52.21</v>
      </c>
      <c r="J559" s="44">
        <f t="shared" si="11"/>
        <v>223.04898</v>
      </c>
      <c r="K559" s="44">
        <f t="shared" si="12"/>
        <v>202.7718</v>
      </c>
      <c r="L559" s="8">
        <f t="shared" si="3"/>
        <v>2.053951795</v>
      </c>
      <c r="M559" s="8">
        <f t="shared" si="4"/>
        <v>0.6161855384</v>
      </c>
      <c r="N559" s="8">
        <f t="shared" si="5"/>
        <v>0.1232371077</v>
      </c>
      <c r="O559" s="8">
        <f t="shared" si="6"/>
        <v>0.4055436</v>
      </c>
      <c r="P559" s="8">
        <f t="shared" si="7"/>
        <v>0.6083154</v>
      </c>
      <c r="Q559" s="8">
        <f t="shared" si="8"/>
        <v>0.2027718</v>
      </c>
      <c r="R559" s="57"/>
      <c r="S559" s="57"/>
      <c r="T559" s="57"/>
      <c r="U559" s="57"/>
      <c r="V559" s="57"/>
      <c r="W559" s="57"/>
      <c r="X559" s="57"/>
      <c r="Y559" s="57"/>
      <c r="Z559" s="61"/>
    </row>
    <row r="560" ht="34.5" customHeight="1">
      <c r="A560" s="24" t="s">
        <v>587</v>
      </c>
      <c r="B560" s="42" t="s">
        <v>630</v>
      </c>
      <c r="C560" s="42" t="s">
        <v>631</v>
      </c>
      <c r="D560" s="42" t="s">
        <v>648</v>
      </c>
      <c r="E560" s="42">
        <v>64.0</v>
      </c>
      <c r="F560" s="43">
        <v>21.23</v>
      </c>
      <c r="G560" s="42">
        <v>2.0</v>
      </c>
      <c r="H560" s="43">
        <v>57.94</v>
      </c>
      <c r="I560" s="43">
        <v>100.0</v>
      </c>
      <c r="J560" s="44">
        <f t="shared" si="11"/>
        <v>55.45408</v>
      </c>
      <c r="K560" s="44">
        <f t="shared" si="12"/>
        <v>50.4128</v>
      </c>
      <c r="L560" s="8">
        <f t="shared" si="3"/>
        <v>0.510650204</v>
      </c>
      <c r="M560" s="8">
        <f t="shared" si="4"/>
        <v>0.1531950612</v>
      </c>
      <c r="N560" s="8">
        <f t="shared" si="5"/>
        <v>0.03063901224</v>
      </c>
      <c r="O560" s="8">
        <f t="shared" si="6"/>
        <v>0.1008256</v>
      </c>
      <c r="P560" s="8">
        <f t="shared" si="7"/>
        <v>0.1512384</v>
      </c>
      <c r="Q560" s="8">
        <f t="shared" si="8"/>
        <v>0.0504128</v>
      </c>
      <c r="R560" s="57"/>
      <c r="S560" s="57"/>
      <c r="T560" s="57"/>
      <c r="U560" s="57"/>
      <c r="V560" s="57"/>
      <c r="W560" s="57"/>
      <c r="X560" s="57"/>
      <c r="Y560" s="57"/>
      <c r="Z560" s="61"/>
    </row>
    <row r="561" ht="34.5" customHeight="1">
      <c r="A561" s="24" t="s">
        <v>587</v>
      </c>
      <c r="B561" s="42" t="s">
        <v>630</v>
      </c>
      <c r="C561" s="42" t="s">
        <v>631</v>
      </c>
      <c r="D561" s="42" t="s">
        <v>630</v>
      </c>
      <c r="E561" s="42">
        <v>928.0</v>
      </c>
      <c r="F561" s="43">
        <v>38.1</v>
      </c>
      <c r="G561" s="42">
        <v>14.0</v>
      </c>
      <c r="H561" s="43">
        <v>34.04</v>
      </c>
      <c r="I561" s="43">
        <v>57.07</v>
      </c>
      <c r="J561" s="44">
        <f t="shared" si="11"/>
        <v>631.8752</v>
      </c>
      <c r="K561" s="44">
        <f t="shared" si="12"/>
        <v>574.432</v>
      </c>
      <c r="L561" s="8">
        <f t="shared" si="3"/>
        <v>5.818637686</v>
      </c>
      <c r="M561" s="8">
        <f t="shared" si="4"/>
        <v>1.745591306</v>
      </c>
      <c r="N561" s="8">
        <f t="shared" si="5"/>
        <v>0.3491182612</v>
      </c>
      <c r="O561" s="8">
        <f t="shared" si="6"/>
        <v>1.148864</v>
      </c>
      <c r="P561" s="8">
        <f t="shared" si="7"/>
        <v>1.723296</v>
      </c>
      <c r="Q561" s="8">
        <f t="shared" si="8"/>
        <v>0.574432</v>
      </c>
      <c r="R561" s="57"/>
      <c r="S561" s="57"/>
      <c r="T561" s="57"/>
      <c r="U561" s="57"/>
      <c r="V561" s="57"/>
      <c r="W561" s="57"/>
      <c r="X561" s="57"/>
      <c r="Y561" s="57"/>
      <c r="Z561" s="61"/>
    </row>
    <row r="562" ht="34.5" customHeight="1">
      <c r="A562" s="24" t="s">
        <v>587</v>
      </c>
      <c r="B562" s="42" t="s">
        <v>630</v>
      </c>
      <c r="C562" s="42" t="s">
        <v>634</v>
      </c>
      <c r="D562" s="42" t="s">
        <v>649</v>
      </c>
      <c r="E562" s="42">
        <v>520.0</v>
      </c>
      <c r="F562" s="43">
        <v>32.95</v>
      </c>
      <c r="G562" s="42">
        <v>9.0</v>
      </c>
      <c r="H562" s="43">
        <v>43.95</v>
      </c>
      <c r="I562" s="43">
        <v>75.35</v>
      </c>
      <c r="J562" s="44">
        <f t="shared" si="11"/>
        <v>383.526</v>
      </c>
      <c r="K562" s="44">
        <f t="shared" si="12"/>
        <v>348.66</v>
      </c>
      <c r="L562" s="8">
        <f t="shared" si="3"/>
        <v>3.531708219</v>
      </c>
      <c r="M562" s="8">
        <f t="shared" si="4"/>
        <v>1.059512466</v>
      </c>
      <c r="N562" s="8">
        <f t="shared" si="5"/>
        <v>0.2119024932</v>
      </c>
      <c r="O562" s="8">
        <f t="shared" si="6"/>
        <v>0.69732</v>
      </c>
      <c r="P562" s="8">
        <f t="shared" si="7"/>
        <v>1.04598</v>
      </c>
      <c r="Q562" s="8">
        <f t="shared" si="8"/>
        <v>0.34866</v>
      </c>
      <c r="R562" s="57"/>
      <c r="S562" s="57"/>
      <c r="T562" s="57"/>
      <c r="U562" s="57"/>
      <c r="V562" s="57"/>
      <c r="W562" s="57"/>
      <c r="X562" s="57"/>
      <c r="Y562" s="57"/>
      <c r="Z562" s="61"/>
    </row>
    <row r="563" ht="34.5" customHeight="1">
      <c r="A563" s="24" t="s">
        <v>587</v>
      </c>
      <c r="B563" s="42" t="s">
        <v>630</v>
      </c>
      <c r="C563" s="42" t="s">
        <v>634</v>
      </c>
      <c r="D563" s="42" t="s">
        <v>650</v>
      </c>
      <c r="E563" s="42">
        <v>80.0</v>
      </c>
      <c r="F563" s="43">
        <v>14.06</v>
      </c>
      <c r="G563" s="42">
        <v>5.0</v>
      </c>
      <c r="H563" s="43">
        <v>84.98</v>
      </c>
      <c r="I563" s="43">
        <v>100.0</v>
      </c>
      <c r="J563" s="44">
        <f t="shared" si="11"/>
        <v>75.6272</v>
      </c>
      <c r="K563" s="44">
        <f t="shared" si="12"/>
        <v>68.752</v>
      </c>
      <c r="L563" s="8">
        <f t="shared" si="3"/>
        <v>0.6964148554</v>
      </c>
      <c r="M563" s="8">
        <f t="shared" si="4"/>
        <v>0.2089244566</v>
      </c>
      <c r="N563" s="8">
        <f t="shared" si="5"/>
        <v>0.04178489132</v>
      </c>
      <c r="O563" s="8">
        <f t="shared" si="6"/>
        <v>0.137504</v>
      </c>
      <c r="P563" s="8">
        <f t="shared" si="7"/>
        <v>0.206256</v>
      </c>
      <c r="Q563" s="8">
        <f t="shared" si="8"/>
        <v>0.068752</v>
      </c>
      <c r="R563" s="57"/>
      <c r="S563" s="57"/>
      <c r="T563" s="57"/>
      <c r="U563" s="57"/>
      <c r="V563" s="57"/>
      <c r="W563" s="57"/>
      <c r="X563" s="57"/>
      <c r="Y563" s="57"/>
      <c r="Z563" s="61"/>
    </row>
    <row r="564" ht="34.5" customHeight="1">
      <c r="A564" s="24" t="s">
        <v>587</v>
      </c>
      <c r="B564" s="42" t="s">
        <v>630</v>
      </c>
      <c r="C564" s="42" t="s">
        <v>631</v>
      </c>
      <c r="D564" s="42" t="s">
        <v>651</v>
      </c>
      <c r="E564" s="42">
        <v>230.0</v>
      </c>
      <c r="F564" s="43">
        <v>25.69</v>
      </c>
      <c r="G564" s="42">
        <v>7.0</v>
      </c>
      <c r="H564" s="43">
        <v>59.46</v>
      </c>
      <c r="I564" s="43">
        <v>59.46</v>
      </c>
      <c r="J564" s="44">
        <f t="shared" si="11"/>
        <v>188.0043</v>
      </c>
      <c r="K564" s="44">
        <f t="shared" si="12"/>
        <v>170.913</v>
      </c>
      <c r="L564" s="8">
        <f t="shared" si="3"/>
        <v>1.731242032</v>
      </c>
      <c r="M564" s="8">
        <f t="shared" si="4"/>
        <v>0.5193726096</v>
      </c>
      <c r="N564" s="8">
        <f t="shared" si="5"/>
        <v>0.1038745219</v>
      </c>
      <c r="O564" s="8">
        <f t="shared" si="6"/>
        <v>0.341826</v>
      </c>
      <c r="P564" s="8">
        <f t="shared" si="7"/>
        <v>0.512739</v>
      </c>
      <c r="Q564" s="8">
        <f t="shared" si="8"/>
        <v>0.170913</v>
      </c>
      <c r="R564" s="57"/>
      <c r="S564" s="57"/>
      <c r="T564" s="57"/>
      <c r="U564" s="57"/>
      <c r="V564" s="57"/>
      <c r="W564" s="57"/>
      <c r="X564" s="57"/>
      <c r="Y564" s="57"/>
      <c r="Z564" s="61"/>
    </row>
    <row r="565" ht="34.5" customHeight="1">
      <c r="A565" s="24" t="s">
        <v>587</v>
      </c>
      <c r="B565" s="42" t="s">
        <v>630</v>
      </c>
      <c r="C565" s="42" t="s">
        <v>634</v>
      </c>
      <c r="D565" s="42" t="s">
        <v>652</v>
      </c>
      <c r="E565" s="42">
        <v>107.0</v>
      </c>
      <c r="F565" s="43">
        <v>16.61</v>
      </c>
      <c r="G565" s="42">
        <v>5.0</v>
      </c>
      <c r="H565" s="43">
        <v>100.0</v>
      </c>
      <c r="I565" s="43">
        <v>100.0</v>
      </c>
      <c r="J565" s="44">
        <f t="shared" si="11"/>
        <v>98.15003</v>
      </c>
      <c r="K565" s="44">
        <f t="shared" si="12"/>
        <v>89.2273</v>
      </c>
      <c r="L565" s="8">
        <f t="shared" si="3"/>
        <v>0.9038168668</v>
      </c>
      <c r="M565" s="8">
        <f t="shared" si="4"/>
        <v>0.27114506</v>
      </c>
      <c r="N565" s="8">
        <f t="shared" si="5"/>
        <v>0.05422901201</v>
      </c>
      <c r="O565" s="8">
        <f t="shared" si="6"/>
        <v>0.1784546</v>
      </c>
      <c r="P565" s="8">
        <f t="shared" si="7"/>
        <v>0.2676819</v>
      </c>
      <c r="Q565" s="8">
        <f t="shared" si="8"/>
        <v>0.0892273</v>
      </c>
      <c r="R565" s="57"/>
      <c r="S565" s="57"/>
      <c r="T565" s="57"/>
      <c r="U565" s="57"/>
      <c r="V565" s="57"/>
      <c r="W565" s="57"/>
      <c r="X565" s="57"/>
      <c r="Y565" s="57"/>
      <c r="Z565" s="61"/>
    </row>
    <row r="566" ht="34.5" customHeight="1">
      <c r="A566" s="24" t="s">
        <v>587</v>
      </c>
      <c r="B566" s="42" t="s">
        <v>630</v>
      </c>
      <c r="C566" s="42" t="s">
        <v>631</v>
      </c>
      <c r="D566" s="42" t="s">
        <v>653</v>
      </c>
      <c r="E566" s="42">
        <v>495.0</v>
      </c>
      <c r="F566" s="43">
        <v>27.74</v>
      </c>
      <c r="G566" s="42">
        <v>9.0</v>
      </c>
      <c r="H566" s="43">
        <v>80.52</v>
      </c>
      <c r="I566" s="43">
        <v>80.52</v>
      </c>
      <c r="J566" s="44">
        <f t="shared" si="11"/>
        <v>393.4557</v>
      </c>
      <c r="K566" s="44">
        <f t="shared" si="12"/>
        <v>357.687</v>
      </c>
      <c r="L566" s="8">
        <f t="shared" si="3"/>
        <v>3.623146096</v>
      </c>
      <c r="M566" s="8">
        <f t="shared" si="4"/>
        <v>1.086943829</v>
      </c>
      <c r="N566" s="8">
        <f t="shared" si="5"/>
        <v>0.2173887658</v>
      </c>
      <c r="O566" s="8">
        <f t="shared" si="6"/>
        <v>0.715374</v>
      </c>
      <c r="P566" s="8">
        <f t="shared" si="7"/>
        <v>1.073061</v>
      </c>
      <c r="Q566" s="8">
        <f t="shared" si="8"/>
        <v>0.357687</v>
      </c>
      <c r="R566" s="57"/>
      <c r="S566" s="57"/>
      <c r="T566" s="57"/>
      <c r="U566" s="57"/>
      <c r="V566" s="57"/>
      <c r="W566" s="57"/>
      <c r="X566" s="57"/>
      <c r="Y566" s="57"/>
      <c r="Z566" s="61"/>
    </row>
    <row r="567" ht="34.5" customHeight="1">
      <c r="A567" s="24" t="s">
        <v>654</v>
      </c>
      <c r="B567" s="50" t="s">
        <v>588</v>
      </c>
      <c r="C567" s="50" t="s">
        <v>655</v>
      </c>
      <c r="D567" s="50" t="s">
        <v>656</v>
      </c>
      <c r="E567" s="50">
        <v>2026.0</v>
      </c>
      <c r="F567" s="49">
        <v>45.89</v>
      </c>
      <c r="G567" s="50">
        <v>17.0</v>
      </c>
      <c r="H567" s="49">
        <v>29.0</v>
      </c>
      <c r="I567" s="49">
        <v>76.81</v>
      </c>
      <c r="J567" s="51">
        <f t="shared" si="11"/>
        <v>1205.89546</v>
      </c>
      <c r="K567" s="51">
        <f t="shared" si="12"/>
        <v>1096.2686</v>
      </c>
      <c r="L567" s="8">
        <f t="shared" si="3"/>
        <v>11.10451679</v>
      </c>
      <c r="M567" s="8">
        <f t="shared" si="4"/>
        <v>3.331355038</v>
      </c>
      <c r="N567" s="8">
        <f t="shared" si="5"/>
        <v>0.6662710076</v>
      </c>
      <c r="O567" s="8">
        <f t="shared" si="6"/>
        <v>2.1925372</v>
      </c>
      <c r="P567" s="8">
        <f t="shared" si="7"/>
        <v>3.2888058</v>
      </c>
      <c r="Q567" s="8">
        <f t="shared" si="8"/>
        <v>1.0962686</v>
      </c>
      <c r="R567" s="57"/>
      <c r="S567" s="57"/>
      <c r="T567" s="57"/>
      <c r="U567" s="57"/>
      <c r="V567" s="57"/>
      <c r="W567" s="57"/>
      <c r="X567" s="57"/>
      <c r="Y567" s="57"/>
    </row>
    <row r="568" ht="34.5" customHeight="1">
      <c r="A568" s="24" t="s">
        <v>654</v>
      </c>
      <c r="B568" s="50" t="s">
        <v>588</v>
      </c>
      <c r="C568" s="50" t="s">
        <v>655</v>
      </c>
      <c r="D568" s="50" t="s">
        <v>657</v>
      </c>
      <c r="E568" s="50">
        <v>299.0</v>
      </c>
      <c r="F568" s="49">
        <v>25.86</v>
      </c>
      <c r="G568" s="50">
        <v>3.0</v>
      </c>
      <c r="H568" s="49">
        <v>0.0</v>
      </c>
      <c r="I568" s="49">
        <v>35.37</v>
      </c>
      <c r="J568" s="51">
        <f t="shared" si="11"/>
        <v>243.84646</v>
      </c>
      <c r="K568" s="51">
        <f t="shared" si="12"/>
        <v>221.6786</v>
      </c>
      <c r="L568" s="8">
        <f t="shared" si="3"/>
        <v>2.24546588</v>
      </c>
      <c r="M568" s="8">
        <f t="shared" si="4"/>
        <v>0.6736397639</v>
      </c>
      <c r="N568" s="8">
        <f t="shared" si="5"/>
        <v>0.1347279528</v>
      </c>
      <c r="O568" s="8">
        <f t="shared" si="6"/>
        <v>0.4433572</v>
      </c>
      <c r="P568" s="8">
        <f t="shared" si="7"/>
        <v>0.6650358</v>
      </c>
      <c r="Q568" s="8">
        <f t="shared" si="8"/>
        <v>0.2216786</v>
      </c>
      <c r="R568" s="57"/>
      <c r="S568" s="57"/>
      <c r="T568" s="57"/>
      <c r="U568" s="57"/>
      <c r="V568" s="57"/>
      <c r="W568" s="57"/>
      <c r="X568" s="57"/>
      <c r="Y568" s="57"/>
    </row>
    <row r="569" ht="34.5" customHeight="1">
      <c r="A569" s="24" t="s">
        <v>654</v>
      </c>
      <c r="B569" s="50" t="s">
        <v>588</v>
      </c>
      <c r="C569" s="50" t="s">
        <v>655</v>
      </c>
      <c r="D569" s="50" t="s">
        <v>658</v>
      </c>
      <c r="E569" s="50">
        <v>2219.0</v>
      </c>
      <c r="F569" s="49">
        <v>37.41</v>
      </c>
      <c r="G569" s="50">
        <v>30.0</v>
      </c>
      <c r="H569" s="49">
        <v>4.09</v>
      </c>
      <c r="I569" s="49">
        <v>18.32</v>
      </c>
      <c r="J569" s="51">
        <f t="shared" si="11"/>
        <v>1527.75931</v>
      </c>
      <c r="K569" s="51">
        <f t="shared" si="12"/>
        <v>1388.8721</v>
      </c>
      <c r="L569" s="8">
        <f t="shared" si="3"/>
        <v>14.06840765</v>
      </c>
      <c r="M569" s="8">
        <f t="shared" si="4"/>
        <v>4.220522295</v>
      </c>
      <c r="N569" s="8">
        <f t="shared" si="5"/>
        <v>0.8441044589</v>
      </c>
      <c r="O569" s="8">
        <f t="shared" si="6"/>
        <v>2.7777442</v>
      </c>
      <c r="P569" s="8">
        <f t="shared" si="7"/>
        <v>4.1666163</v>
      </c>
      <c r="Q569" s="8">
        <f t="shared" si="8"/>
        <v>1.3888721</v>
      </c>
      <c r="R569" s="57"/>
      <c r="S569" s="57"/>
      <c r="T569" s="57"/>
      <c r="U569" s="57"/>
      <c r="V569" s="57"/>
      <c r="W569" s="57"/>
      <c r="X569" s="57"/>
      <c r="Y569" s="57"/>
    </row>
    <row r="570" ht="34.5" customHeight="1">
      <c r="A570" s="24" t="s">
        <v>654</v>
      </c>
      <c r="B570" s="50" t="s">
        <v>588</v>
      </c>
      <c r="C570" s="50" t="s">
        <v>655</v>
      </c>
      <c r="D570" s="50" t="s">
        <v>659</v>
      </c>
      <c r="E570" s="50">
        <v>140.0</v>
      </c>
      <c r="F570" s="49">
        <v>14.21</v>
      </c>
      <c r="G570" s="50">
        <v>2.0</v>
      </c>
      <c r="H570" s="49">
        <v>52.19</v>
      </c>
      <c r="I570" s="49">
        <v>80.79</v>
      </c>
      <c r="J570" s="51">
        <f t="shared" si="11"/>
        <v>132.1166</v>
      </c>
      <c r="K570" s="51">
        <f t="shared" si="12"/>
        <v>120.106</v>
      </c>
      <c r="L570" s="8">
        <f t="shared" si="3"/>
        <v>1.216598828</v>
      </c>
      <c r="M570" s="8">
        <f t="shared" si="4"/>
        <v>0.3649796484</v>
      </c>
      <c r="N570" s="8">
        <f t="shared" si="5"/>
        <v>0.07299592968</v>
      </c>
      <c r="O570" s="8">
        <f t="shared" si="6"/>
        <v>0.240212</v>
      </c>
      <c r="P570" s="8">
        <f t="shared" si="7"/>
        <v>0.360318</v>
      </c>
      <c r="Q570" s="8">
        <f t="shared" si="8"/>
        <v>0.120106</v>
      </c>
      <c r="R570" s="57"/>
      <c r="S570" s="57"/>
      <c r="T570" s="57"/>
      <c r="U570" s="57"/>
      <c r="V570" s="57"/>
      <c r="W570" s="57"/>
      <c r="X570" s="57"/>
      <c r="Y570" s="57"/>
    </row>
    <row r="571" ht="34.5" customHeight="1">
      <c r="A571" s="24" t="s">
        <v>654</v>
      </c>
      <c r="B571" s="50" t="s">
        <v>588</v>
      </c>
      <c r="C571" s="50" t="s">
        <v>655</v>
      </c>
      <c r="D571" s="50" t="s">
        <v>660</v>
      </c>
      <c r="E571" s="50">
        <v>207.0</v>
      </c>
      <c r="F571" s="49">
        <v>13.09</v>
      </c>
      <c r="G571" s="50">
        <v>2.0</v>
      </c>
      <c r="H571" s="49">
        <v>0.0</v>
      </c>
      <c r="I571" s="49">
        <v>16.2</v>
      </c>
      <c r="J571" s="51">
        <f t="shared" si="11"/>
        <v>197.89407</v>
      </c>
      <c r="K571" s="51">
        <f t="shared" si="12"/>
        <v>179.9037</v>
      </c>
      <c r="L571" s="8">
        <f t="shared" si="3"/>
        <v>1.822312212</v>
      </c>
      <c r="M571" s="8">
        <f t="shared" si="4"/>
        <v>0.5466936637</v>
      </c>
      <c r="N571" s="8">
        <f t="shared" si="5"/>
        <v>0.1093387327</v>
      </c>
      <c r="O571" s="8">
        <f t="shared" si="6"/>
        <v>0.3598074</v>
      </c>
      <c r="P571" s="8">
        <f t="shared" si="7"/>
        <v>0.5397111</v>
      </c>
      <c r="Q571" s="8">
        <f t="shared" si="8"/>
        <v>0.1799037</v>
      </c>
      <c r="R571" s="57"/>
      <c r="S571" s="57"/>
      <c r="T571" s="57"/>
      <c r="U571" s="57"/>
      <c r="V571" s="57"/>
      <c r="W571" s="57"/>
      <c r="X571" s="57"/>
      <c r="Y571" s="57"/>
    </row>
    <row r="572" ht="34.5" customHeight="1">
      <c r="A572" s="24" t="s">
        <v>654</v>
      </c>
      <c r="B572" s="50" t="s">
        <v>588</v>
      </c>
      <c r="C572" s="50" t="s">
        <v>655</v>
      </c>
      <c r="D572" s="50" t="s">
        <v>661</v>
      </c>
      <c r="E572" s="50">
        <v>77.0</v>
      </c>
      <c r="F572" s="49">
        <v>8.34</v>
      </c>
      <c r="G572" s="50">
        <v>1.0</v>
      </c>
      <c r="H572" s="49">
        <v>100.0</v>
      </c>
      <c r="I572" s="49">
        <v>100.0</v>
      </c>
      <c r="J572" s="51">
        <f t="shared" si="11"/>
        <v>77.63602</v>
      </c>
      <c r="K572" s="51">
        <f t="shared" si="12"/>
        <v>70.5782</v>
      </c>
      <c r="L572" s="8">
        <f t="shared" si="3"/>
        <v>0.7149131218</v>
      </c>
      <c r="M572" s="8">
        <f t="shared" si="4"/>
        <v>0.2144739365</v>
      </c>
      <c r="N572" s="8">
        <f t="shared" si="5"/>
        <v>0.04289478731</v>
      </c>
      <c r="O572" s="8">
        <f t="shared" si="6"/>
        <v>0.1411564</v>
      </c>
      <c r="P572" s="8">
        <f t="shared" si="7"/>
        <v>0.2117346</v>
      </c>
      <c r="Q572" s="8">
        <f t="shared" si="8"/>
        <v>0.0705782</v>
      </c>
      <c r="R572" s="57"/>
      <c r="S572" s="57"/>
      <c r="T572" s="57"/>
      <c r="U572" s="57"/>
      <c r="V572" s="57"/>
      <c r="W572" s="57"/>
      <c r="X572" s="57"/>
      <c r="Y572" s="57"/>
    </row>
    <row r="573" ht="34.5" customHeight="1">
      <c r="A573" s="24" t="s">
        <v>654</v>
      </c>
      <c r="B573" s="50" t="s">
        <v>588</v>
      </c>
      <c r="C573" s="50" t="s">
        <v>655</v>
      </c>
      <c r="D573" s="50" t="s">
        <v>662</v>
      </c>
      <c r="E573" s="50">
        <v>164.0</v>
      </c>
      <c r="F573" s="49">
        <v>13.84</v>
      </c>
      <c r="G573" s="50">
        <v>4.0</v>
      </c>
      <c r="H573" s="49">
        <v>0.0</v>
      </c>
      <c r="I573" s="49">
        <v>39.46</v>
      </c>
      <c r="J573" s="51">
        <f t="shared" si="11"/>
        <v>155.43264</v>
      </c>
      <c r="K573" s="51">
        <f t="shared" si="12"/>
        <v>141.3024</v>
      </c>
      <c r="L573" s="8">
        <f t="shared" si="3"/>
        <v>1.431305132</v>
      </c>
      <c r="M573" s="8">
        <f t="shared" si="4"/>
        <v>0.4293915397</v>
      </c>
      <c r="N573" s="8">
        <f t="shared" si="5"/>
        <v>0.08587830795</v>
      </c>
      <c r="O573" s="8">
        <f t="shared" si="6"/>
        <v>0.2826048</v>
      </c>
      <c r="P573" s="8">
        <f t="shared" si="7"/>
        <v>0.4239072</v>
      </c>
      <c r="Q573" s="8">
        <f t="shared" si="8"/>
        <v>0.1413024</v>
      </c>
      <c r="R573" s="57"/>
      <c r="S573" s="57"/>
      <c r="T573" s="57"/>
      <c r="U573" s="57"/>
      <c r="V573" s="57"/>
      <c r="W573" s="57"/>
      <c r="X573" s="57"/>
      <c r="Y573" s="57"/>
    </row>
    <row r="574" ht="34.5" customHeight="1">
      <c r="A574" s="24" t="s">
        <v>654</v>
      </c>
      <c r="B574" s="50" t="s">
        <v>588</v>
      </c>
      <c r="C574" s="50" t="s">
        <v>655</v>
      </c>
      <c r="D574" s="50" t="s">
        <v>663</v>
      </c>
      <c r="E574" s="50">
        <v>313.0</v>
      </c>
      <c r="F574" s="49">
        <v>18.85</v>
      </c>
      <c r="G574" s="50">
        <v>4.0</v>
      </c>
      <c r="H574" s="49">
        <v>0.0</v>
      </c>
      <c r="I574" s="49">
        <v>65.93</v>
      </c>
      <c r="J574" s="51">
        <f t="shared" si="11"/>
        <v>279.39945</v>
      </c>
      <c r="K574" s="51">
        <f t="shared" si="12"/>
        <v>253.9995</v>
      </c>
      <c r="L574" s="8">
        <f t="shared" si="3"/>
        <v>2.572856427</v>
      </c>
      <c r="M574" s="8">
        <f t="shared" si="4"/>
        <v>0.7718569281</v>
      </c>
      <c r="N574" s="8">
        <f t="shared" si="5"/>
        <v>0.1543713856</v>
      </c>
      <c r="O574" s="8">
        <f t="shared" si="6"/>
        <v>0.507999</v>
      </c>
      <c r="P574" s="8">
        <f t="shared" si="7"/>
        <v>0.7619985</v>
      </c>
      <c r="Q574" s="8">
        <f t="shared" si="8"/>
        <v>0.2539995</v>
      </c>
      <c r="R574" s="57"/>
      <c r="S574" s="57"/>
      <c r="T574" s="57"/>
      <c r="U574" s="57"/>
      <c r="V574" s="57"/>
      <c r="W574" s="57"/>
      <c r="X574" s="57"/>
      <c r="Y574" s="57"/>
    </row>
    <row r="575" ht="34.5" customHeight="1">
      <c r="A575" s="24" t="s">
        <v>654</v>
      </c>
      <c r="B575" s="50" t="s">
        <v>588</v>
      </c>
      <c r="C575" s="50" t="s">
        <v>655</v>
      </c>
      <c r="D575" s="50" t="s">
        <v>664</v>
      </c>
      <c r="E575" s="50">
        <v>383.0</v>
      </c>
      <c r="F575" s="49">
        <v>10.61</v>
      </c>
      <c r="G575" s="50">
        <v>10.0</v>
      </c>
      <c r="H575" s="49">
        <v>75.72</v>
      </c>
      <c r="I575" s="49">
        <v>94.74</v>
      </c>
      <c r="J575" s="51">
        <f t="shared" si="11"/>
        <v>376.60007</v>
      </c>
      <c r="K575" s="51">
        <f t="shared" si="12"/>
        <v>342.3637</v>
      </c>
      <c r="L575" s="8">
        <f t="shared" si="3"/>
        <v>3.467930629</v>
      </c>
      <c r="M575" s="8">
        <f t="shared" si="4"/>
        <v>1.040379189</v>
      </c>
      <c r="N575" s="8">
        <f t="shared" si="5"/>
        <v>0.2080758378</v>
      </c>
      <c r="O575" s="8">
        <f t="shared" si="6"/>
        <v>0.6847274</v>
      </c>
      <c r="P575" s="8">
        <f t="shared" si="7"/>
        <v>1.0270911</v>
      </c>
      <c r="Q575" s="8">
        <f t="shared" si="8"/>
        <v>0.3423637</v>
      </c>
      <c r="R575" s="57"/>
      <c r="S575" s="57"/>
      <c r="T575" s="57"/>
      <c r="U575" s="57"/>
      <c r="V575" s="57"/>
      <c r="W575" s="57"/>
      <c r="X575" s="57"/>
      <c r="Y575" s="57"/>
    </row>
    <row r="576" ht="34.5" customHeight="1">
      <c r="A576" s="24" t="s">
        <v>654</v>
      </c>
      <c r="B576" s="50" t="s">
        <v>588</v>
      </c>
      <c r="C576" s="50" t="s">
        <v>655</v>
      </c>
      <c r="D576" s="50" t="s">
        <v>665</v>
      </c>
      <c r="E576" s="50">
        <v>65.0</v>
      </c>
      <c r="F576" s="49">
        <v>11.95</v>
      </c>
      <c r="G576" s="50">
        <v>1.0</v>
      </c>
      <c r="H576" s="49">
        <v>50.04</v>
      </c>
      <c r="I576" s="49">
        <v>100.0</v>
      </c>
      <c r="J576" s="51">
        <f t="shared" si="11"/>
        <v>62.95575</v>
      </c>
      <c r="K576" s="51">
        <f t="shared" si="12"/>
        <v>57.2325</v>
      </c>
      <c r="L576" s="8">
        <f t="shared" si="3"/>
        <v>0.5797295091</v>
      </c>
      <c r="M576" s="8">
        <f t="shared" si="4"/>
        <v>0.1739188527</v>
      </c>
      <c r="N576" s="8">
        <f t="shared" si="5"/>
        <v>0.03478377055</v>
      </c>
      <c r="O576" s="8">
        <f t="shared" si="6"/>
        <v>0.114465</v>
      </c>
      <c r="P576" s="8">
        <f t="shared" si="7"/>
        <v>0.1716975</v>
      </c>
      <c r="Q576" s="8">
        <f t="shared" si="8"/>
        <v>0.0572325</v>
      </c>
      <c r="R576" s="57"/>
      <c r="S576" s="57"/>
      <c r="T576" s="57"/>
      <c r="U576" s="57"/>
      <c r="V576" s="57"/>
      <c r="W576" s="57"/>
      <c r="X576" s="57"/>
      <c r="Y576" s="57"/>
    </row>
    <row r="577" ht="34.5" customHeight="1">
      <c r="A577" s="24" t="s">
        <v>654</v>
      </c>
      <c r="B577" s="50" t="s">
        <v>588</v>
      </c>
      <c r="C577" s="50" t="s">
        <v>655</v>
      </c>
      <c r="D577" s="50" t="s">
        <v>666</v>
      </c>
      <c r="E577" s="50">
        <v>131.0</v>
      </c>
      <c r="F577" s="49">
        <v>22.95</v>
      </c>
      <c r="G577" s="50">
        <v>2.0</v>
      </c>
      <c r="H577" s="49">
        <v>0.0</v>
      </c>
      <c r="I577" s="49">
        <v>85.41</v>
      </c>
      <c r="J577" s="51">
        <f t="shared" si="11"/>
        <v>111.02905</v>
      </c>
      <c r="K577" s="51">
        <f t="shared" si="12"/>
        <v>100.9355</v>
      </c>
      <c r="L577" s="8">
        <f t="shared" si="3"/>
        <v>1.022413626</v>
      </c>
      <c r="M577" s="8">
        <f t="shared" si="4"/>
        <v>0.3067240879</v>
      </c>
      <c r="N577" s="8">
        <f t="shared" si="5"/>
        <v>0.06134481758</v>
      </c>
      <c r="O577" s="8">
        <f t="shared" si="6"/>
        <v>0.201871</v>
      </c>
      <c r="P577" s="8">
        <f t="shared" si="7"/>
        <v>0.3028065</v>
      </c>
      <c r="Q577" s="8">
        <f t="shared" si="8"/>
        <v>0.1009355</v>
      </c>
      <c r="R577" s="57"/>
      <c r="S577" s="57"/>
      <c r="T577" s="57"/>
      <c r="U577" s="57"/>
      <c r="V577" s="57"/>
      <c r="W577" s="57"/>
      <c r="X577" s="57"/>
      <c r="Y577" s="57"/>
    </row>
    <row r="578" ht="34.5" customHeight="1">
      <c r="A578" s="24" t="s">
        <v>654</v>
      </c>
      <c r="B578" s="50" t="s">
        <v>588</v>
      </c>
      <c r="C578" s="50" t="s">
        <v>667</v>
      </c>
      <c r="D578" s="50" t="s">
        <v>668</v>
      </c>
      <c r="E578" s="50">
        <v>730.0</v>
      </c>
      <c r="F578" s="49">
        <v>38.44</v>
      </c>
      <c r="G578" s="50">
        <v>8.0</v>
      </c>
      <c r="H578" s="49">
        <v>34.7</v>
      </c>
      <c r="I578" s="49">
        <v>47.38</v>
      </c>
      <c r="J578" s="51">
        <f t="shared" si="11"/>
        <v>494.3268</v>
      </c>
      <c r="K578" s="51">
        <f t="shared" si="12"/>
        <v>449.388</v>
      </c>
      <c r="L578" s="8">
        <f t="shared" si="3"/>
        <v>4.55202</v>
      </c>
      <c r="M578" s="8">
        <f t="shared" si="4"/>
        <v>1.365606</v>
      </c>
      <c r="N578" s="8">
        <f t="shared" si="5"/>
        <v>0.2731212</v>
      </c>
      <c r="O578" s="8">
        <f t="shared" si="6"/>
        <v>0.898776</v>
      </c>
      <c r="P578" s="8">
        <f t="shared" si="7"/>
        <v>1.348164</v>
      </c>
      <c r="Q578" s="8">
        <f t="shared" si="8"/>
        <v>0.449388</v>
      </c>
      <c r="R578" s="57"/>
      <c r="S578" s="57"/>
      <c r="T578" s="57"/>
      <c r="U578" s="57"/>
      <c r="V578" s="57"/>
      <c r="W578" s="57"/>
      <c r="X578" s="57"/>
      <c r="Y578" s="57"/>
    </row>
    <row r="579" ht="34.5" customHeight="1">
      <c r="A579" s="24" t="s">
        <v>654</v>
      </c>
      <c r="B579" s="50" t="s">
        <v>588</v>
      </c>
      <c r="C579" s="50" t="s">
        <v>667</v>
      </c>
      <c r="D579" s="50" t="s">
        <v>669</v>
      </c>
      <c r="E579" s="50">
        <v>881.0</v>
      </c>
      <c r="F579" s="49">
        <v>42.04</v>
      </c>
      <c r="G579" s="50">
        <v>8.0</v>
      </c>
      <c r="H579" s="49">
        <v>12.23</v>
      </c>
      <c r="I579" s="49">
        <v>33.07</v>
      </c>
      <c r="J579" s="51">
        <f t="shared" si="11"/>
        <v>561.69036</v>
      </c>
      <c r="K579" s="51">
        <f t="shared" si="12"/>
        <v>510.6276</v>
      </c>
      <c r="L579" s="8">
        <f t="shared" si="3"/>
        <v>5.172338932</v>
      </c>
      <c r="M579" s="8">
        <f t="shared" si="4"/>
        <v>1.551701679</v>
      </c>
      <c r="N579" s="8">
        <f t="shared" si="5"/>
        <v>0.3103403359</v>
      </c>
      <c r="O579" s="8">
        <f t="shared" si="6"/>
        <v>1.0212552</v>
      </c>
      <c r="P579" s="8">
        <f t="shared" si="7"/>
        <v>1.5318828</v>
      </c>
      <c r="Q579" s="8">
        <f t="shared" si="8"/>
        <v>0.5106276</v>
      </c>
      <c r="R579" s="57"/>
      <c r="S579" s="57"/>
      <c r="T579" s="57"/>
      <c r="U579" s="57"/>
      <c r="V579" s="57"/>
      <c r="W579" s="57"/>
      <c r="X579" s="57"/>
      <c r="Y579" s="57"/>
    </row>
    <row r="580" ht="34.5" customHeight="1">
      <c r="A580" s="24" t="s">
        <v>654</v>
      </c>
      <c r="B580" s="50" t="s">
        <v>588</v>
      </c>
      <c r="C580" s="50" t="s">
        <v>667</v>
      </c>
      <c r="D580" s="50" t="s">
        <v>670</v>
      </c>
      <c r="E580" s="50">
        <v>963.0</v>
      </c>
      <c r="F580" s="49">
        <v>42.85</v>
      </c>
      <c r="G580" s="50">
        <v>12.0</v>
      </c>
      <c r="H580" s="49">
        <v>16.9</v>
      </c>
      <c r="I580" s="49">
        <v>42.9</v>
      </c>
      <c r="J580" s="51">
        <f t="shared" si="11"/>
        <v>605.38995</v>
      </c>
      <c r="K580" s="51">
        <f t="shared" si="12"/>
        <v>550.3545</v>
      </c>
      <c r="L580" s="8">
        <f t="shared" si="3"/>
        <v>5.574747637</v>
      </c>
      <c r="M580" s="8">
        <f t="shared" si="4"/>
        <v>1.672424291</v>
      </c>
      <c r="N580" s="8">
        <f t="shared" si="5"/>
        <v>0.3344848582</v>
      </c>
      <c r="O580" s="8">
        <f t="shared" si="6"/>
        <v>1.100709</v>
      </c>
      <c r="P580" s="8">
        <f t="shared" si="7"/>
        <v>1.6510635</v>
      </c>
      <c r="Q580" s="8">
        <f t="shared" si="8"/>
        <v>0.5503545</v>
      </c>
      <c r="R580" s="57"/>
      <c r="S580" s="57"/>
      <c r="T580" s="57"/>
      <c r="U580" s="57"/>
      <c r="V580" s="57"/>
      <c r="W580" s="57"/>
      <c r="X580" s="57"/>
      <c r="Y580" s="57"/>
    </row>
    <row r="581" ht="34.5" customHeight="1">
      <c r="A581" s="24" t="s">
        <v>654</v>
      </c>
      <c r="B581" s="50" t="s">
        <v>588</v>
      </c>
      <c r="C581" s="50" t="s">
        <v>667</v>
      </c>
      <c r="D581" s="50" t="s">
        <v>671</v>
      </c>
      <c r="E581" s="50">
        <v>466.0</v>
      </c>
      <c r="F581" s="49">
        <v>27.88</v>
      </c>
      <c r="G581" s="50">
        <v>5.0</v>
      </c>
      <c r="H581" s="49">
        <v>80.38</v>
      </c>
      <c r="I581" s="49">
        <v>90.37</v>
      </c>
      <c r="J581" s="51">
        <f t="shared" si="11"/>
        <v>369.68712</v>
      </c>
      <c r="K581" s="51">
        <f t="shared" si="12"/>
        <v>336.0792</v>
      </c>
      <c r="L581" s="8">
        <f t="shared" si="3"/>
        <v>3.404272566</v>
      </c>
      <c r="M581" s="8">
        <f t="shared" si="4"/>
        <v>1.02128177</v>
      </c>
      <c r="N581" s="8">
        <f t="shared" si="5"/>
        <v>0.204256354</v>
      </c>
      <c r="O581" s="8">
        <f t="shared" si="6"/>
        <v>0.6721584</v>
      </c>
      <c r="P581" s="8">
        <f t="shared" si="7"/>
        <v>1.0082376</v>
      </c>
      <c r="Q581" s="8">
        <f t="shared" si="8"/>
        <v>0.3360792</v>
      </c>
      <c r="R581" s="57"/>
      <c r="S581" s="57"/>
      <c r="T581" s="57"/>
      <c r="U581" s="57"/>
      <c r="V581" s="57"/>
      <c r="W581" s="57"/>
      <c r="X581" s="57"/>
      <c r="Y581" s="57"/>
    </row>
    <row r="582" ht="34.5" customHeight="1">
      <c r="A582" s="24" t="s">
        <v>654</v>
      </c>
      <c r="B582" s="50" t="s">
        <v>588</v>
      </c>
      <c r="C582" s="50" t="s">
        <v>667</v>
      </c>
      <c r="D582" s="50" t="s">
        <v>667</v>
      </c>
      <c r="E582" s="50">
        <v>5295.0</v>
      </c>
      <c r="F582" s="49">
        <v>59.54</v>
      </c>
      <c r="G582" s="50">
        <v>35.0</v>
      </c>
      <c r="H582" s="49">
        <v>14.82</v>
      </c>
      <c r="I582" s="49">
        <v>60.22</v>
      </c>
      <c r="J582" s="51">
        <f t="shared" si="11"/>
        <v>2356.5927</v>
      </c>
      <c r="K582" s="51">
        <f t="shared" si="12"/>
        <v>2142.357</v>
      </c>
      <c r="L582" s="8">
        <f t="shared" si="3"/>
        <v>21.70073947</v>
      </c>
      <c r="M582" s="8">
        <f t="shared" si="4"/>
        <v>6.510221842</v>
      </c>
      <c r="N582" s="8">
        <f t="shared" si="5"/>
        <v>1.302044368</v>
      </c>
      <c r="O582" s="8">
        <f t="shared" si="6"/>
        <v>4.284714</v>
      </c>
      <c r="P582" s="8">
        <f t="shared" si="7"/>
        <v>6.427071</v>
      </c>
      <c r="Q582" s="8">
        <f t="shared" si="8"/>
        <v>2.142357</v>
      </c>
      <c r="R582" s="57"/>
      <c r="S582" s="57"/>
      <c r="T582" s="57"/>
      <c r="U582" s="57"/>
      <c r="V582" s="57"/>
      <c r="W582" s="57"/>
      <c r="X582" s="57"/>
      <c r="Y582" s="57"/>
    </row>
    <row r="583" ht="34.5" customHeight="1">
      <c r="A583" s="24" t="s">
        <v>654</v>
      </c>
      <c r="B583" s="50" t="s">
        <v>588</v>
      </c>
      <c r="C583" s="50" t="s">
        <v>667</v>
      </c>
      <c r="D583" s="50" t="s">
        <v>672</v>
      </c>
      <c r="E583" s="50">
        <v>722.0</v>
      </c>
      <c r="F583" s="49">
        <v>36.98</v>
      </c>
      <c r="G583" s="50">
        <v>6.0</v>
      </c>
      <c r="H583" s="49">
        <v>0.0</v>
      </c>
      <c r="I583" s="49">
        <v>87.33</v>
      </c>
      <c r="J583" s="51">
        <f t="shared" si="11"/>
        <v>500.50484</v>
      </c>
      <c r="K583" s="51">
        <f t="shared" si="12"/>
        <v>455.0044</v>
      </c>
      <c r="L583" s="8">
        <f t="shared" si="3"/>
        <v>4.608910627</v>
      </c>
      <c r="M583" s="8">
        <f t="shared" si="4"/>
        <v>1.382673188</v>
      </c>
      <c r="N583" s="8">
        <f t="shared" si="5"/>
        <v>0.2765346376</v>
      </c>
      <c r="O583" s="8">
        <f t="shared" si="6"/>
        <v>0.9100088</v>
      </c>
      <c r="P583" s="8">
        <f t="shared" si="7"/>
        <v>1.3650132</v>
      </c>
      <c r="Q583" s="8">
        <f t="shared" si="8"/>
        <v>0.4550044</v>
      </c>
      <c r="R583" s="57"/>
      <c r="S583" s="57"/>
      <c r="T583" s="57"/>
      <c r="U583" s="57"/>
      <c r="V583" s="57"/>
      <c r="W583" s="57"/>
      <c r="X583" s="57"/>
      <c r="Y583" s="57"/>
    </row>
    <row r="584" ht="34.5" customHeight="1">
      <c r="A584" s="24" t="s">
        <v>654</v>
      </c>
      <c r="B584" s="50" t="s">
        <v>588</v>
      </c>
      <c r="C584" s="50" t="s">
        <v>667</v>
      </c>
      <c r="D584" s="50" t="s">
        <v>673</v>
      </c>
      <c r="E584" s="50">
        <v>1163.0</v>
      </c>
      <c r="F584" s="49">
        <v>46.23</v>
      </c>
      <c r="G584" s="50">
        <v>13.0</v>
      </c>
      <c r="H584" s="49">
        <v>22.65</v>
      </c>
      <c r="I584" s="49">
        <v>39.89</v>
      </c>
      <c r="J584" s="51">
        <f t="shared" si="11"/>
        <v>687.87961</v>
      </c>
      <c r="K584" s="51">
        <f t="shared" si="12"/>
        <v>625.3451</v>
      </c>
      <c r="L584" s="8">
        <f t="shared" si="3"/>
        <v>6.334355617</v>
      </c>
      <c r="M584" s="8">
        <f t="shared" si="4"/>
        <v>1.900306685</v>
      </c>
      <c r="N584" s="8">
        <f t="shared" si="5"/>
        <v>0.380061337</v>
      </c>
      <c r="O584" s="8">
        <f t="shared" si="6"/>
        <v>1.2506902</v>
      </c>
      <c r="P584" s="8">
        <f t="shared" si="7"/>
        <v>1.8760353</v>
      </c>
      <c r="Q584" s="8">
        <f t="shared" si="8"/>
        <v>0.6253451</v>
      </c>
      <c r="R584" s="57"/>
      <c r="S584" s="57"/>
      <c r="T584" s="57"/>
      <c r="U584" s="57"/>
      <c r="V584" s="57"/>
      <c r="W584" s="57"/>
      <c r="X584" s="57"/>
      <c r="Y584" s="57"/>
    </row>
    <row r="585" ht="34.5" customHeight="1">
      <c r="A585" s="24" t="s">
        <v>674</v>
      </c>
      <c r="B585" s="50" t="s">
        <v>675</v>
      </c>
      <c r="C585" s="50" t="s">
        <v>676</v>
      </c>
      <c r="D585" s="50" t="s">
        <v>677</v>
      </c>
      <c r="E585" s="50">
        <v>1041.0</v>
      </c>
      <c r="F585" s="49">
        <v>35.9</v>
      </c>
      <c r="G585" s="50">
        <v>21.0</v>
      </c>
      <c r="H585" s="49">
        <v>54.9</v>
      </c>
      <c r="I585" s="49">
        <v>61.26</v>
      </c>
      <c r="J585" s="51">
        <f t="shared" si="11"/>
        <v>734.0091</v>
      </c>
      <c r="K585" s="51">
        <f t="shared" si="12"/>
        <v>667.281</v>
      </c>
      <c r="L585" s="8">
        <f t="shared" si="3"/>
        <v>6.759140114</v>
      </c>
      <c r="M585" s="8">
        <f t="shared" si="4"/>
        <v>2.027742034</v>
      </c>
      <c r="N585" s="8">
        <f t="shared" si="5"/>
        <v>0.4055484068</v>
      </c>
      <c r="O585" s="8">
        <f t="shared" si="6"/>
        <v>1.334562</v>
      </c>
      <c r="P585" s="8">
        <f t="shared" si="7"/>
        <v>2.001843</v>
      </c>
      <c r="Q585" s="8">
        <f t="shared" si="8"/>
        <v>0.667281</v>
      </c>
      <c r="R585" s="57"/>
      <c r="S585" s="57"/>
      <c r="T585" s="57"/>
      <c r="U585" s="57"/>
      <c r="V585" s="57"/>
      <c r="W585" s="57"/>
      <c r="X585" s="57"/>
      <c r="Y585" s="57"/>
    </row>
    <row r="586" ht="34.5" customHeight="1">
      <c r="A586" s="24" t="s">
        <v>674</v>
      </c>
      <c r="B586" s="50" t="s">
        <v>675</v>
      </c>
      <c r="C586" s="50" t="s">
        <v>676</v>
      </c>
      <c r="D586" s="50" t="s">
        <v>678</v>
      </c>
      <c r="E586" s="50">
        <v>124.0</v>
      </c>
      <c r="F586" s="49">
        <v>12.55</v>
      </c>
      <c r="G586" s="50">
        <v>3.0</v>
      </c>
      <c r="H586" s="49">
        <v>0.0</v>
      </c>
      <c r="I586" s="49">
        <v>0.0</v>
      </c>
      <c r="J586" s="51">
        <f t="shared" si="11"/>
        <v>119.2818</v>
      </c>
      <c r="K586" s="51">
        <f t="shared" si="12"/>
        <v>108.438</v>
      </c>
      <c r="L586" s="8">
        <f t="shared" si="3"/>
        <v>1.098409269</v>
      </c>
      <c r="M586" s="8">
        <f t="shared" si="4"/>
        <v>0.3295227808</v>
      </c>
      <c r="N586" s="8">
        <f t="shared" si="5"/>
        <v>0.06590455616</v>
      </c>
      <c r="O586" s="8">
        <f t="shared" si="6"/>
        <v>0.216876</v>
      </c>
      <c r="P586" s="8">
        <f t="shared" si="7"/>
        <v>0.325314</v>
      </c>
      <c r="Q586" s="8">
        <f t="shared" si="8"/>
        <v>0.108438</v>
      </c>
      <c r="R586" s="57"/>
      <c r="S586" s="57"/>
      <c r="T586" s="57"/>
      <c r="U586" s="57"/>
      <c r="V586" s="57"/>
      <c r="W586" s="57"/>
      <c r="X586" s="57"/>
      <c r="Y586" s="57"/>
    </row>
    <row r="587" ht="34.5" customHeight="1">
      <c r="A587" s="24" t="s">
        <v>674</v>
      </c>
      <c r="B587" s="50" t="s">
        <v>675</v>
      </c>
      <c r="C587" s="50" t="s">
        <v>676</v>
      </c>
      <c r="D587" s="50" t="s">
        <v>679</v>
      </c>
      <c r="E587" s="50">
        <v>2642.0</v>
      </c>
      <c r="F587" s="49">
        <v>42.82</v>
      </c>
      <c r="G587" s="50">
        <v>53.0</v>
      </c>
      <c r="H587" s="49">
        <v>64.97</v>
      </c>
      <c r="I587" s="49">
        <v>88.49</v>
      </c>
      <c r="J587" s="51">
        <f t="shared" si="11"/>
        <v>1661.76516</v>
      </c>
      <c r="K587" s="51">
        <f t="shared" si="12"/>
        <v>1510.6956</v>
      </c>
      <c r="L587" s="8">
        <f t="shared" si="3"/>
        <v>15.30240368</v>
      </c>
      <c r="M587" s="8">
        <f t="shared" si="4"/>
        <v>4.590721104</v>
      </c>
      <c r="N587" s="8">
        <f t="shared" si="5"/>
        <v>0.9181442208</v>
      </c>
      <c r="O587" s="8">
        <f t="shared" si="6"/>
        <v>3.0213912</v>
      </c>
      <c r="P587" s="8">
        <f t="shared" si="7"/>
        <v>4.5320868</v>
      </c>
      <c r="Q587" s="8">
        <f t="shared" si="8"/>
        <v>1.5106956</v>
      </c>
      <c r="R587" s="57"/>
      <c r="S587" s="57"/>
      <c r="T587" s="57"/>
      <c r="U587" s="57"/>
      <c r="V587" s="57"/>
      <c r="W587" s="57"/>
      <c r="X587" s="57"/>
      <c r="Y587" s="57"/>
    </row>
    <row r="588" ht="34.5" customHeight="1">
      <c r="A588" s="24" t="s">
        <v>674</v>
      </c>
      <c r="B588" s="50" t="s">
        <v>675</v>
      </c>
      <c r="C588" s="50" t="s">
        <v>676</v>
      </c>
      <c r="D588" s="50" t="s">
        <v>680</v>
      </c>
      <c r="E588" s="50">
        <v>73.0</v>
      </c>
      <c r="F588" s="49">
        <v>21.9</v>
      </c>
      <c r="G588" s="50">
        <v>1.0</v>
      </c>
      <c r="H588" s="49">
        <v>52.26</v>
      </c>
      <c r="I588" s="49">
        <v>52.26</v>
      </c>
      <c r="J588" s="51">
        <f t="shared" si="11"/>
        <v>62.7143</v>
      </c>
      <c r="K588" s="51">
        <f t="shared" si="12"/>
        <v>57.013</v>
      </c>
      <c r="L588" s="8">
        <f t="shared" si="3"/>
        <v>0.5775061111</v>
      </c>
      <c r="M588" s="8">
        <f t="shared" si="4"/>
        <v>0.1732518333</v>
      </c>
      <c r="N588" s="8">
        <f t="shared" si="5"/>
        <v>0.03465036667</v>
      </c>
      <c r="O588" s="8">
        <f t="shared" si="6"/>
        <v>0.114026</v>
      </c>
      <c r="P588" s="8">
        <f t="shared" si="7"/>
        <v>0.171039</v>
      </c>
      <c r="Q588" s="8">
        <f t="shared" si="8"/>
        <v>0.057013</v>
      </c>
      <c r="R588" s="57"/>
      <c r="S588" s="57"/>
      <c r="T588" s="57"/>
      <c r="U588" s="57"/>
      <c r="V588" s="57"/>
      <c r="W588" s="57"/>
      <c r="X588" s="57"/>
      <c r="Y588" s="57"/>
    </row>
    <row r="589" ht="34.5" customHeight="1">
      <c r="A589" s="24" t="s">
        <v>674</v>
      </c>
      <c r="B589" s="50" t="s">
        <v>675</v>
      </c>
      <c r="C589" s="50" t="s">
        <v>676</v>
      </c>
      <c r="D589" s="50" t="s">
        <v>681</v>
      </c>
      <c r="E589" s="50">
        <v>54.0</v>
      </c>
      <c r="F589" s="49">
        <v>13.3</v>
      </c>
      <c r="G589" s="50">
        <v>1.0</v>
      </c>
      <c r="H589" s="49">
        <v>74.15</v>
      </c>
      <c r="I589" s="49">
        <v>74.15</v>
      </c>
      <c r="J589" s="51">
        <f t="shared" si="11"/>
        <v>51.4998</v>
      </c>
      <c r="K589" s="51">
        <f t="shared" si="12"/>
        <v>46.818</v>
      </c>
      <c r="L589" s="8">
        <f t="shared" si="3"/>
        <v>0.4742371233</v>
      </c>
      <c r="M589" s="8">
        <f t="shared" si="4"/>
        <v>0.142271137</v>
      </c>
      <c r="N589" s="8">
        <f t="shared" si="5"/>
        <v>0.0284542274</v>
      </c>
      <c r="O589" s="8">
        <f t="shared" si="6"/>
        <v>0.093636</v>
      </c>
      <c r="P589" s="8">
        <f t="shared" si="7"/>
        <v>0.140454</v>
      </c>
      <c r="Q589" s="8">
        <f t="shared" si="8"/>
        <v>0.046818</v>
      </c>
      <c r="R589" s="57"/>
      <c r="S589" s="57"/>
      <c r="T589" s="57"/>
      <c r="U589" s="57"/>
      <c r="V589" s="57"/>
      <c r="W589" s="57"/>
      <c r="X589" s="57"/>
      <c r="Y589" s="57"/>
    </row>
    <row r="590" ht="34.5" customHeight="1">
      <c r="A590" s="24" t="s">
        <v>674</v>
      </c>
      <c r="B590" s="50" t="s">
        <v>675</v>
      </c>
      <c r="C590" s="50" t="s">
        <v>676</v>
      </c>
      <c r="D590" s="50" t="s">
        <v>682</v>
      </c>
      <c r="E590" s="50">
        <v>196.0</v>
      </c>
      <c r="F590" s="49">
        <v>18.97</v>
      </c>
      <c r="G590" s="50">
        <v>1.0</v>
      </c>
      <c r="H590" s="49">
        <v>56.8</v>
      </c>
      <c r="I590" s="49">
        <v>73.26</v>
      </c>
      <c r="J590" s="51">
        <f t="shared" si="11"/>
        <v>174.70068</v>
      </c>
      <c r="K590" s="51">
        <f t="shared" si="12"/>
        <v>158.8188</v>
      </c>
      <c r="L590" s="8">
        <f t="shared" si="3"/>
        <v>1.608735333</v>
      </c>
      <c r="M590" s="8">
        <f t="shared" si="4"/>
        <v>0.4826206</v>
      </c>
      <c r="N590" s="8">
        <f t="shared" si="5"/>
        <v>0.09652412</v>
      </c>
      <c r="O590" s="8">
        <f t="shared" si="6"/>
        <v>0.3176376</v>
      </c>
      <c r="P590" s="8">
        <f t="shared" si="7"/>
        <v>0.4764564</v>
      </c>
      <c r="Q590" s="8">
        <f t="shared" si="8"/>
        <v>0.1588188</v>
      </c>
      <c r="R590" s="57"/>
      <c r="S590" s="57"/>
      <c r="T590" s="57"/>
      <c r="U590" s="57"/>
      <c r="V590" s="57"/>
      <c r="W590" s="57"/>
      <c r="X590" s="57"/>
      <c r="Y590" s="57"/>
    </row>
    <row r="591" ht="34.5" customHeight="1">
      <c r="A591" s="24" t="s">
        <v>674</v>
      </c>
      <c r="B591" s="50" t="s">
        <v>675</v>
      </c>
      <c r="C591" s="50" t="s">
        <v>676</v>
      </c>
      <c r="D591" s="50" t="s">
        <v>683</v>
      </c>
      <c r="E591" s="50">
        <v>153.0</v>
      </c>
      <c r="F591" s="49">
        <v>20.08</v>
      </c>
      <c r="G591" s="50">
        <v>2.0</v>
      </c>
      <c r="H591" s="49">
        <v>69.99</v>
      </c>
      <c r="I591" s="49">
        <v>100.0</v>
      </c>
      <c r="J591" s="51">
        <f t="shared" si="11"/>
        <v>134.50536</v>
      </c>
      <c r="K591" s="51">
        <f t="shared" si="12"/>
        <v>122.2776</v>
      </c>
      <c r="L591" s="8">
        <f t="shared" si="3"/>
        <v>1.238595781</v>
      </c>
      <c r="M591" s="8">
        <f t="shared" si="4"/>
        <v>0.3715787342</v>
      </c>
      <c r="N591" s="8">
        <f t="shared" si="5"/>
        <v>0.07431574685</v>
      </c>
      <c r="O591" s="8">
        <f t="shared" si="6"/>
        <v>0.2445552</v>
      </c>
      <c r="P591" s="8">
        <f t="shared" si="7"/>
        <v>0.3668328</v>
      </c>
      <c r="Q591" s="8">
        <f t="shared" si="8"/>
        <v>0.1222776</v>
      </c>
      <c r="R591" s="57"/>
      <c r="S591" s="57"/>
      <c r="T591" s="57"/>
      <c r="U591" s="57"/>
      <c r="V591" s="57"/>
      <c r="W591" s="57"/>
      <c r="X591" s="57"/>
      <c r="Y591" s="57"/>
    </row>
    <row r="592" ht="34.5" customHeight="1">
      <c r="A592" s="24" t="s">
        <v>674</v>
      </c>
      <c r="B592" s="50" t="s">
        <v>675</v>
      </c>
      <c r="C592" s="50" t="s">
        <v>676</v>
      </c>
      <c r="D592" s="50" t="s">
        <v>684</v>
      </c>
      <c r="E592" s="50">
        <v>8090.0</v>
      </c>
      <c r="F592" s="49">
        <v>45.38</v>
      </c>
      <c r="G592" s="50">
        <v>40.0</v>
      </c>
      <c r="H592" s="49">
        <v>20.07</v>
      </c>
      <c r="I592" s="49">
        <v>55.64</v>
      </c>
      <c r="J592" s="51">
        <f t="shared" si="11"/>
        <v>4860.6338</v>
      </c>
      <c r="K592" s="51">
        <f t="shared" si="12"/>
        <v>4418.758</v>
      </c>
      <c r="L592" s="8">
        <f t="shared" si="3"/>
        <v>44.75926102</v>
      </c>
      <c r="M592" s="8">
        <f t="shared" si="4"/>
        <v>13.42777831</v>
      </c>
      <c r="N592" s="8">
        <f t="shared" si="5"/>
        <v>2.685555661</v>
      </c>
      <c r="O592" s="8">
        <f t="shared" si="6"/>
        <v>8.837516</v>
      </c>
      <c r="P592" s="8">
        <f t="shared" si="7"/>
        <v>13.256274</v>
      </c>
      <c r="Q592" s="8">
        <f t="shared" si="8"/>
        <v>4.418758</v>
      </c>
      <c r="R592" s="57"/>
      <c r="S592" s="57"/>
      <c r="T592" s="57"/>
      <c r="U592" s="57"/>
      <c r="V592" s="57"/>
      <c r="W592" s="57"/>
      <c r="X592" s="57"/>
      <c r="Y592" s="57"/>
    </row>
    <row r="593" ht="34.5" customHeight="1">
      <c r="A593" s="24" t="s">
        <v>674</v>
      </c>
      <c r="B593" s="50" t="s">
        <v>675</v>
      </c>
      <c r="C593" s="50" t="s">
        <v>685</v>
      </c>
      <c r="D593" s="50" t="s">
        <v>686</v>
      </c>
      <c r="E593" s="50">
        <v>304.0</v>
      </c>
      <c r="F593" s="49">
        <v>17.64</v>
      </c>
      <c r="G593" s="50">
        <v>10.0</v>
      </c>
      <c r="H593" s="49">
        <v>66.79</v>
      </c>
      <c r="I593" s="49">
        <v>100.0</v>
      </c>
      <c r="J593" s="51">
        <f t="shared" si="11"/>
        <v>275.41184</v>
      </c>
      <c r="K593" s="51">
        <f t="shared" si="12"/>
        <v>250.3744</v>
      </c>
      <c r="L593" s="8">
        <f t="shared" si="3"/>
        <v>2.536136426</v>
      </c>
      <c r="M593" s="8">
        <f t="shared" si="4"/>
        <v>0.7608409279</v>
      </c>
      <c r="N593" s="8">
        <f t="shared" si="5"/>
        <v>0.1521681856</v>
      </c>
      <c r="O593" s="8">
        <f t="shared" si="6"/>
        <v>0.5007488</v>
      </c>
      <c r="P593" s="8">
        <f t="shared" si="7"/>
        <v>0.7511232</v>
      </c>
      <c r="Q593" s="8">
        <f t="shared" si="8"/>
        <v>0.2503744</v>
      </c>
      <c r="R593" s="57"/>
      <c r="S593" s="57"/>
      <c r="T593" s="57"/>
      <c r="U593" s="57"/>
      <c r="V593" s="57"/>
      <c r="W593" s="57"/>
      <c r="X593" s="57"/>
      <c r="Y593" s="57"/>
    </row>
    <row r="594" ht="34.5" customHeight="1">
      <c r="A594" s="24" t="s">
        <v>674</v>
      </c>
      <c r="B594" s="50" t="s">
        <v>675</v>
      </c>
      <c r="C594" s="50" t="s">
        <v>685</v>
      </c>
      <c r="D594" s="50" t="s">
        <v>687</v>
      </c>
      <c r="E594" s="50">
        <v>27.0</v>
      </c>
      <c r="F594" s="49">
        <v>2.73</v>
      </c>
      <c r="G594" s="50">
        <v>1.0</v>
      </c>
      <c r="H594" s="49">
        <v>100.0</v>
      </c>
      <c r="I594" s="49">
        <v>100.0</v>
      </c>
      <c r="J594" s="51">
        <f t="shared" si="11"/>
        <v>28.88919</v>
      </c>
      <c r="K594" s="51">
        <f t="shared" si="12"/>
        <v>26.2629</v>
      </c>
      <c r="L594" s="8">
        <f t="shared" si="3"/>
        <v>0.2660267877</v>
      </c>
      <c r="M594" s="8">
        <f t="shared" si="4"/>
        <v>0.0798080363</v>
      </c>
      <c r="N594" s="8">
        <f t="shared" si="5"/>
        <v>0.01596160726</v>
      </c>
      <c r="O594" s="8">
        <f t="shared" si="6"/>
        <v>0.0525258</v>
      </c>
      <c r="P594" s="8">
        <f t="shared" si="7"/>
        <v>0.0787887</v>
      </c>
      <c r="Q594" s="8">
        <f t="shared" si="8"/>
        <v>0.0262629</v>
      </c>
      <c r="R594" s="57"/>
      <c r="S594" s="57"/>
      <c r="T594" s="57"/>
      <c r="U594" s="57"/>
      <c r="V594" s="57"/>
      <c r="W594" s="57"/>
      <c r="X594" s="57"/>
      <c r="Y594" s="57"/>
    </row>
    <row r="595" ht="34.5" customHeight="1">
      <c r="A595" s="24" t="s">
        <v>674</v>
      </c>
      <c r="B595" s="50" t="s">
        <v>675</v>
      </c>
      <c r="C595" s="50" t="s">
        <v>685</v>
      </c>
      <c r="D595" s="50" t="s">
        <v>688</v>
      </c>
      <c r="E595" s="50">
        <v>53.0</v>
      </c>
      <c r="F595" s="49">
        <v>5.06</v>
      </c>
      <c r="G595" s="50">
        <v>1.0</v>
      </c>
      <c r="H595" s="49">
        <v>88.78</v>
      </c>
      <c r="I595" s="49">
        <v>100.0</v>
      </c>
      <c r="J595" s="51">
        <f t="shared" si="11"/>
        <v>55.35002</v>
      </c>
      <c r="K595" s="51">
        <f t="shared" si="12"/>
        <v>50.3182</v>
      </c>
      <c r="L595" s="8">
        <f t="shared" si="3"/>
        <v>0.509691965</v>
      </c>
      <c r="M595" s="8">
        <f t="shared" si="4"/>
        <v>0.1529075895</v>
      </c>
      <c r="N595" s="8">
        <f t="shared" si="5"/>
        <v>0.0305815179</v>
      </c>
      <c r="O595" s="8">
        <f t="shared" si="6"/>
        <v>0.1006364</v>
      </c>
      <c r="P595" s="8">
        <f t="shared" si="7"/>
        <v>0.1509546</v>
      </c>
      <c r="Q595" s="8">
        <f t="shared" si="8"/>
        <v>0.0503182</v>
      </c>
      <c r="R595" s="57"/>
      <c r="S595" s="57"/>
      <c r="T595" s="57"/>
      <c r="U595" s="57"/>
      <c r="V595" s="57"/>
      <c r="W595" s="57"/>
      <c r="X595" s="57"/>
      <c r="Y595" s="57"/>
    </row>
    <row r="596" ht="34.5" customHeight="1">
      <c r="A596" s="24" t="s">
        <v>674</v>
      </c>
      <c r="B596" s="50" t="s">
        <v>675</v>
      </c>
      <c r="C596" s="50" t="s">
        <v>685</v>
      </c>
      <c r="D596" s="50" t="s">
        <v>689</v>
      </c>
      <c r="E596" s="50">
        <v>89.0</v>
      </c>
      <c r="F596" s="49">
        <v>10.29</v>
      </c>
      <c r="G596" s="50">
        <v>5.0</v>
      </c>
      <c r="H596" s="49">
        <v>100.0</v>
      </c>
      <c r="I596" s="49">
        <v>100.0</v>
      </c>
      <c r="J596" s="51">
        <f t="shared" si="11"/>
        <v>87.82609</v>
      </c>
      <c r="K596" s="51">
        <f t="shared" si="12"/>
        <v>79.8419</v>
      </c>
      <c r="L596" s="8">
        <f t="shared" si="3"/>
        <v>0.8087486218</v>
      </c>
      <c r="M596" s="8">
        <f t="shared" si="4"/>
        <v>0.2426245865</v>
      </c>
      <c r="N596" s="8">
        <f t="shared" si="5"/>
        <v>0.04852491731</v>
      </c>
      <c r="O596" s="8">
        <f t="shared" si="6"/>
        <v>0.1596838</v>
      </c>
      <c r="P596" s="8">
        <f t="shared" si="7"/>
        <v>0.2395257</v>
      </c>
      <c r="Q596" s="8">
        <f t="shared" si="8"/>
        <v>0.0798419</v>
      </c>
      <c r="R596" s="57"/>
      <c r="S596" s="57"/>
      <c r="T596" s="57"/>
      <c r="U596" s="57"/>
      <c r="V596" s="57"/>
      <c r="W596" s="57"/>
      <c r="X596" s="57"/>
      <c r="Y596" s="57"/>
    </row>
    <row r="597" ht="34.5" customHeight="1">
      <c r="A597" s="24" t="s">
        <v>674</v>
      </c>
      <c r="B597" s="50" t="s">
        <v>675</v>
      </c>
      <c r="C597" s="50" t="s">
        <v>685</v>
      </c>
      <c r="D597" s="50" t="s">
        <v>690</v>
      </c>
      <c r="E597" s="50">
        <v>346.0</v>
      </c>
      <c r="F597" s="49">
        <v>24.01</v>
      </c>
      <c r="G597" s="50">
        <v>9.0</v>
      </c>
      <c r="H597" s="49">
        <v>62.11</v>
      </c>
      <c r="I597" s="49">
        <v>71.11</v>
      </c>
      <c r="J597" s="51">
        <f t="shared" si="11"/>
        <v>289.21794</v>
      </c>
      <c r="K597" s="51">
        <f t="shared" si="12"/>
        <v>262.9254</v>
      </c>
      <c r="L597" s="8">
        <f t="shared" si="3"/>
        <v>2.663270224</v>
      </c>
      <c r="M597" s="8">
        <f t="shared" si="4"/>
        <v>0.7989810671</v>
      </c>
      <c r="N597" s="8">
        <f t="shared" si="5"/>
        <v>0.1597962134</v>
      </c>
      <c r="O597" s="8">
        <f t="shared" si="6"/>
        <v>0.5258508</v>
      </c>
      <c r="P597" s="8">
        <f t="shared" si="7"/>
        <v>0.7887762</v>
      </c>
      <c r="Q597" s="8">
        <f t="shared" si="8"/>
        <v>0.2629254</v>
      </c>
      <c r="R597" s="57"/>
      <c r="S597" s="57"/>
      <c r="T597" s="57"/>
      <c r="U597" s="57"/>
      <c r="V597" s="57"/>
      <c r="W597" s="57"/>
      <c r="X597" s="57"/>
      <c r="Y597" s="57"/>
    </row>
    <row r="598" ht="34.5" customHeight="1">
      <c r="A598" s="24" t="s">
        <v>674</v>
      </c>
      <c r="B598" s="50" t="s">
        <v>675</v>
      </c>
      <c r="C598" s="50" t="s">
        <v>685</v>
      </c>
      <c r="D598" s="50" t="s">
        <v>691</v>
      </c>
      <c r="E598" s="50">
        <v>79.0</v>
      </c>
      <c r="F598" s="49">
        <v>10.05</v>
      </c>
      <c r="G598" s="50">
        <v>1.0</v>
      </c>
      <c r="H598" s="49">
        <v>67.15</v>
      </c>
      <c r="I598" s="49">
        <v>79.36</v>
      </c>
      <c r="J598" s="51">
        <f t="shared" si="11"/>
        <v>78.16655</v>
      </c>
      <c r="K598" s="51">
        <f t="shared" si="12"/>
        <v>71.0605</v>
      </c>
      <c r="L598" s="8">
        <f t="shared" si="3"/>
        <v>0.7197985198</v>
      </c>
      <c r="M598" s="8">
        <f t="shared" si="4"/>
        <v>0.2159395559</v>
      </c>
      <c r="N598" s="8">
        <f t="shared" si="5"/>
        <v>0.04318791119</v>
      </c>
      <c r="O598" s="8">
        <f t="shared" si="6"/>
        <v>0.142121</v>
      </c>
      <c r="P598" s="8">
        <f t="shared" si="7"/>
        <v>0.2131815</v>
      </c>
      <c r="Q598" s="8">
        <f t="shared" si="8"/>
        <v>0.0710605</v>
      </c>
      <c r="R598" s="57"/>
      <c r="S598" s="57"/>
      <c r="T598" s="57"/>
      <c r="U598" s="57"/>
      <c r="V598" s="57"/>
      <c r="W598" s="57"/>
      <c r="X598" s="57"/>
      <c r="Y598" s="57"/>
    </row>
    <row r="599" ht="34.5" customHeight="1">
      <c r="A599" s="24" t="s">
        <v>674</v>
      </c>
      <c r="B599" s="50" t="s">
        <v>675</v>
      </c>
      <c r="C599" s="50" t="s">
        <v>685</v>
      </c>
      <c r="D599" s="50" t="s">
        <v>692</v>
      </c>
      <c r="E599" s="50">
        <v>760.0</v>
      </c>
      <c r="F599" s="49">
        <v>30.4</v>
      </c>
      <c r="G599" s="50">
        <v>13.0</v>
      </c>
      <c r="H599" s="49">
        <v>37.76</v>
      </c>
      <c r="I599" s="49">
        <v>59.64</v>
      </c>
      <c r="J599" s="51">
        <f t="shared" si="11"/>
        <v>581.856</v>
      </c>
      <c r="K599" s="51">
        <f t="shared" si="12"/>
        <v>528.96</v>
      </c>
      <c r="L599" s="8">
        <f t="shared" si="3"/>
        <v>5.358034703</v>
      </c>
      <c r="M599" s="8">
        <f t="shared" si="4"/>
        <v>1.607410411</v>
      </c>
      <c r="N599" s="8">
        <f t="shared" si="5"/>
        <v>0.3214820822</v>
      </c>
      <c r="O599" s="8">
        <f t="shared" si="6"/>
        <v>1.05792</v>
      </c>
      <c r="P599" s="8">
        <f t="shared" si="7"/>
        <v>1.58688</v>
      </c>
      <c r="Q599" s="8">
        <f t="shared" si="8"/>
        <v>0.52896</v>
      </c>
      <c r="R599" s="57"/>
      <c r="S599" s="57"/>
      <c r="T599" s="57"/>
      <c r="U599" s="57"/>
      <c r="V599" s="57"/>
      <c r="W599" s="57"/>
      <c r="X599" s="57"/>
      <c r="Y599" s="57"/>
    </row>
    <row r="600" ht="34.5" customHeight="1">
      <c r="A600" s="24" t="s">
        <v>674</v>
      </c>
      <c r="B600" s="50" t="s">
        <v>675</v>
      </c>
      <c r="C600" s="50" t="s">
        <v>685</v>
      </c>
      <c r="D600" s="50" t="s">
        <v>693</v>
      </c>
      <c r="E600" s="50">
        <v>229.0</v>
      </c>
      <c r="F600" s="49">
        <v>5.16</v>
      </c>
      <c r="G600" s="50">
        <v>6.0</v>
      </c>
      <c r="H600" s="49">
        <v>64.05</v>
      </c>
      <c r="I600" s="49">
        <v>64.0</v>
      </c>
      <c r="J600" s="51">
        <f t="shared" si="11"/>
        <v>238.90196</v>
      </c>
      <c r="K600" s="51">
        <f t="shared" si="12"/>
        <v>217.1836</v>
      </c>
      <c r="L600" s="8">
        <f t="shared" si="3"/>
        <v>2.199934335</v>
      </c>
      <c r="M600" s="8">
        <f t="shared" si="4"/>
        <v>0.6599803005</v>
      </c>
      <c r="N600" s="8">
        <f t="shared" si="5"/>
        <v>0.1319960601</v>
      </c>
      <c r="O600" s="8">
        <f t="shared" si="6"/>
        <v>0.4343672</v>
      </c>
      <c r="P600" s="8">
        <f t="shared" si="7"/>
        <v>0.6515508</v>
      </c>
      <c r="Q600" s="8">
        <f t="shared" si="8"/>
        <v>0.2171836</v>
      </c>
      <c r="R600" s="57"/>
      <c r="S600" s="57"/>
      <c r="T600" s="57"/>
      <c r="U600" s="57"/>
      <c r="V600" s="57"/>
      <c r="W600" s="57"/>
      <c r="X600" s="57"/>
      <c r="Y600" s="57"/>
    </row>
    <row r="601" ht="34.5" customHeight="1">
      <c r="A601" s="24" t="s">
        <v>674</v>
      </c>
      <c r="B601" s="50" t="s">
        <v>675</v>
      </c>
      <c r="C601" s="50" t="s">
        <v>685</v>
      </c>
      <c r="D601" s="50" t="s">
        <v>694</v>
      </c>
      <c r="E601" s="50">
        <v>1324.0</v>
      </c>
      <c r="F601" s="49">
        <v>24.87</v>
      </c>
      <c r="G601" s="50">
        <v>16.0</v>
      </c>
      <c r="H601" s="49">
        <v>22.66</v>
      </c>
      <c r="I601" s="49">
        <v>43.84</v>
      </c>
      <c r="J601" s="51">
        <f t="shared" si="11"/>
        <v>1094.19332</v>
      </c>
      <c r="K601" s="51">
        <f t="shared" si="12"/>
        <v>994.7212</v>
      </c>
      <c r="L601" s="8">
        <f t="shared" si="3"/>
        <v>10.075905</v>
      </c>
      <c r="M601" s="8">
        <f t="shared" si="4"/>
        <v>3.0227715</v>
      </c>
      <c r="N601" s="8">
        <f t="shared" si="5"/>
        <v>0.6045543001</v>
      </c>
      <c r="O601" s="8">
        <f t="shared" si="6"/>
        <v>1.9894424</v>
      </c>
      <c r="P601" s="8">
        <f t="shared" si="7"/>
        <v>2.9841636</v>
      </c>
      <c r="Q601" s="8">
        <f t="shared" si="8"/>
        <v>0.9947212</v>
      </c>
      <c r="R601" s="57"/>
      <c r="S601" s="57"/>
      <c r="T601" s="57"/>
      <c r="U601" s="57"/>
      <c r="V601" s="57"/>
      <c r="W601" s="57"/>
      <c r="X601" s="57"/>
      <c r="Y601" s="57"/>
    </row>
    <row r="602" ht="34.5" customHeight="1">
      <c r="A602" s="24" t="s">
        <v>674</v>
      </c>
      <c r="B602" s="50" t="s">
        <v>675</v>
      </c>
      <c r="C602" s="50" t="s">
        <v>685</v>
      </c>
      <c r="D602" s="50" t="s">
        <v>695</v>
      </c>
      <c r="E602" s="50">
        <v>89.0</v>
      </c>
      <c r="F602" s="49">
        <v>25.33</v>
      </c>
      <c r="G602" s="50">
        <v>4.0</v>
      </c>
      <c r="H602" s="49">
        <v>100.0</v>
      </c>
      <c r="I602" s="49">
        <v>100.0</v>
      </c>
      <c r="J602" s="51">
        <f t="shared" si="11"/>
        <v>73.10193</v>
      </c>
      <c r="K602" s="51">
        <f t="shared" si="12"/>
        <v>66.4563</v>
      </c>
      <c r="L602" s="8">
        <f t="shared" si="3"/>
        <v>0.673160847</v>
      </c>
      <c r="M602" s="8">
        <f t="shared" si="4"/>
        <v>0.2019482541</v>
      </c>
      <c r="N602" s="8">
        <f t="shared" si="5"/>
        <v>0.04038965082</v>
      </c>
      <c r="O602" s="8">
        <f t="shared" si="6"/>
        <v>0.1329126</v>
      </c>
      <c r="P602" s="8">
        <f t="shared" si="7"/>
        <v>0.1993689</v>
      </c>
      <c r="Q602" s="8">
        <f t="shared" si="8"/>
        <v>0.0664563</v>
      </c>
      <c r="R602" s="57"/>
      <c r="S602" s="57"/>
      <c r="T602" s="57"/>
      <c r="U602" s="57"/>
      <c r="V602" s="57"/>
      <c r="W602" s="57"/>
      <c r="X602" s="57"/>
      <c r="Y602" s="57"/>
    </row>
    <row r="603" ht="34.5" customHeight="1">
      <c r="A603" s="24" t="s">
        <v>674</v>
      </c>
      <c r="B603" s="50" t="s">
        <v>675</v>
      </c>
      <c r="C603" s="50" t="s">
        <v>685</v>
      </c>
      <c r="D603" s="50" t="s">
        <v>696</v>
      </c>
      <c r="E603" s="50">
        <v>1011.0</v>
      </c>
      <c r="F603" s="49">
        <v>28.71</v>
      </c>
      <c r="G603" s="50">
        <v>17.0</v>
      </c>
      <c r="H603" s="49">
        <v>35.0</v>
      </c>
      <c r="I603" s="49">
        <v>56.14</v>
      </c>
      <c r="J603" s="51">
        <f t="shared" si="11"/>
        <v>792.81609</v>
      </c>
      <c r="K603" s="51">
        <f t="shared" si="12"/>
        <v>720.7419</v>
      </c>
      <c r="L603" s="8">
        <f t="shared" si="3"/>
        <v>7.300665669</v>
      </c>
      <c r="M603" s="8">
        <f t="shared" si="4"/>
        <v>2.190199701</v>
      </c>
      <c r="N603" s="8">
        <f t="shared" si="5"/>
        <v>0.4380399401</v>
      </c>
      <c r="O603" s="8">
        <f t="shared" si="6"/>
        <v>1.4414838</v>
      </c>
      <c r="P603" s="8">
        <f t="shared" si="7"/>
        <v>2.1622257</v>
      </c>
      <c r="Q603" s="8">
        <f t="shared" si="8"/>
        <v>0.7207419</v>
      </c>
      <c r="R603" s="57"/>
      <c r="S603" s="57"/>
      <c r="T603" s="57"/>
      <c r="U603" s="57"/>
      <c r="V603" s="57"/>
      <c r="W603" s="57"/>
      <c r="X603" s="57"/>
      <c r="Y603" s="57"/>
    </row>
    <row r="604" ht="34.5" customHeight="1">
      <c r="A604" s="24" t="s">
        <v>674</v>
      </c>
      <c r="B604" s="50" t="s">
        <v>675</v>
      </c>
      <c r="C604" s="50" t="s">
        <v>685</v>
      </c>
      <c r="D604" s="50" t="s">
        <v>697</v>
      </c>
      <c r="E604" s="50">
        <v>106.0</v>
      </c>
      <c r="F604" s="49">
        <v>15.61</v>
      </c>
      <c r="G604" s="50">
        <v>4.0</v>
      </c>
      <c r="H604" s="49">
        <v>75.79</v>
      </c>
      <c r="I604" s="49">
        <v>75.79</v>
      </c>
      <c r="J604" s="51">
        <f t="shared" si="11"/>
        <v>98.39874</v>
      </c>
      <c r="K604" s="51">
        <f t="shared" si="12"/>
        <v>89.4534</v>
      </c>
      <c r="L604" s="8">
        <f t="shared" si="3"/>
        <v>0.9061071187</v>
      </c>
      <c r="M604" s="8">
        <f t="shared" si="4"/>
        <v>0.2718321356</v>
      </c>
      <c r="N604" s="8">
        <f t="shared" si="5"/>
        <v>0.05436642712</v>
      </c>
      <c r="O604" s="8">
        <f t="shared" si="6"/>
        <v>0.1789068</v>
      </c>
      <c r="P604" s="8">
        <f t="shared" si="7"/>
        <v>0.2683602</v>
      </c>
      <c r="Q604" s="8">
        <f t="shared" si="8"/>
        <v>0.0894534</v>
      </c>
      <c r="R604" s="57"/>
      <c r="S604" s="57"/>
      <c r="T604" s="57"/>
      <c r="U604" s="57"/>
      <c r="V604" s="57"/>
      <c r="W604" s="57"/>
      <c r="X604" s="57"/>
      <c r="Y604" s="57"/>
    </row>
    <row r="605" ht="34.5" customHeight="1">
      <c r="A605" s="24" t="s">
        <v>674</v>
      </c>
      <c r="B605" s="50" t="s">
        <v>675</v>
      </c>
      <c r="C605" s="50" t="s">
        <v>685</v>
      </c>
      <c r="D605" s="50" t="s">
        <v>698</v>
      </c>
      <c r="E605" s="50">
        <v>219.0</v>
      </c>
      <c r="F605" s="49">
        <v>7.23</v>
      </c>
      <c r="G605" s="50">
        <v>6.0</v>
      </c>
      <c r="H605" s="49">
        <v>70.0</v>
      </c>
      <c r="I605" s="49">
        <v>100.0</v>
      </c>
      <c r="J605" s="51">
        <f t="shared" si="11"/>
        <v>223.48293</v>
      </c>
      <c r="K605" s="51">
        <f t="shared" si="12"/>
        <v>203.1663</v>
      </c>
      <c r="L605" s="8">
        <f t="shared" si="3"/>
        <v>2.057947833</v>
      </c>
      <c r="M605" s="8">
        <f t="shared" si="4"/>
        <v>0.61738435</v>
      </c>
      <c r="N605" s="8">
        <f t="shared" si="5"/>
        <v>0.12347687</v>
      </c>
      <c r="O605" s="8">
        <f t="shared" si="6"/>
        <v>0.4063326</v>
      </c>
      <c r="P605" s="8">
        <f t="shared" si="7"/>
        <v>0.6094989</v>
      </c>
      <c r="Q605" s="8">
        <f t="shared" si="8"/>
        <v>0.2031663</v>
      </c>
      <c r="R605" s="57"/>
      <c r="S605" s="57"/>
      <c r="T605" s="57"/>
      <c r="U605" s="57"/>
      <c r="V605" s="57"/>
      <c r="W605" s="57"/>
      <c r="X605" s="57"/>
      <c r="Y605" s="57"/>
    </row>
    <row r="606" ht="34.5" customHeight="1">
      <c r="A606" s="24" t="s">
        <v>674</v>
      </c>
      <c r="B606" s="50" t="s">
        <v>675</v>
      </c>
      <c r="C606" s="50" t="s">
        <v>685</v>
      </c>
      <c r="D606" s="50" t="s">
        <v>699</v>
      </c>
      <c r="E606" s="50">
        <v>85.0</v>
      </c>
      <c r="F606" s="49">
        <v>10.19</v>
      </c>
      <c r="G606" s="50">
        <v>3.0</v>
      </c>
      <c r="H606" s="49">
        <v>77.12</v>
      </c>
      <c r="I606" s="49">
        <v>77.12</v>
      </c>
      <c r="J606" s="51">
        <f t="shared" si="11"/>
        <v>83.97235</v>
      </c>
      <c r="K606" s="51">
        <f t="shared" si="12"/>
        <v>76.3385</v>
      </c>
      <c r="L606" s="8">
        <f t="shared" si="3"/>
        <v>0.7732613661</v>
      </c>
      <c r="M606" s="8">
        <f t="shared" si="4"/>
        <v>0.2319784098</v>
      </c>
      <c r="N606" s="8">
        <f t="shared" si="5"/>
        <v>0.04639568196</v>
      </c>
      <c r="O606" s="8">
        <f t="shared" si="6"/>
        <v>0.152677</v>
      </c>
      <c r="P606" s="8">
        <f t="shared" si="7"/>
        <v>0.2290155</v>
      </c>
      <c r="Q606" s="8">
        <f t="shared" si="8"/>
        <v>0.0763385</v>
      </c>
      <c r="R606" s="57"/>
      <c r="S606" s="57"/>
      <c r="T606" s="57"/>
      <c r="U606" s="57"/>
      <c r="V606" s="57"/>
      <c r="W606" s="57"/>
      <c r="X606" s="57"/>
      <c r="Y606" s="57"/>
    </row>
    <row r="607" ht="34.5" customHeight="1">
      <c r="A607" s="24" t="s">
        <v>674</v>
      </c>
      <c r="B607" s="50" t="s">
        <v>675</v>
      </c>
      <c r="C607" s="50" t="s">
        <v>685</v>
      </c>
      <c r="D607" s="50" t="s">
        <v>700</v>
      </c>
      <c r="E607" s="50">
        <v>112.0</v>
      </c>
      <c r="F607" s="49">
        <v>14.38</v>
      </c>
      <c r="G607" s="50">
        <v>4.0</v>
      </c>
      <c r="H607" s="49">
        <v>100.0</v>
      </c>
      <c r="I607" s="49">
        <v>100.0</v>
      </c>
      <c r="J607" s="51">
        <f t="shared" si="11"/>
        <v>105.48384</v>
      </c>
      <c r="K607" s="51">
        <f t="shared" si="12"/>
        <v>95.8944</v>
      </c>
      <c r="L607" s="8">
        <f t="shared" si="3"/>
        <v>0.9713504292</v>
      </c>
      <c r="M607" s="8">
        <f t="shared" si="4"/>
        <v>0.2914051288</v>
      </c>
      <c r="N607" s="8">
        <f t="shared" si="5"/>
        <v>0.05828102575</v>
      </c>
      <c r="O607" s="8">
        <f t="shared" si="6"/>
        <v>0.1917888</v>
      </c>
      <c r="P607" s="8">
        <f t="shared" si="7"/>
        <v>0.2876832</v>
      </c>
      <c r="Q607" s="8">
        <f t="shared" si="8"/>
        <v>0.0958944</v>
      </c>
      <c r="R607" s="57"/>
      <c r="S607" s="57"/>
      <c r="T607" s="57"/>
      <c r="U607" s="57"/>
      <c r="V607" s="57"/>
      <c r="W607" s="57"/>
      <c r="X607" s="57"/>
      <c r="Y607" s="57"/>
    </row>
    <row r="608" ht="34.5" customHeight="1">
      <c r="A608" s="24" t="s">
        <v>674</v>
      </c>
      <c r="B608" s="50" t="s">
        <v>675</v>
      </c>
      <c r="C608" s="50" t="s">
        <v>685</v>
      </c>
      <c r="D608" s="50" t="s">
        <v>701</v>
      </c>
      <c r="E608" s="50">
        <v>41.0</v>
      </c>
      <c r="F608" s="49">
        <v>4.67</v>
      </c>
      <c r="G608" s="50">
        <v>2.0</v>
      </c>
      <c r="H608" s="49">
        <v>83.19</v>
      </c>
      <c r="I608" s="49">
        <v>100.0</v>
      </c>
      <c r="J608" s="51">
        <f t="shared" si="11"/>
        <v>42.99383</v>
      </c>
      <c r="K608" s="51">
        <f t="shared" si="12"/>
        <v>39.0853</v>
      </c>
      <c r="L608" s="8">
        <f t="shared" si="3"/>
        <v>0.3959096979</v>
      </c>
      <c r="M608" s="8">
        <f t="shared" si="4"/>
        <v>0.1187729094</v>
      </c>
      <c r="N608" s="8">
        <f t="shared" si="5"/>
        <v>0.02375458187</v>
      </c>
      <c r="O608" s="8">
        <f t="shared" si="6"/>
        <v>0.0781706</v>
      </c>
      <c r="P608" s="8">
        <f t="shared" si="7"/>
        <v>0.1172559</v>
      </c>
      <c r="Q608" s="8">
        <f t="shared" si="8"/>
        <v>0.0390853</v>
      </c>
      <c r="R608" s="57"/>
      <c r="S608" s="57"/>
      <c r="T608" s="57"/>
      <c r="U608" s="57"/>
      <c r="V608" s="57"/>
      <c r="W608" s="57"/>
      <c r="X608" s="57"/>
      <c r="Y608" s="57"/>
    </row>
    <row r="609" ht="34.5" customHeight="1">
      <c r="A609" s="24" t="s">
        <v>674</v>
      </c>
      <c r="B609" s="50" t="s">
        <v>675</v>
      </c>
      <c r="C609" s="50" t="s">
        <v>685</v>
      </c>
      <c r="D609" s="50" t="s">
        <v>702</v>
      </c>
      <c r="E609" s="50">
        <v>79.0</v>
      </c>
      <c r="F609" s="49">
        <v>6.52</v>
      </c>
      <c r="G609" s="50">
        <v>3.0</v>
      </c>
      <c r="H609" s="49">
        <v>100.0</v>
      </c>
      <c r="I609" s="49">
        <v>100.0</v>
      </c>
      <c r="J609" s="51">
        <f t="shared" si="11"/>
        <v>81.23412</v>
      </c>
      <c r="K609" s="51">
        <f t="shared" si="12"/>
        <v>73.8492</v>
      </c>
      <c r="L609" s="8">
        <f t="shared" si="3"/>
        <v>0.7480463105</v>
      </c>
      <c r="M609" s="8">
        <f t="shared" si="4"/>
        <v>0.2244138932</v>
      </c>
      <c r="N609" s="8">
        <f t="shared" si="5"/>
        <v>0.04488277863</v>
      </c>
      <c r="O609" s="8">
        <f t="shared" si="6"/>
        <v>0.1476984</v>
      </c>
      <c r="P609" s="8">
        <f t="shared" si="7"/>
        <v>0.2215476</v>
      </c>
      <c r="Q609" s="8">
        <f t="shared" si="8"/>
        <v>0.0738492</v>
      </c>
      <c r="R609" s="57"/>
      <c r="S609" s="57"/>
      <c r="T609" s="57"/>
      <c r="U609" s="57"/>
      <c r="V609" s="57"/>
      <c r="W609" s="57"/>
      <c r="X609" s="57"/>
      <c r="Y609" s="57"/>
    </row>
    <row r="610" ht="34.5" customHeight="1">
      <c r="A610" s="24" t="s">
        <v>674</v>
      </c>
      <c r="B610" s="50" t="s">
        <v>675</v>
      </c>
      <c r="C610" s="50" t="s">
        <v>703</v>
      </c>
      <c r="D610" s="50" t="s">
        <v>704</v>
      </c>
      <c r="E610" s="50">
        <v>1627.0</v>
      </c>
      <c r="F610" s="49">
        <v>18.25</v>
      </c>
      <c r="G610" s="50">
        <v>13.0</v>
      </c>
      <c r="H610" s="49">
        <v>76.65</v>
      </c>
      <c r="I610" s="49">
        <v>79.36</v>
      </c>
      <c r="J610" s="51">
        <f t="shared" si="11"/>
        <v>1463.07975</v>
      </c>
      <c r="K610" s="51">
        <f t="shared" si="12"/>
        <v>1330.0725</v>
      </c>
      <c r="L610" s="8">
        <f t="shared" si="3"/>
        <v>13.47280439</v>
      </c>
      <c r="M610" s="8">
        <f t="shared" si="4"/>
        <v>4.041841318</v>
      </c>
      <c r="N610" s="8">
        <f t="shared" si="5"/>
        <v>0.8083682637</v>
      </c>
      <c r="O610" s="8">
        <f t="shared" si="6"/>
        <v>2.660145</v>
      </c>
      <c r="P610" s="8">
        <f t="shared" si="7"/>
        <v>3.9902175</v>
      </c>
      <c r="Q610" s="8">
        <f t="shared" si="8"/>
        <v>1.3300725</v>
      </c>
      <c r="R610" s="57"/>
      <c r="S610" s="57"/>
      <c r="T610" s="57"/>
      <c r="U610" s="57"/>
      <c r="V610" s="57"/>
      <c r="W610" s="57"/>
      <c r="X610" s="57"/>
      <c r="Y610" s="57"/>
    </row>
    <row r="611" ht="34.5" customHeight="1">
      <c r="A611" s="24" t="s">
        <v>674</v>
      </c>
      <c r="B611" s="50" t="s">
        <v>675</v>
      </c>
      <c r="C611" s="50" t="s">
        <v>703</v>
      </c>
      <c r="D611" s="50" t="s">
        <v>705</v>
      </c>
      <c r="E611" s="50">
        <v>490.0</v>
      </c>
      <c r="F611" s="49">
        <v>9.62</v>
      </c>
      <c r="G611" s="50">
        <v>8.0</v>
      </c>
      <c r="H611" s="49">
        <v>0.0</v>
      </c>
      <c r="I611" s="49">
        <v>79.35</v>
      </c>
      <c r="J611" s="51">
        <f t="shared" si="11"/>
        <v>487.1482</v>
      </c>
      <c r="K611" s="51">
        <f t="shared" si="12"/>
        <v>442.862</v>
      </c>
      <c r="L611" s="8">
        <f t="shared" si="3"/>
        <v>4.485915693</v>
      </c>
      <c r="M611" s="8">
        <f t="shared" si="4"/>
        <v>1.345774708</v>
      </c>
      <c r="N611" s="8">
        <f t="shared" si="5"/>
        <v>0.2691549416</v>
      </c>
      <c r="O611" s="8">
        <f t="shared" si="6"/>
        <v>0.885724</v>
      </c>
      <c r="P611" s="8">
        <f t="shared" si="7"/>
        <v>1.328586</v>
      </c>
      <c r="Q611" s="8">
        <f t="shared" si="8"/>
        <v>0.442862</v>
      </c>
      <c r="R611" s="57"/>
      <c r="S611" s="57"/>
      <c r="T611" s="57"/>
      <c r="U611" s="57"/>
      <c r="V611" s="57"/>
      <c r="W611" s="57"/>
      <c r="X611" s="57"/>
      <c r="Y611" s="57"/>
    </row>
    <row r="612" ht="34.5" customHeight="1">
      <c r="A612" s="24" t="s">
        <v>674</v>
      </c>
      <c r="B612" s="50" t="s">
        <v>675</v>
      </c>
      <c r="C612" s="50" t="s">
        <v>703</v>
      </c>
      <c r="D612" s="50" t="s">
        <v>706</v>
      </c>
      <c r="E612" s="74">
        <v>1106.0</v>
      </c>
      <c r="F612" s="49">
        <v>16.63</v>
      </c>
      <c r="G612" s="50">
        <v>26.0</v>
      </c>
      <c r="H612" s="49">
        <v>93.05</v>
      </c>
      <c r="I612" s="49">
        <v>100.0</v>
      </c>
      <c r="J612" s="51">
        <f t="shared" si="11"/>
        <v>1014.27942</v>
      </c>
      <c r="K612" s="51">
        <f t="shared" si="12"/>
        <v>922.0722</v>
      </c>
      <c r="L612" s="8">
        <f t="shared" si="3"/>
        <v>9.340015968</v>
      </c>
      <c r="M612" s="8">
        <f t="shared" si="4"/>
        <v>2.80200479</v>
      </c>
      <c r="N612" s="8">
        <f t="shared" si="5"/>
        <v>0.5604009581</v>
      </c>
      <c r="O612" s="8">
        <f t="shared" si="6"/>
        <v>1.8441444</v>
      </c>
      <c r="P612" s="8">
        <f t="shared" si="7"/>
        <v>2.7662166</v>
      </c>
      <c r="Q612" s="8">
        <f t="shared" si="8"/>
        <v>0.9220722</v>
      </c>
      <c r="R612" s="57"/>
      <c r="S612" s="57"/>
      <c r="T612" s="57"/>
      <c r="U612" s="57"/>
      <c r="V612" s="57"/>
      <c r="W612" s="57"/>
      <c r="X612" s="57"/>
      <c r="Y612" s="57"/>
    </row>
    <row r="613" ht="34.5" customHeight="1">
      <c r="A613" s="24" t="s">
        <v>674</v>
      </c>
      <c r="B613" s="50" t="s">
        <v>675</v>
      </c>
      <c r="C613" s="50" t="s">
        <v>703</v>
      </c>
      <c r="D613" s="50" t="s">
        <v>707</v>
      </c>
      <c r="E613" s="74">
        <v>1280.0</v>
      </c>
      <c r="F613" s="49">
        <v>11.76</v>
      </c>
      <c r="G613" s="50">
        <v>21.0</v>
      </c>
      <c r="H613" s="49">
        <v>100.0</v>
      </c>
      <c r="I613" s="49">
        <v>100.0</v>
      </c>
      <c r="J613" s="51">
        <f t="shared" si="11"/>
        <v>1242.4192</v>
      </c>
      <c r="K613" s="51">
        <f t="shared" si="12"/>
        <v>1129.472</v>
      </c>
      <c r="L613" s="8">
        <f t="shared" si="3"/>
        <v>11.44084651</v>
      </c>
      <c r="M613" s="8">
        <f t="shared" si="4"/>
        <v>3.432253954</v>
      </c>
      <c r="N613" s="8">
        <f t="shared" si="5"/>
        <v>0.6864507909</v>
      </c>
      <c r="O613" s="8">
        <f t="shared" si="6"/>
        <v>2.258944</v>
      </c>
      <c r="P613" s="8">
        <f t="shared" si="7"/>
        <v>3.388416</v>
      </c>
      <c r="Q613" s="8">
        <f t="shared" si="8"/>
        <v>1.129472</v>
      </c>
      <c r="R613" s="57"/>
      <c r="S613" s="57"/>
      <c r="T613" s="57"/>
      <c r="U613" s="57"/>
      <c r="V613" s="57"/>
      <c r="W613" s="57"/>
      <c r="X613" s="57"/>
      <c r="Y613" s="57"/>
    </row>
    <row r="614" ht="34.5" customHeight="1">
      <c r="A614" s="24" t="s">
        <v>674</v>
      </c>
      <c r="B614" s="50" t="s">
        <v>675</v>
      </c>
      <c r="C614" s="50" t="s">
        <v>708</v>
      </c>
      <c r="D614" s="50" t="s">
        <v>709</v>
      </c>
      <c r="E614" s="50">
        <v>657.0</v>
      </c>
      <c r="F614" s="49">
        <v>13.69</v>
      </c>
      <c r="G614" s="50">
        <v>20.0</v>
      </c>
      <c r="H614" s="49">
        <v>66.23</v>
      </c>
      <c r="I614" s="49" t="s">
        <v>710</v>
      </c>
      <c r="J614" s="51">
        <f t="shared" si="11"/>
        <v>623.76237</v>
      </c>
      <c r="K614" s="51">
        <f t="shared" si="12"/>
        <v>567.0567</v>
      </c>
      <c r="L614" s="8">
        <f t="shared" si="3"/>
        <v>5.7439305</v>
      </c>
      <c r="M614" s="8">
        <f t="shared" si="4"/>
        <v>1.72317915</v>
      </c>
      <c r="N614" s="8">
        <f t="shared" si="5"/>
        <v>0.34463583</v>
      </c>
      <c r="O614" s="8">
        <f t="shared" si="6"/>
        <v>1.1341134</v>
      </c>
      <c r="P614" s="8">
        <f t="shared" si="7"/>
        <v>1.7011701</v>
      </c>
      <c r="Q614" s="8">
        <f t="shared" si="8"/>
        <v>0.5670567</v>
      </c>
      <c r="R614" s="57"/>
      <c r="S614" s="57"/>
      <c r="T614" s="57"/>
      <c r="U614" s="57"/>
      <c r="V614" s="57"/>
      <c r="W614" s="57"/>
      <c r="X614" s="57"/>
      <c r="Y614" s="57"/>
    </row>
    <row r="615" ht="34.5" customHeight="1">
      <c r="A615" s="24" t="s">
        <v>674</v>
      </c>
      <c r="B615" s="50" t="s">
        <v>675</v>
      </c>
      <c r="C615" s="50" t="s">
        <v>708</v>
      </c>
      <c r="D615" s="50" t="s">
        <v>711</v>
      </c>
      <c r="E615" s="50">
        <v>38.0</v>
      </c>
      <c r="F615" s="49">
        <v>5.44</v>
      </c>
      <c r="G615" s="50">
        <v>2.0</v>
      </c>
      <c r="H615" s="49">
        <v>100.0</v>
      </c>
      <c r="I615" s="49">
        <v>100.0</v>
      </c>
      <c r="J615" s="51">
        <f t="shared" si="11"/>
        <v>39.52608</v>
      </c>
      <c r="K615" s="51">
        <f t="shared" si="12"/>
        <v>35.9328</v>
      </c>
      <c r="L615" s="8">
        <f t="shared" si="3"/>
        <v>0.3639768402</v>
      </c>
      <c r="M615" s="8">
        <f t="shared" si="4"/>
        <v>0.1091930521</v>
      </c>
      <c r="N615" s="8">
        <f t="shared" si="5"/>
        <v>0.02183861041</v>
      </c>
      <c r="O615" s="8">
        <f t="shared" si="6"/>
        <v>0.0718656</v>
      </c>
      <c r="P615" s="8">
        <f t="shared" si="7"/>
        <v>0.1077984</v>
      </c>
      <c r="Q615" s="8">
        <f t="shared" si="8"/>
        <v>0.0359328</v>
      </c>
      <c r="R615" s="57"/>
      <c r="S615" s="57"/>
      <c r="T615" s="57"/>
      <c r="U615" s="57"/>
      <c r="V615" s="57"/>
      <c r="W615" s="57"/>
      <c r="X615" s="57"/>
      <c r="Y615" s="57"/>
    </row>
    <row r="616" ht="34.5" customHeight="1">
      <c r="A616" s="24" t="s">
        <v>674</v>
      </c>
      <c r="B616" s="50" t="s">
        <v>675</v>
      </c>
      <c r="C616" s="50" t="s">
        <v>708</v>
      </c>
      <c r="D616" s="50" t="s">
        <v>712</v>
      </c>
      <c r="E616" s="50">
        <v>62.0</v>
      </c>
      <c r="F616" s="49">
        <v>5.59</v>
      </c>
      <c r="G616" s="50">
        <v>3.0</v>
      </c>
      <c r="H616" s="49">
        <v>51.79</v>
      </c>
      <c r="I616" s="49">
        <v>100.0</v>
      </c>
      <c r="J616" s="51">
        <f t="shared" si="11"/>
        <v>64.38762</v>
      </c>
      <c r="K616" s="51">
        <f t="shared" si="12"/>
        <v>58.5342</v>
      </c>
      <c r="L616" s="8">
        <f t="shared" si="3"/>
        <v>0.5929149178</v>
      </c>
      <c r="M616" s="8">
        <f t="shared" si="4"/>
        <v>0.1778744753</v>
      </c>
      <c r="N616" s="8">
        <f t="shared" si="5"/>
        <v>0.03557489507</v>
      </c>
      <c r="O616" s="8">
        <f t="shared" si="6"/>
        <v>0.1170684</v>
      </c>
      <c r="P616" s="8">
        <f t="shared" si="7"/>
        <v>0.1756026</v>
      </c>
      <c r="Q616" s="8">
        <f t="shared" si="8"/>
        <v>0.0585342</v>
      </c>
      <c r="R616" s="57"/>
      <c r="S616" s="57"/>
      <c r="T616" s="57"/>
      <c r="U616" s="57"/>
      <c r="V616" s="57"/>
      <c r="W616" s="57"/>
      <c r="X616" s="57"/>
      <c r="Y616" s="57"/>
    </row>
    <row r="617" ht="34.5" customHeight="1">
      <c r="A617" s="24" t="s">
        <v>674</v>
      </c>
      <c r="B617" s="50" t="s">
        <v>675</v>
      </c>
      <c r="C617" s="50" t="s">
        <v>708</v>
      </c>
      <c r="D617" s="50" t="s">
        <v>713</v>
      </c>
      <c r="E617" s="74">
        <v>2172.0</v>
      </c>
      <c r="F617" s="49">
        <v>28.22</v>
      </c>
      <c r="G617" s="50">
        <v>29.0</v>
      </c>
      <c r="H617" s="49">
        <v>43.04</v>
      </c>
      <c r="I617" s="49" t="s">
        <v>714</v>
      </c>
      <c r="J617" s="51">
        <f t="shared" si="11"/>
        <v>1714.96776</v>
      </c>
      <c r="K617" s="51">
        <f t="shared" si="12"/>
        <v>1559.0616</v>
      </c>
      <c r="L617" s="8">
        <f t="shared" si="3"/>
        <v>15.79232108</v>
      </c>
      <c r="M617" s="8">
        <f t="shared" si="4"/>
        <v>4.737696323</v>
      </c>
      <c r="N617" s="8">
        <f t="shared" si="5"/>
        <v>0.9475392647</v>
      </c>
      <c r="O617" s="8">
        <f t="shared" si="6"/>
        <v>3.1181232</v>
      </c>
      <c r="P617" s="8">
        <f t="shared" si="7"/>
        <v>4.6771848</v>
      </c>
      <c r="Q617" s="8">
        <f t="shared" si="8"/>
        <v>1.5590616</v>
      </c>
      <c r="R617" s="57"/>
      <c r="S617" s="57"/>
      <c r="T617" s="57"/>
      <c r="U617" s="57"/>
      <c r="V617" s="57"/>
      <c r="W617" s="57"/>
      <c r="X617" s="57"/>
      <c r="Y617" s="57"/>
    </row>
    <row r="618" ht="34.5" customHeight="1">
      <c r="A618" s="24" t="s">
        <v>674</v>
      </c>
      <c r="B618" s="50" t="s">
        <v>675</v>
      </c>
      <c r="C618" s="50" t="s">
        <v>708</v>
      </c>
      <c r="D618" s="50" t="s">
        <v>715</v>
      </c>
      <c r="E618" s="50">
        <v>54.0</v>
      </c>
      <c r="F618" s="49">
        <v>6.68</v>
      </c>
      <c r="G618" s="50">
        <v>2.0</v>
      </c>
      <c r="H618" s="49">
        <v>89.59</v>
      </c>
      <c r="I618" s="49">
        <v>100.0</v>
      </c>
      <c r="J618" s="51">
        <f t="shared" si="11"/>
        <v>55.43208</v>
      </c>
      <c r="K618" s="51">
        <f t="shared" si="12"/>
        <v>50.3928</v>
      </c>
      <c r="L618" s="8">
        <f t="shared" si="3"/>
        <v>0.5104476164</v>
      </c>
      <c r="M618" s="8">
        <f t="shared" si="4"/>
        <v>0.1531342849</v>
      </c>
      <c r="N618" s="8">
        <f t="shared" si="5"/>
        <v>0.03062685699</v>
      </c>
      <c r="O618" s="8">
        <f t="shared" si="6"/>
        <v>0.1007856</v>
      </c>
      <c r="P618" s="8">
        <f t="shared" si="7"/>
        <v>0.1511784</v>
      </c>
      <c r="Q618" s="8">
        <f t="shared" si="8"/>
        <v>0.0503928</v>
      </c>
      <c r="R618" s="57"/>
      <c r="S618" s="57"/>
      <c r="T618" s="57"/>
      <c r="U618" s="57"/>
      <c r="V618" s="57"/>
      <c r="W618" s="57"/>
      <c r="X618" s="57"/>
      <c r="Y618" s="57"/>
    </row>
    <row r="619" ht="34.5" customHeight="1">
      <c r="A619" s="24" t="s">
        <v>674</v>
      </c>
      <c r="B619" s="50" t="s">
        <v>675</v>
      </c>
      <c r="C619" s="50" t="s">
        <v>708</v>
      </c>
      <c r="D619" s="50" t="s">
        <v>716</v>
      </c>
      <c r="E619" s="50">
        <v>94.0</v>
      </c>
      <c r="F619" s="49">
        <v>8.81</v>
      </c>
      <c r="G619" s="50">
        <v>3.0</v>
      </c>
      <c r="H619" s="49">
        <v>100.0</v>
      </c>
      <c r="I619" s="49">
        <v>100.0</v>
      </c>
      <c r="J619" s="51">
        <f t="shared" si="11"/>
        <v>94.29046</v>
      </c>
      <c r="K619" s="51">
        <f t="shared" si="12"/>
        <v>85.7186</v>
      </c>
      <c r="L619" s="8">
        <f t="shared" si="3"/>
        <v>0.8682759254</v>
      </c>
      <c r="M619" s="8">
        <f t="shared" si="4"/>
        <v>0.2604827776</v>
      </c>
      <c r="N619" s="8">
        <f t="shared" si="5"/>
        <v>0.05209655553</v>
      </c>
      <c r="O619" s="8">
        <f t="shared" si="6"/>
        <v>0.1714372</v>
      </c>
      <c r="P619" s="8">
        <f t="shared" si="7"/>
        <v>0.2571558</v>
      </c>
      <c r="Q619" s="8">
        <f t="shared" si="8"/>
        <v>0.0857186</v>
      </c>
      <c r="R619" s="57"/>
      <c r="S619" s="57"/>
      <c r="T619" s="57"/>
      <c r="U619" s="57"/>
      <c r="V619" s="57"/>
      <c r="W619" s="57"/>
      <c r="X619" s="57"/>
      <c r="Y619" s="57"/>
    </row>
    <row r="620" ht="34.5" customHeight="1">
      <c r="A620" s="24" t="s">
        <v>674</v>
      </c>
      <c r="B620" s="50" t="s">
        <v>675</v>
      </c>
      <c r="C620" s="50" t="s">
        <v>708</v>
      </c>
      <c r="D620" s="50" t="s">
        <v>717</v>
      </c>
      <c r="E620" s="50">
        <v>105.0</v>
      </c>
      <c r="F620" s="49">
        <v>7.14</v>
      </c>
      <c r="G620" s="50">
        <v>4.0</v>
      </c>
      <c r="H620" s="49">
        <v>63.43</v>
      </c>
      <c r="I620" s="49">
        <v>100.0</v>
      </c>
      <c r="J620" s="51">
        <f t="shared" si="11"/>
        <v>107.2533</v>
      </c>
      <c r="K620" s="51">
        <f t="shared" si="12"/>
        <v>97.503</v>
      </c>
      <c r="L620" s="8">
        <f t="shared" si="3"/>
        <v>0.9876445434</v>
      </c>
      <c r="M620" s="8">
        <f t="shared" si="4"/>
        <v>0.296293363</v>
      </c>
      <c r="N620" s="8">
        <f t="shared" si="5"/>
        <v>0.0592586726</v>
      </c>
      <c r="O620" s="8">
        <f t="shared" si="6"/>
        <v>0.195006</v>
      </c>
      <c r="P620" s="8">
        <f t="shared" si="7"/>
        <v>0.292509</v>
      </c>
      <c r="Q620" s="8">
        <f t="shared" si="8"/>
        <v>0.097503</v>
      </c>
      <c r="R620" s="57"/>
      <c r="S620" s="57"/>
      <c r="T620" s="57"/>
      <c r="U620" s="57"/>
      <c r="V620" s="57"/>
      <c r="W620" s="57"/>
      <c r="X620" s="57"/>
      <c r="Y620" s="57"/>
    </row>
    <row r="621" ht="34.5" customHeight="1">
      <c r="A621" s="24" t="s">
        <v>674</v>
      </c>
      <c r="B621" s="50" t="s">
        <v>675</v>
      </c>
      <c r="C621" s="50" t="s">
        <v>708</v>
      </c>
      <c r="D621" s="50" t="s">
        <v>718</v>
      </c>
      <c r="E621" s="50">
        <v>101.0</v>
      </c>
      <c r="F621" s="49">
        <v>11.66</v>
      </c>
      <c r="G621" s="50">
        <v>3.0</v>
      </c>
      <c r="H621" s="49">
        <v>96.85</v>
      </c>
      <c r="I621" s="49" t="s">
        <v>719</v>
      </c>
      <c r="J621" s="51">
        <f t="shared" si="11"/>
        <v>98.14574</v>
      </c>
      <c r="K621" s="51">
        <f t="shared" si="12"/>
        <v>89.2234</v>
      </c>
      <c r="L621" s="8">
        <f t="shared" si="3"/>
        <v>0.9037773623</v>
      </c>
      <c r="M621" s="8">
        <f t="shared" si="4"/>
        <v>0.2711332087</v>
      </c>
      <c r="N621" s="8">
        <f t="shared" si="5"/>
        <v>0.05422664174</v>
      </c>
      <c r="O621" s="8">
        <f t="shared" si="6"/>
        <v>0.1784468</v>
      </c>
      <c r="P621" s="8">
        <f t="shared" si="7"/>
        <v>0.2676702</v>
      </c>
      <c r="Q621" s="8">
        <f t="shared" si="8"/>
        <v>0.0892234</v>
      </c>
      <c r="R621" s="57"/>
      <c r="S621" s="57"/>
      <c r="T621" s="57"/>
      <c r="U621" s="57"/>
      <c r="V621" s="57"/>
      <c r="W621" s="57"/>
      <c r="X621" s="57"/>
      <c r="Y621" s="57"/>
    </row>
    <row r="622" ht="34.5" customHeight="1">
      <c r="A622" s="24" t="s">
        <v>674</v>
      </c>
      <c r="B622" s="50" t="s">
        <v>675</v>
      </c>
      <c r="C622" s="50" t="s">
        <v>708</v>
      </c>
      <c r="D622" s="50" t="s">
        <v>675</v>
      </c>
      <c r="E622" s="74">
        <v>3322.0</v>
      </c>
      <c r="F622" s="49">
        <v>33.49</v>
      </c>
      <c r="G622" s="50">
        <v>44.0</v>
      </c>
      <c r="H622" s="49">
        <v>32.87</v>
      </c>
      <c r="I622" s="49" t="s">
        <v>720</v>
      </c>
      <c r="J622" s="51">
        <f t="shared" si="11"/>
        <v>2430.40842</v>
      </c>
      <c r="K622" s="51">
        <f t="shared" si="12"/>
        <v>2209.4622</v>
      </c>
      <c r="L622" s="8">
        <f t="shared" si="3"/>
        <v>22.38047327</v>
      </c>
      <c r="M622" s="8">
        <f t="shared" si="4"/>
        <v>6.714141982</v>
      </c>
      <c r="N622" s="8">
        <f t="shared" si="5"/>
        <v>1.342828396</v>
      </c>
      <c r="O622" s="8">
        <f t="shared" si="6"/>
        <v>4.4189244</v>
      </c>
      <c r="P622" s="8">
        <f t="shared" si="7"/>
        <v>6.6283866</v>
      </c>
      <c r="Q622" s="8">
        <f t="shared" si="8"/>
        <v>2.2094622</v>
      </c>
      <c r="R622" s="57"/>
      <c r="S622" s="57"/>
      <c r="T622" s="57"/>
      <c r="U622" s="57"/>
      <c r="V622" s="57"/>
      <c r="W622" s="57"/>
      <c r="X622" s="57"/>
      <c r="Y622" s="57"/>
    </row>
    <row r="623" ht="34.5" customHeight="1">
      <c r="A623" s="24" t="s">
        <v>674</v>
      </c>
      <c r="B623" s="50" t="s">
        <v>675</v>
      </c>
      <c r="C623" s="50" t="s">
        <v>708</v>
      </c>
      <c r="D623" s="50" t="s">
        <v>721</v>
      </c>
      <c r="E623" s="50">
        <v>430.0</v>
      </c>
      <c r="F623" s="49">
        <v>19.38</v>
      </c>
      <c r="G623" s="50">
        <v>7.0</v>
      </c>
      <c r="H623" s="49">
        <v>29.25</v>
      </c>
      <c r="I623" s="49" t="s">
        <v>722</v>
      </c>
      <c r="J623" s="51">
        <f t="shared" si="11"/>
        <v>381.3326</v>
      </c>
      <c r="K623" s="51">
        <f t="shared" si="12"/>
        <v>346.666</v>
      </c>
      <c r="L623" s="8">
        <f t="shared" si="3"/>
        <v>3.511510244</v>
      </c>
      <c r="M623" s="8">
        <f t="shared" si="4"/>
        <v>1.053453073</v>
      </c>
      <c r="N623" s="8">
        <f t="shared" si="5"/>
        <v>0.2106906146</v>
      </c>
      <c r="O623" s="8">
        <f t="shared" si="6"/>
        <v>0.693332</v>
      </c>
      <c r="P623" s="8">
        <f t="shared" si="7"/>
        <v>1.039998</v>
      </c>
      <c r="Q623" s="8">
        <f t="shared" si="8"/>
        <v>0.346666</v>
      </c>
      <c r="R623" s="57"/>
      <c r="S623" s="57"/>
      <c r="T623" s="57"/>
      <c r="U623" s="57"/>
      <c r="V623" s="57"/>
      <c r="W623" s="57"/>
      <c r="X623" s="57"/>
      <c r="Y623" s="57"/>
    </row>
    <row r="624" ht="34.5" customHeight="1">
      <c r="A624" s="24" t="s">
        <v>723</v>
      </c>
      <c r="B624" s="50" t="s">
        <v>724</v>
      </c>
      <c r="C624" s="50" t="s">
        <v>725</v>
      </c>
      <c r="D624" s="50" t="s">
        <v>726</v>
      </c>
      <c r="E624" s="51">
        <v>368.0</v>
      </c>
      <c r="F624" s="49">
        <v>46.15</v>
      </c>
      <c r="G624" s="50">
        <v>4.0</v>
      </c>
      <c r="H624" s="49">
        <v>17.04</v>
      </c>
      <c r="I624" s="49">
        <v>39.26</v>
      </c>
      <c r="J624" s="51">
        <f t="shared" si="11"/>
        <v>217.9848</v>
      </c>
      <c r="K624" s="51">
        <f t="shared" si="12"/>
        <v>198.168</v>
      </c>
      <c r="L624" s="8">
        <f t="shared" si="3"/>
        <v>2.007318174</v>
      </c>
      <c r="M624" s="8">
        <f t="shared" si="4"/>
        <v>0.6021954521</v>
      </c>
      <c r="N624" s="8">
        <f t="shared" si="5"/>
        <v>0.1204390904</v>
      </c>
      <c r="O624" s="8">
        <f t="shared" si="6"/>
        <v>0.396336</v>
      </c>
      <c r="P624" s="8">
        <f t="shared" si="7"/>
        <v>0.594504</v>
      </c>
      <c r="Q624" s="8">
        <f t="shared" si="8"/>
        <v>0.198168</v>
      </c>
      <c r="R624" s="57"/>
      <c r="S624" s="57"/>
      <c r="T624" s="57"/>
      <c r="U624" s="57"/>
      <c r="V624" s="57"/>
      <c r="W624" s="57"/>
      <c r="X624" s="57"/>
      <c r="Y624" s="57"/>
    </row>
    <row r="625" ht="34.5" customHeight="1">
      <c r="A625" s="24" t="s">
        <v>723</v>
      </c>
      <c r="B625" s="50" t="s">
        <v>724</v>
      </c>
      <c r="C625" s="50" t="s">
        <v>725</v>
      </c>
      <c r="D625" s="50" t="s">
        <v>724</v>
      </c>
      <c r="E625" s="51">
        <v>2527.0</v>
      </c>
      <c r="F625" s="49">
        <v>49.23</v>
      </c>
      <c r="G625" s="50">
        <v>38.0</v>
      </c>
      <c r="H625" s="49">
        <v>36.54</v>
      </c>
      <c r="I625" s="49">
        <v>60.64</v>
      </c>
      <c r="J625" s="51">
        <f t="shared" si="11"/>
        <v>1411.25369</v>
      </c>
      <c r="K625" s="51">
        <f t="shared" si="12"/>
        <v>1282.9579</v>
      </c>
      <c r="L625" s="8">
        <f t="shared" si="3"/>
        <v>12.9955629</v>
      </c>
      <c r="M625" s="8">
        <f t="shared" si="4"/>
        <v>3.89866887</v>
      </c>
      <c r="N625" s="8">
        <f t="shared" si="5"/>
        <v>0.7797337739</v>
      </c>
      <c r="O625" s="8">
        <f t="shared" si="6"/>
        <v>2.5659158</v>
      </c>
      <c r="P625" s="8">
        <f t="shared" si="7"/>
        <v>3.8488737</v>
      </c>
      <c r="Q625" s="8">
        <f t="shared" si="8"/>
        <v>1.2829579</v>
      </c>
      <c r="R625" s="57"/>
      <c r="S625" s="57"/>
      <c r="T625" s="57"/>
      <c r="U625" s="57"/>
      <c r="V625" s="57"/>
      <c r="W625" s="57"/>
      <c r="X625" s="57"/>
      <c r="Y625" s="57"/>
    </row>
    <row r="626" ht="34.5" customHeight="1">
      <c r="A626" s="24" t="s">
        <v>723</v>
      </c>
      <c r="B626" s="50" t="s">
        <v>724</v>
      </c>
      <c r="C626" s="50" t="s">
        <v>725</v>
      </c>
      <c r="D626" s="50" t="s">
        <v>727</v>
      </c>
      <c r="E626" s="51">
        <v>149.0</v>
      </c>
      <c r="F626" s="49">
        <v>23.62</v>
      </c>
      <c r="G626" s="50">
        <v>4.0</v>
      </c>
      <c r="H626" s="49">
        <v>69.36</v>
      </c>
      <c r="I626" s="49">
        <v>100.0</v>
      </c>
      <c r="J626" s="51">
        <f t="shared" si="11"/>
        <v>125.18682</v>
      </c>
      <c r="K626" s="51">
        <f t="shared" si="12"/>
        <v>113.8062</v>
      </c>
      <c r="L626" s="8">
        <f t="shared" si="3"/>
        <v>1.152785785</v>
      </c>
      <c r="M626" s="8">
        <f t="shared" si="4"/>
        <v>0.3458357356</v>
      </c>
      <c r="N626" s="8">
        <f t="shared" si="5"/>
        <v>0.06916714712</v>
      </c>
      <c r="O626" s="8">
        <f t="shared" si="6"/>
        <v>0.2276124</v>
      </c>
      <c r="P626" s="8">
        <f t="shared" si="7"/>
        <v>0.3414186</v>
      </c>
      <c r="Q626" s="8">
        <f t="shared" si="8"/>
        <v>0.1138062</v>
      </c>
      <c r="R626" s="57"/>
      <c r="S626" s="57"/>
      <c r="T626" s="57"/>
      <c r="U626" s="57"/>
      <c r="V626" s="57"/>
      <c r="W626" s="57"/>
      <c r="X626" s="57"/>
      <c r="Y626" s="57"/>
    </row>
    <row r="627" ht="34.5" customHeight="1">
      <c r="A627" s="24" t="s">
        <v>723</v>
      </c>
      <c r="B627" s="50" t="s">
        <v>724</v>
      </c>
      <c r="C627" s="50" t="s">
        <v>725</v>
      </c>
      <c r="D627" s="50" t="s">
        <v>728</v>
      </c>
      <c r="E627" s="51">
        <v>73.0</v>
      </c>
      <c r="F627" s="49">
        <v>43.83</v>
      </c>
      <c r="G627" s="50">
        <v>2.0</v>
      </c>
      <c r="H627" s="49">
        <v>100.0</v>
      </c>
      <c r="I627" s="49">
        <v>100.0</v>
      </c>
      <c r="J627" s="51">
        <f t="shared" si="11"/>
        <v>45.10451</v>
      </c>
      <c r="K627" s="51">
        <f t="shared" si="12"/>
        <v>41.0041</v>
      </c>
      <c r="L627" s="8">
        <f t="shared" si="3"/>
        <v>0.4153459444</v>
      </c>
      <c r="M627" s="8">
        <f t="shared" si="4"/>
        <v>0.1246037833</v>
      </c>
      <c r="N627" s="8">
        <f t="shared" si="5"/>
        <v>0.02492075667</v>
      </c>
      <c r="O627" s="8">
        <f t="shared" si="6"/>
        <v>0.0820082</v>
      </c>
      <c r="P627" s="8">
        <f t="shared" si="7"/>
        <v>0.1230123</v>
      </c>
      <c r="Q627" s="8">
        <f t="shared" si="8"/>
        <v>0.0410041</v>
      </c>
      <c r="R627" s="57"/>
      <c r="S627" s="57"/>
      <c r="T627" s="57"/>
      <c r="U627" s="57"/>
      <c r="V627" s="57"/>
      <c r="W627" s="57"/>
      <c r="X627" s="57"/>
      <c r="Y627" s="57"/>
    </row>
    <row r="628" ht="34.5" customHeight="1">
      <c r="A628" s="24" t="s">
        <v>723</v>
      </c>
      <c r="B628" s="50" t="s">
        <v>724</v>
      </c>
      <c r="C628" s="50" t="s">
        <v>725</v>
      </c>
      <c r="D628" s="50" t="s">
        <v>729</v>
      </c>
      <c r="E628" s="51">
        <v>32.0</v>
      </c>
      <c r="F628" s="49">
        <v>37.61</v>
      </c>
      <c r="G628" s="50">
        <v>2.0</v>
      </c>
      <c r="H628" s="49">
        <v>72.51</v>
      </c>
      <c r="I628" s="49">
        <v>100.0</v>
      </c>
      <c r="J628" s="51">
        <f t="shared" si="11"/>
        <v>21.96128</v>
      </c>
      <c r="K628" s="51">
        <f t="shared" si="12"/>
        <v>19.9648</v>
      </c>
      <c r="L628" s="8">
        <f t="shared" si="3"/>
        <v>0.202230965</v>
      </c>
      <c r="M628" s="8">
        <f t="shared" si="4"/>
        <v>0.0606692895</v>
      </c>
      <c r="N628" s="8">
        <f t="shared" si="5"/>
        <v>0.0121338579</v>
      </c>
      <c r="O628" s="8">
        <f t="shared" si="6"/>
        <v>0.0399296</v>
      </c>
      <c r="P628" s="8">
        <f t="shared" si="7"/>
        <v>0.0598944</v>
      </c>
      <c r="Q628" s="8">
        <f t="shared" si="8"/>
        <v>0.0199648</v>
      </c>
      <c r="R628" s="57"/>
      <c r="S628" s="57"/>
      <c r="T628" s="57"/>
      <c r="U628" s="57"/>
      <c r="V628" s="57"/>
      <c r="W628" s="57"/>
      <c r="X628" s="57"/>
      <c r="Y628" s="57"/>
    </row>
    <row r="629" ht="34.5" customHeight="1">
      <c r="A629" s="24" t="s">
        <v>723</v>
      </c>
      <c r="B629" s="50" t="s">
        <v>724</v>
      </c>
      <c r="C629" s="50" t="s">
        <v>725</v>
      </c>
      <c r="D629" s="50" t="s">
        <v>730</v>
      </c>
      <c r="E629" s="51">
        <v>81.0</v>
      </c>
      <c r="F629" s="49">
        <v>32.96</v>
      </c>
      <c r="G629" s="50">
        <v>3.0</v>
      </c>
      <c r="H629" s="49">
        <v>95.84</v>
      </c>
      <c r="I629" s="49">
        <v>100.0</v>
      </c>
      <c r="J629" s="51">
        <f t="shared" si="11"/>
        <v>59.73264</v>
      </c>
      <c r="K629" s="51">
        <f t="shared" si="12"/>
        <v>54.3024</v>
      </c>
      <c r="L629" s="8">
        <f t="shared" si="3"/>
        <v>0.5500494247</v>
      </c>
      <c r="M629" s="8">
        <f t="shared" si="4"/>
        <v>0.1650148274</v>
      </c>
      <c r="N629" s="8">
        <f t="shared" si="5"/>
        <v>0.03300296548</v>
      </c>
      <c r="O629" s="8">
        <f t="shared" si="6"/>
        <v>0.1086048</v>
      </c>
      <c r="P629" s="8">
        <f t="shared" si="7"/>
        <v>0.1629072</v>
      </c>
      <c r="Q629" s="8">
        <f t="shared" si="8"/>
        <v>0.0543024</v>
      </c>
      <c r="R629" s="57"/>
      <c r="S629" s="57"/>
      <c r="T629" s="57"/>
      <c r="U629" s="57"/>
      <c r="V629" s="57"/>
      <c r="W629" s="57"/>
      <c r="X629" s="57"/>
      <c r="Y629" s="57"/>
    </row>
    <row r="630" ht="34.5" customHeight="1">
      <c r="A630" s="24" t="s">
        <v>723</v>
      </c>
      <c r="B630" s="50" t="s">
        <v>724</v>
      </c>
      <c r="C630" s="50" t="s">
        <v>725</v>
      </c>
      <c r="D630" s="50" t="s">
        <v>731</v>
      </c>
      <c r="E630" s="51">
        <v>78.0</v>
      </c>
      <c r="F630" s="49">
        <v>50.67</v>
      </c>
      <c r="G630" s="50">
        <v>2.0</v>
      </c>
      <c r="H630" s="49">
        <v>39.13</v>
      </c>
      <c r="I630" s="49">
        <v>39.13</v>
      </c>
      <c r="J630" s="51">
        <f t="shared" si="11"/>
        <v>42.32514</v>
      </c>
      <c r="K630" s="51">
        <f t="shared" si="12"/>
        <v>38.4774</v>
      </c>
      <c r="L630" s="8">
        <f t="shared" si="3"/>
        <v>0.3897520502</v>
      </c>
      <c r="M630" s="8">
        <f t="shared" si="4"/>
        <v>0.1169256151</v>
      </c>
      <c r="N630" s="8">
        <f t="shared" si="5"/>
        <v>0.02338512301</v>
      </c>
      <c r="O630" s="8">
        <f t="shared" si="6"/>
        <v>0.0769548</v>
      </c>
      <c r="P630" s="8">
        <f t="shared" si="7"/>
        <v>0.1154322</v>
      </c>
      <c r="Q630" s="8">
        <f t="shared" si="8"/>
        <v>0.0384774</v>
      </c>
      <c r="R630" s="57"/>
      <c r="S630" s="57"/>
      <c r="T630" s="57"/>
      <c r="U630" s="57"/>
      <c r="V630" s="57"/>
      <c r="W630" s="57"/>
      <c r="X630" s="57"/>
      <c r="Y630" s="57"/>
    </row>
    <row r="631" ht="34.5" customHeight="1">
      <c r="A631" s="24" t="s">
        <v>723</v>
      </c>
      <c r="B631" s="50" t="s">
        <v>724</v>
      </c>
      <c r="C631" s="50" t="s">
        <v>725</v>
      </c>
      <c r="D631" s="50" t="s">
        <v>732</v>
      </c>
      <c r="E631" s="51">
        <v>17.0</v>
      </c>
      <c r="F631" s="49">
        <v>18.43</v>
      </c>
      <c r="G631" s="50">
        <v>1.0</v>
      </c>
      <c r="H631" s="49">
        <v>100.0</v>
      </c>
      <c r="I631" s="49">
        <v>100.0</v>
      </c>
      <c r="J631" s="51">
        <f t="shared" si="11"/>
        <v>15.25359</v>
      </c>
      <c r="K631" s="51">
        <f t="shared" si="12"/>
        <v>13.8669</v>
      </c>
      <c r="L631" s="8">
        <f t="shared" si="3"/>
        <v>0.1404630434</v>
      </c>
      <c r="M631" s="8">
        <f t="shared" si="4"/>
        <v>0.04213891301</v>
      </c>
      <c r="N631" s="8">
        <f t="shared" si="5"/>
        <v>0.008427782603</v>
      </c>
      <c r="O631" s="8">
        <f t="shared" si="6"/>
        <v>0.0277338</v>
      </c>
      <c r="P631" s="8">
        <f t="shared" si="7"/>
        <v>0.0416007</v>
      </c>
      <c r="Q631" s="8">
        <f t="shared" si="8"/>
        <v>0.0138669</v>
      </c>
      <c r="R631" s="57"/>
      <c r="S631" s="57"/>
      <c r="T631" s="57"/>
      <c r="U631" s="57"/>
      <c r="V631" s="57"/>
      <c r="W631" s="57"/>
      <c r="X631" s="57"/>
      <c r="Y631" s="57"/>
    </row>
    <row r="632" ht="34.5" customHeight="1">
      <c r="A632" s="24" t="s">
        <v>723</v>
      </c>
      <c r="B632" s="50" t="s">
        <v>724</v>
      </c>
      <c r="C632" s="50" t="s">
        <v>733</v>
      </c>
      <c r="D632" s="50" t="s">
        <v>734</v>
      </c>
      <c r="E632" s="51">
        <v>128.0</v>
      </c>
      <c r="F632" s="49">
        <v>13.32</v>
      </c>
      <c r="G632" s="50">
        <v>4.0</v>
      </c>
      <c r="H632" s="49">
        <v>64.5</v>
      </c>
      <c r="I632" s="49">
        <v>83.2</v>
      </c>
      <c r="J632" s="51">
        <f t="shared" si="11"/>
        <v>122.04544</v>
      </c>
      <c r="K632" s="51">
        <f t="shared" si="12"/>
        <v>110.9504</v>
      </c>
      <c r="L632" s="8">
        <f t="shared" si="3"/>
        <v>1.123858314</v>
      </c>
      <c r="M632" s="8">
        <f t="shared" si="4"/>
        <v>0.3371574941</v>
      </c>
      <c r="N632" s="8">
        <f t="shared" si="5"/>
        <v>0.06743149881</v>
      </c>
      <c r="O632" s="8">
        <f t="shared" si="6"/>
        <v>0.2219008</v>
      </c>
      <c r="P632" s="8">
        <f t="shared" si="7"/>
        <v>0.3328512</v>
      </c>
      <c r="Q632" s="8">
        <f t="shared" si="8"/>
        <v>0.1109504</v>
      </c>
      <c r="R632" s="57"/>
      <c r="S632" s="57"/>
      <c r="T632" s="57"/>
      <c r="U632" s="57"/>
      <c r="V632" s="57"/>
      <c r="W632" s="57"/>
      <c r="X632" s="57"/>
      <c r="Y632" s="57"/>
    </row>
    <row r="633" ht="34.5" customHeight="1">
      <c r="A633" s="24" t="s">
        <v>723</v>
      </c>
      <c r="B633" s="50" t="s">
        <v>724</v>
      </c>
      <c r="C633" s="50" t="s">
        <v>733</v>
      </c>
      <c r="D633" s="50" t="s">
        <v>735</v>
      </c>
      <c r="E633" s="51">
        <v>680.0</v>
      </c>
      <c r="F633" s="49">
        <v>19.7</v>
      </c>
      <c r="G633" s="50">
        <v>10.0</v>
      </c>
      <c r="H633" s="49">
        <v>22.99</v>
      </c>
      <c r="I633" s="49">
        <v>52.97</v>
      </c>
      <c r="J633" s="51">
        <f t="shared" si="11"/>
        <v>600.644</v>
      </c>
      <c r="K633" s="51">
        <f t="shared" si="12"/>
        <v>546.04</v>
      </c>
      <c r="L633" s="8">
        <f t="shared" si="3"/>
        <v>5.531044444</v>
      </c>
      <c r="M633" s="8">
        <f t="shared" si="4"/>
        <v>1.659313333</v>
      </c>
      <c r="N633" s="8">
        <f t="shared" si="5"/>
        <v>0.3318626667</v>
      </c>
      <c r="O633" s="8">
        <f t="shared" si="6"/>
        <v>1.09208</v>
      </c>
      <c r="P633" s="8">
        <f t="shared" si="7"/>
        <v>1.63812</v>
      </c>
      <c r="Q633" s="8">
        <f t="shared" si="8"/>
        <v>0.54604</v>
      </c>
      <c r="R633" s="57"/>
      <c r="S633" s="57"/>
      <c r="T633" s="57"/>
      <c r="U633" s="57"/>
      <c r="V633" s="57"/>
      <c r="W633" s="57"/>
      <c r="X633" s="57"/>
      <c r="Y633" s="57"/>
    </row>
    <row r="634" ht="34.5" customHeight="1">
      <c r="A634" s="24" t="s">
        <v>723</v>
      </c>
      <c r="B634" s="50" t="s">
        <v>724</v>
      </c>
      <c r="C634" s="50" t="s">
        <v>733</v>
      </c>
      <c r="D634" s="50" t="s">
        <v>736</v>
      </c>
      <c r="E634" s="51">
        <v>375.0</v>
      </c>
      <c r="F634" s="49">
        <v>23.49</v>
      </c>
      <c r="G634" s="50">
        <v>7.0</v>
      </c>
      <c r="H634" s="49">
        <v>8.0</v>
      </c>
      <c r="I634" s="49">
        <v>8.0</v>
      </c>
      <c r="J634" s="51">
        <f t="shared" si="11"/>
        <v>315.60375</v>
      </c>
      <c r="K634" s="51">
        <f t="shared" si="12"/>
        <v>286.9125</v>
      </c>
      <c r="L634" s="8">
        <f t="shared" si="3"/>
        <v>2.906244578</v>
      </c>
      <c r="M634" s="8">
        <f t="shared" si="4"/>
        <v>0.8718733733</v>
      </c>
      <c r="N634" s="8">
        <f t="shared" si="5"/>
        <v>0.1743746747</v>
      </c>
      <c r="O634" s="8">
        <f t="shared" si="6"/>
        <v>0.573825</v>
      </c>
      <c r="P634" s="8">
        <f t="shared" si="7"/>
        <v>0.8607375</v>
      </c>
      <c r="Q634" s="8">
        <f t="shared" si="8"/>
        <v>0.2869125</v>
      </c>
      <c r="R634" s="57"/>
      <c r="S634" s="57"/>
      <c r="T634" s="57"/>
      <c r="U634" s="57"/>
      <c r="V634" s="57"/>
      <c r="W634" s="57"/>
      <c r="X634" s="57"/>
      <c r="Y634" s="57"/>
    </row>
    <row r="635" ht="34.5" customHeight="1">
      <c r="A635" s="24" t="s">
        <v>723</v>
      </c>
      <c r="B635" s="50" t="s">
        <v>724</v>
      </c>
      <c r="C635" s="50" t="s">
        <v>733</v>
      </c>
      <c r="D635" s="50" t="s">
        <v>737</v>
      </c>
      <c r="E635" s="51">
        <v>92.0</v>
      </c>
      <c r="F635" s="49">
        <v>46.18</v>
      </c>
      <c r="G635" s="50">
        <v>3.0</v>
      </c>
      <c r="H635" s="49">
        <v>61.68</v>
      </c>
      <c r="I635" s="49">
        <v>61.68</v>
      </c>
      <c r="J635" s="51">
        <f t="shared" si="11"/>
        <v>54.46584</v>
      </c>
      <c r="K635" s="51">
        <f t="shared" si="12"/>
        <v>49.5144</v>
      </c>
      <c r="L635" s="8">
        <f t="shared" si="3"/>
        <v>0.5015499726</v>
      </c>
      <c r="M635" s="8">
        <f t="shared" si="4"/>
        <v>0.1504649918</v>
      </c>
      <c r="N635" s="8">
        <f t="shared" si="5"/>
        <v>0.03009299836</v>
      </c>
      <c r="O635" s="8">
        <f t="shared" si="6"/>
        <v>0.0990288</v>
      </c>
      <c r="P635" s="8">
        <f t="shared" si="7"/>
        <v>0.1485432</v>
      </c>
      <c r="Q635" s="8">
        <f t="shared" si="8"/>
        <v>0.0495144</v>
      </c>
      <c r="R635" s="57"/>
      <c r="S635" s="57"/>
      <c r="T635" s="57"/>
      <c r="U635" s="57"/>
      <c r="V635" s="57"/>
      <c r="W635" s="57"/>
      <c r="X635" s="57"/>
      <c r="Y635" s="57"/>
    </row>
    <row r="636" ht="34.5" customHeight="1">
      <c r="A636" s="24" t="s">
        <v>723</v>
      </c>
      <c r="B636" s="50" t="s">
        <v>724</v>
      </c>
      <c r="C636" s="50" t="s">
        <v>733</v>
      </c>
      <c r="D636" s="50" t="s">
        <v>738</v>
      </c>
      <c r="E636" s="51">
        <v>161.0</v>
      </c>
      <c r="F636" s="49">
        <v>26.92</v>
      </c>
      <c r="G636" s="50">
        <v>4.0</v>
      </c>
      <c r="H636" s="49">
        <v>62.74</v>
      </c>
      <c r="I636" s="49">
        <v>62.74</v>
      </c>
      <c r="J636" s="51">
        <f t="shared" si="11"/>
        <v>129.42468</v>
      </c>
      <c r="K636" s="51">
        <f t="shared" si="12"/>
        <v>117.6588</v>
      </c>
      <c r="L636" s="8">
        <f t="shared" si="3"/>
        <v>1.191810219</v>
      </c>
      <c r="M636" s="8">
        <f t="shared" si="4"/>
        <v>0.3575430658</v>
      </c>
      <c r="N636" s="8">
        <f t="shared" si="5"/>
        <v>0.07150861315</v>
      </c>
      <c r="O636" s="8">
        <f t="shared" si="6"/>
        <v>0.2353176</v>
      </c>
      <c r="P636" s="8">
        <f t="shared" si="7"/>
        <v>0.3529764</v>
      </c>
      <c r="Q636" s="8">
        <f t="shared" si="8"/>
        <v>0.1176588</v>
      </c>
      <c r="R636" s="57"/>
      <c r="S636" s="57"/>
      <c r="T636" s="57"/>
      <c r="U636" s="57"/>
      <c r="V636" s="57"/>
      <c r="W636" s="57"/>
      <c r="X636" s="57"/>
      <c r="Y636" s="57"/>
    </row>
    <row r="637" ht="34.5" customHeight="1">
      <c r="A637" s="24" t="s">
        <v>723</v>
      </c>
      <c r="B637" s="50" t="s">
        <v>724</v>
      </c>
      <c r="C637" s="50" t="s">
        <v>739</v>
      </c>
      <c r="D637" s="50" t="s">
        <v>740</v>
      </c>
      <c r="E637" s="51">
        <v>324.0</v>
      </c>
      <c r="F637" s="49">
        <v>41.08</v>
      </c>
      <c r="G637" s="50">
        <v>9.0</v>
      </c>
      <c r="H637" s="49">
        <v>51.16</v>
      </c>
      <c r="I637" s="49">
        <v>60.06</v>
      </c>
      <c r="J637" s="51">
        <f t="shared" si="11"/>
        <v>209.99088</v>
      </c>
      <c r="K637" s="51">
        <f t="shared" si="12"/>
        <v>190.9008</v>
      </c>
      <c r="L637" s="8">
        <f t="shared" si="3"/>
        <v>1.933705973</v>
      </c>
      <c r="M637" s="8">
        <f t="shared" si="4"/>
        <v>0.5801117918</v>
      </c>
      <c r="N637" s="8">
        <f t="shared" si="5"/>
        <v>0.1160223584</v>
      </c>
      <c r="O637" s="8">
        <f t="shared" si="6"/>
        <v>0.3818016</v>
      </c>
      <c r="P637" s="8">
        <f t="shared" si="7"/>
        <v>0.5727024</v>
      </c>
      <c r="Q637" s="8">
        <f t="shared" si="8"/>
        <v>0.1909008</v>
      </c>
      <c r="R637" s="57"/>
      <c r="S637" s="57"/>
      <c r="T637" s="57"/>
      <c r="U637" s="57"/>
      <c r="V637" s="57"/>
      <c r="W637" s="57"/>
      <c r="X637" s="57"/>
      <c r="Y637" s="57"/>
    </row>
    <row r="638" ht="34.5" customHeight="1">
      <c r="A638" s="24" t="s">
        <v>723</v>
      </c>
      <c r="B638" s="50" t="s">
        <v>724</v>
      </c>
      <c r="C638" s="50" t="s">
        <v>739</v>
      </c>
      <c r="D638" s="50" t="s">
        <v>741</v>
      </c>
      <c r="E638" s="51">
        <v>81.66666666666667</v>
      </c>
      <c r="F638" s="49">
        <v>25.74</v>
      </c>
      <c r="G638" s="50">
        <v>3.0</v>
      </c>
      <c r="H638" s="49">
        <v>100.0</v>
      </c>
      <c r="I638" s="49">
        <v>100.0</v>
      </c>
      <c r="J638" s="51">
        <f t="shared" si="11"/>
        <v>66.71023333</v>
      </c>
      <c r="K638" s="51">
        <f t="shared" si="12"/>
        <v>60.64566667</v>
      </c>
      <c r="L638" s="8">
        <f t="shared" si="3"/>
        <v>0.6143027575</v>
      </c>
      <c r="M638" s="8">
        <f t="shared" si="4"/>
        <v>0.1842908272</v>
      </c>
      <c r="N638" s="8">
        <f t="shared" si="5"/>
        <v>0.03685816545</v>
      </c>
      <c r="O638" s="8">
        <f t="shared" si="6"/>
        <v>0.1212913333</v>
      </c>
      <c r="P638" s="8">
        <f t="shared" si="7"/>
        <v>0.181937</v>
      </c>
      <c r="Q638" s="8">
        <f t="shared" si="8"/>
        <v>0.06064566667</v>
      </c>
      <c r="R638" s="57"/>
      <c r="S638" s="57"/>
      <c r="T638" s="57"/>
      <c r="U638" s="57"/>
      <c r="V638" s="57"/>
      <c r="W638" s="57"/>
      <c r="X638" s="57"/>
      <c r="Y638" s="57"/>
    </row>
    <row r="639" ht="34.5" customHeight="1">
      <c r="A639" s="24" t="s">
        <v>723</v>
      </c>
      <c r="B639" s="50" t="s">
        <v>724</v>
      </c>
      <c r="C639" s="50" t="s">
        <v>739</v>
      </c>
      <c r="D639" s="50" t="s">
        <v>742</v>
      </c>
      <c r="E639" s="51">
        <v>420.0</v>
      </c>
      <c r="F639" s="49">
        <v>25.68</v>
      </c>
      <c r="G639" s="50">
        <v>6.0</v>
      </c>
      <c r="H639" s="49">
        <v>49.14</v>
      </c>
      <c r="I639" s="49">
        <v>49.14</v>
      </c>
      <c r="J639" s="51">
        <f t="shared" si="11"/>
        <v>343.3584</v>
      </c>
      <c r="K639" s="51">
        <f t="shared" si="12"/>
        <v>312.144</v>
      </c>
      <c r="L639" s="8">
        <f t="shared" si="3"/>
        <v>3.161823927</v>
      </c>
      <c r="M639" s="8">
        <f t="shared" si="4"/>
        <v>0.9485471781</v>
      </c>
      <c r="N639" s="8">
        <f t="shared" si="5"/>
        <v>0.1897094356</v>
      </c>
      <c r="O639" s="8">
        <f t="shared" si="6"/>
        <v>0.624288</v>
      </c>
      <c r="P639" s="8">
        <f t="shared" si="7"/>
        <v>0.936432</v>
      </c>
      <c r="Q639" s="8">
        <f t="shared" si="8"/>
        <v>0.312144</v>
      </c>
      <c r="R639" s="57"/>
      <c r="S639" s="57"/>
      <c r="T639" s="57"/>
      <c r="U639" s="57"/>
      <c r="V639" s="57"/>
      <c r="W639" s="57"/>
      <c r="X639" s="57"/>
      <c r="Y639" s="57"/>
    </row>
    <row r="640" ht="34.5" customHeight="1">
      <c r="A640" s="24" t="s">
        <v>723</v>
      </c>
      <c r="B640" s="50" t="s">
        <v>724</v>
      </c>
      <c r="C640" s="50" t="s">
        <v>739</v>
      </c>
      <c r="D640" s="50" t="s">
        <v>743</v>
      </c>
      <c r="E640" s="51">
        <v>532.0</v>
      </c>
      <c r="F640" s="49">
        <v>43.95</v>
      </c>
      <c r="G640" s="50">
        <v>11.0</v>
      </c>
      <c r="H640" s="49">
        <v>61.44</v>
      </c>
      <c r="I640" s="49">
        <v>61.44</v>
      </c>
      <c r="J640" s="51">
        <f t="shared" si="11"/>
        <v>328.0046</v>
      </c>
      <c r="K640" s="51">
        <f t="shared" si="12"/>
        <v>298.186</v>
      </c>
      <c r="L640" s="8">
        <f t="shared" si="3"/>
        <v>3.020438097</v>
      </c>
      <c r="M640" s="8">
        <f t="shared" si="4"/>
        <v>0.9061314292</v>
      </c>
      <c r="N640" s="8">
        <f t="shared" si="5"/>
        <v>0.1812262858</v>
      </c>
      <c r="O640" s="8">
        <f t="shared" si="6"/>
        <v>0.596372</v>
      </c>
      <c r="P640" s="8">
        <f t="shared" si="7"/>
        <v>0.894558</v>
      </c>
      <c r="Q640" s="8">
        <f t="shared" si="8"/>
        <v>0.298186</v>
      </c>
      <c r="R640" s="57"/>
      <c r="S640" s="57"/>
      <c r="T640" s="57"/>
      <c r="U640" s="57"/>
      <c r="V640" s="57"/>
      <c r="W640" s="57"/>
      <c r="X640" s="57"/>
      <c r="Y640" s="57"/>
    </row>
    <row r="641" ht="34.5" customHeight="1">
      <c r="A641" s="24" t="s">
        <v>723</v>
      </c>
      <c r="B641" s="50" t="s">
        <v>724</v>
      </c>
      <c r="C641" s="50" t="s">
        <v>739</v>
      </c>
      <c r="D641" s="50" t="s">
        <v>744</v>
      </c>
      <c r="E641" s="51">
        <v>113.0</v>
      </c>
      <c r="F641" s="49">
        <v>18.94</v>
      </c>
      <c r="G641" s="50">
        <v>3.0</v>
      </c>
      <c r="H641" s="49">
        <v>52.2</v>
      </c>
      <c r="I641" s="49">
        <v>52.2</v>
      </c>
      <c r="J641" s="51">
        <f t="shared" si="11"/>
        <v>100.75758</v>
      </c>
      <c r="K641" s="51">
        <f t="shared" si="12"/>
        <v>91.5978</v>
      </c>
      <c r="L641" s="8">
        <f t="shared" si="3"/>
        <v>0.9278285525</v>
      </c>
      <c r="M641" s="8">
        <f t="shared" si="4"/>
        <v>0.2783485658</v>
      </c>
      <c r="N641" s="8">
        <f t="shared" si="5"/>
        <v>0.05566971315</v>
      </c>
      <c r="O641" s="8">
        <f t="shared" si="6"/>
        <v>0.1831956</v>
      </c>
      <c r="P641" s="8">
        <f t="shared" si="7"/>
        <v>0.2747934</v>
      </c>
      <c r="Q641" s="8">
        <f t="shared" si="8"/>
        <v>0.0915978</v>
      </c>
      <c r="R641" s="57"/>
      <c r="S641" s="57"/>
      <c r="T641" s="57"/>
      <c r="U641" s="57"/>
      <c r="V641" s="57"/>
      <c r="W641" s="57"/>
      <c r="X641" s="57"/>
      <c r="Y641" s="57"/>
    </row>
    <row r="642" ht="34.5" customHeight="1">
      <c r="A642" s="24" t="s">
        <v>723</v>
      </c>
      <c r="B642" s="50" t="s">
        <v>724</v>
      </c>
      <c r="C642" s="50" t="s">
        <v>739</v>
      </c>
      <c r="D642" s="50" t="s">
        <v>745</v>
      </c>
      <c r="E642" s="51">
        <v>2631.0</v>
      </c>
      <c r="F642" s="49">
        <v>44.11</v>
      </c>
      <c r="G642" s="50">
        <v>35.0</v>
      </c>
      <c r="H642" s="49">
        <v>28.75</v>
      </c>
      <c r="I642" s="49">
        <v>52.56</v>
      </c>
      <c r="J642" s="51">
        <f t="shared" si="11"/>
        <v>1617.51249</v>
      </c>
      <c r="K642" s="51">
        <f t="shared" si="12"/>
        <v>1470.4659</v>
      </c>
      <c r="L642" s="8">
        <f t="shared" si="3"/>
        <v>14.89490192</v>
      </c>
      <c r="M642" s="8">
        <f t="shared" si="4"/>
        <v>4.468470577</v>
      </c>
      <c r="N642" s="8">
        <f t="shared" si="5"/>
        <v>0.8936941155</v>
      </c>
      <c r="O642" s="8">
        <f t="shared" si="6"/>
        <v>2.9409318</v>
      </c>
      <c r="P642" s="8">
        <f t="shared" si="7"/>
        <v>4.4113977</v>
      </c>
      <c r="Q642" s="8">
        <f t="shared" si="8"/>
        <v>1.4704659</v>
      </c>
      <c r="R642" s="57"/>
      <c r="S642" s="57"/>
      <c r="T642" s="57"/>
      <c r="U642" s="57"/>
      <c r="V642" s="57"/>
      <c r="W642" s="57"/>
      <c r="X642" s="57"/>
      <c r="Y642" s="57"/>
    </row>
    <row r="643" ht="34.5" customHeight="1">
      <c r="A643" s="24" t="s">
        <v>723</v>
      </c>
      <c r="B643" s="50" t="s">
        <v>724</v>
      </c>
      <c r="C643" s="50" t="s">
        <v>487</v>
      </c>
      <c r="D643" s="50" t="s">
        <v>746</v>
      </c>
      <c r="E643" s="51">
        <v>19.0</v>
      </c>
      <c r="F643" s="49">
        <v>21.71</v>
      </c>
      <c r="G643" s="50">
        <v>1.0</v>
      </c>
      <c r="H643" s="49">
        <v>100.0</v>
      </c>
      <c r="I643" s="49">
        <v>100.0</v>
      </c>
      <c r="J643" s="51">
        <f t="shared" si="11"/>
        <v>16.36261</v>
      </c>
      <c r="K643" s="51">
        <f t="shared" si="12"/>
        <v>14.8751</v>
      </c>
      <c r="L643" s="8">
        <f t="shared" si="3"/>
        <v>0.1506754802</v>
      </c>
      <c r="M643" s="8">
        <f t="shared" si="4"/>
        <v>0.04520264406</v>
      </c>
      <c r="N643" s="8">
        <f t="shared" si="5"/>
        <v>0.009040528813</v>
      </c>
      <c r="O643" s="8">
        <f t="shared" si="6"/>
        <v>0.0297502</v>
      </c>
      <c r="P643" s="8">
        <f t="shared" si="7"/>
        <v>0.0446253</v>
      </c>
      <c r="Q643" s="8">
        <f t="shared" si="8"/>
        <v>0.0148751</v>
      </c>
      <c r="R643" s="57"/>
      <c r="S643" s="57"/>
      <c r="T643" s="57"/>
      <c r="U643" s="57"/>
      <c r="V643" s="57"/>
      <c r="W643" s="57"/>
      <c r="X643" s="57"/>
      <c r="Y643" s="57"/>
    </row>
    <row r="644" ht="34.5" customHeight="1">
      <c r="A644" s="24" t="s">
        <v>723</v>
      </c>
      <c r="B644" s="50" t="s">
        <v>724</v>
      </c>
      <c r="C644" s="50" t="s">
        <v>487</v>
      </c>
      <c r="D644" s="50" t="s">
        <v>747</v>
      </c>
      <c r="E644" s="51">
        <v>111.0</v>
      </c>
      <c r="F644" s="49">
        <v>31.59</v>
      </c>
      <c r="G644" s="50">
        <v>1.0</v>
      </c>
      <c r="H644" s="49">
        <v>100.0</v>
      </c>
      <c r="I644" s="49">
        <v>100.0</v>
      </c>
      <c r="J644" s="51">
        <f t="shared" si="11"/>
        <v>83.52861</v>
      </c>
      <c r="K644" s="51">
        <f t="shared" si="12"/>
        <v>75.9351</v>
      </c>
      <c r="L644" s="8">
        <f t="shared" si="3"/>
        <v>0.7691751758</v>
      </c>
      <c r="M644" s="8">
        <f t="shared" si="4"/>
        <v>0.2307525527</v>
      </c>
      <c r="N644" s="8">
        <f t="shared" si="5"/>
        <v>0.04615051055</v>
      </c>
      <c r="O644" s="8">
        <f t="shared" si="6"/>
        <v>0.1518702</v>
      </c>
      <c r="P644" s="8">
        <f t="shared" si="7"/>
        <v>0.2278053</v>
      </c>
      <c r="Q644" s="8">
        <f t="shared" si="8"/>
        <v>0.0759351</v>
      </c>
      <c r="R644" s="57"/>
      <c r="S644" s="57"/>
      <c r="T644" s="57"/>
      <c r="U644" s="57"/>
      <c r="V644" s="57"/>
      <c r="W644" s="57"/>
      <c r="X644" s="57"/>
      <c r="Y644" s="57"/>
    </row>
    <row r="645" ht="34.5" customHeight="1">
      <c r="A645" s="24" t="s">
        <v>723</v>
      </c>
      <c r="B645" s="50" t="s">
        <v>724</v>
      </c>
      <c r="C645" s="50" t="s">
        <v>487</v>
      </c>
      <c r="D645" s="50" t="s">
        <v>748</v>
      </c>
      <c r="E645" s="51">
        <v>839.0</v>
      </c>
      <c r="F645" s="49">
        <v>45.65</v>
      </c>
      <c r="G645" s="50">
        <v>18.0</v>
      </c>
      <c r="H645" s="49">
        <v>49.78</v>
      </c>
      <c r="I645" s="49">
        <v>78.81</v>
      </c>
      <c r="J645" s="51">
        <f t="shared" si="11"/>
        <v>501.59615</v>
      </c>
      <c r="K645" s="51">
        <f t="shared" si="12"/>
        <v>455.9965</v>
      </c>
      <c r="L645" s="8">
        <f t="shared" si="3"/>
        <v>4.618959981</v>
      </c>
      <c r="M645" s="8">
        <f t="shared" si="4"/>
        <v>1.385687994</v>
      </c>
      <c r="N645" s="8">
        <f t="shared" si="5"/>
        <v>0.2771375989</v>
      </c>
      <c r="O645" s="8">
        <f t="shared" si="6"/>
        <v>0.911993</v>
      </c>
      <c r="P645" s="8">
        <f t="shared" si="7"/>
        <v>1.3679895</v>
      </c>
      <c r="Q645" s="8">
        <f t="shared" si="8"/>
        <v>0.4559965</v>
      </c>
      <c r="R645" s="57"/>
      <c r="S645" s="57"/>
      <c r="T645" s="57"/>
      <c r="U645" s="57"/>
      <c r="V645" s="57"/>
      <c r="W645" s="57"/>
      <c r="X645" s="57"/>
      <c r="Y645" s="57"/>
    </row>
    <row r="646" ht="34.5" customHeight="1">
      <c r="A646" s="24" t="s">
        <v>723</v>
      </c>
      <c r="B646" s="50" t="s">
        <v>724</v>
      </c>
      <c r="C646" s="50" t="s">
        <v>487</v>
      </c>
      <c r="D646" s="50" t="s">
        <v>749</v>
      </c>
      <c r="E646" s="51">
        <v>56.0</v>
      </c>
      <c r="F646" s="49">
        <v>38.29</v>
      </c>
      <c r="G646" s="50">
        <v>1.0</v>
      </c>
      <c r="H646" s="49">
        <v>0.0</v>
      </c>
      <c r="I646" s="49">
        <v>75.55</v>
      </c>
      <c r="J646" s="51">
        <f t="shared" si="11"/>
        <v>38.01336</v>
      </c>
      <c r="K646" s="51">
        <f t="shared" si="12"/>
        <v>34.5576</v>
      </c>
      <c r="L646" s="8">
        <f t="shared" si="3"/>
        <v>0.3500469224</v>
      </c>
      <c r="M646" s="8">
        <f t="shared" si="4"/>
        <v>0.1050140767</v>
      </c>
      <c r="N646" s="8">
        <f t="shared" si="5"/>
        <v>0.02100281534</v>
      </c>
      <c r="O646" s="8">
        <f t="shared" si="6"/>
        <v>0.0691152</v>
      </c>
      <c r="P646" s="8">
        <f t="shared" si="7"/>
        <v>0.1036728</v>
      </c>
      <c r="Q646" s="8">
        <f t="shared" si="8"/>
        <v>0.0345576</v>
      </c>
      <c r="R646" s="57"/>
      <c r="S646" s="57"/>
      <c r="T646" s="57"/>
      <c r="U646" s="57"/>
      <c r="V646" s="57"/>
      <c r="W646" s="57"/>
      <c r="X646" s="57"/>
      <c r="Y646" s="57"/>
    </row>
    <row r="647" ht="34.5" customHeight="1">
      <c r="A647" s="24" t="s">
        <v>723</v>
      </c>
      <c r="B647" s="50" t="s">
        <v>724</v>
      </c>
      <c r="C647" s="50" t="s">
        <v>487</v>
      </c>
      <c r="D647" s="50" t="s">
        <v>750</v>
      </c>
      <c r="E647" s="51">
        <v>498.0</v>
      </c>
      <c r="F647" s="49">
        <v>30.62</v>
      </c>
      <c r="G647" s="50">
        <v>10.0</v>
      </c>
      <c r="H647" s="49">
        <v>30.17</v>
      </c>
      <c r="I647" s="49">
        <v>73.25</v>
      </c>
      <c r="J647" s="51">
        <f t="shared" si="11"/>
        <v>380.06364</v>
      </c>
      <c r="K647" s="51">
        <f t="shared" si="12"/>
        <v>345.5124</v>
      </c>
      <c r="L647" s="8">
        <f t="shared" si="3"/>
        <v>3.499824995</v>
      </c>
      <c r="M647" s="8">
        <f t="shared" si="4"/>
        <v>1.049947499</v>
      </c>
      <c r="N647" s="8">
        <f t="shared" si="5"/>
        <v>0.2099894997</v>
      </c>
      <c r="O647" s="8">
        <f t="shared" si="6"/>
        <v>0.6910248</v>
      </c>
      <c r="P647" s="8">
        <f t="shared" si="7"/>
        <v>1.0365372</v>
      </c>
      <c r="Q647" s="8">
        <f t="shared" si="8"/>
        <v>0.3455124</v>
      </c>
      <c r="R647" s="57"/>
      <c r="S647" s="57"/>
      <c r="T647" s="57"/>
      <c r="U647" s="57"/>
      <c r="V647" s="57"/>
      <c r="W647" s="57"/>
      <c r="X647" s="57"/>
      <c r="Y647" s="57"/>
    </row>
    <row r="648" ht="14.25" customHeight="1">
      <c r="B648" s="75"/>
      <c r="C648" s="75"/>
      <c r="D648" s="75"/>
      <c r="E648" s="75"/>
      <c r="F648" s="75"/>
      <c r="G648" s="75"/>
      <c r="H648" s="75"/>
      <c r="I648" s="75"/>
      <c r="J648" s="75"/>
      <c r="K648" s="75"/>
    </row>
    <row r="649" ht="14.25" customHeight="1">
      <c r="B649" s="75"/>
      <c r="C649" s="75"/>
      <c r="D649" s="75"/>
      <c r="E649" s="75"/>
      <c r="F649" s="75"/>
      <c r="G649" s="75"/>
      <c r="H649" s="75"/>
      <c r="I649" s="75"/>
      <c r="J649" s="75"/>
      <c r="K649" s="75"/>
    </row>
    <row r="650" ht="14.25" customHeight="1">
      <c r="B650" s="75"/>
      <c r="C650" s="75"/>
      <c r="D650" s="75"/>
      <c r="E650" s="75"/>
      <c r="F650" s="75"/>
      <c r="G650" s="75"/>
      <c r="H650" s="75"/>
      <c r="I650" s="75"/>
      <c r="J650" s="75"/>
      <c r="K650" s="75"/>
    </row>
    <row r="651" ht="14.25" customHeight="1">
      <c r="B651" s="75"/>
      <c r="C651" s="75"/>
      <c r="D651" s="75"/>
      <c r="E651" s="75"/>
      <c r="F651" s="75"/>
      <c r="G651" s="75"/>
      <c r="H651" s="75"/>
      <c r="I651" s="75"/>
      <c r="J651" s="75"/>
      <c r="K651" s="75"/>
    </row>
    <row r="652" ht="14.25" customHeight="1">
      <c r="B652" s="75"/>
      <c r="C652" s="75"/>
      <c r="D652" s="75"/>
      <c r="E652" s="75"/>
      <c r="F652" s="75"/>
      <c r="G652" s="75"/>
      <c r="H652" s="75"/>
      <c r="I652" s="75"/>
      <c r="J652" s="75"/>
      <c r="K652" s="75"/>
    </row>
    <row r="653" ht="14.25" customHeight="1">
      <c r="B653" s="75"/>
      <c r="C653" s="75"/>
      <c r="D653" s="75"/>
      <c r="E653" s="75"/>
      <c r="F653" s="75"/>
      <c r="G653" s="75"/>
      <c r="H653" s="75"/>
      <c r="I653" s="75"/>
      <c r="J653" s="75"/>
      <c r="K653" s="75"/>
    </row>
    <row r="654" ht="14.25" customHeight="1">
      <c r="B654" s="75"/>
      <c r="C654" s="75"/>
      <c r="D654" s="75"/>
      <c r="E654" s="75"/>
      <c r="F654" s="75"/>
      <c r="G654" s="75"/>
      <c r="H654" s="75"/>
      <c r="I654" s="75"/>
      <c r="J654" s="75"/>
      <c r="K654" s="75"/>
    </row>
    <row r="655" ht="14.25" customHeight="1">
      <c r="B655" s="75"/>
      <c r="C655" s="75"/>
      <c r="D655" s="75"/>
      <c r="E655" s="75"/>
      <c r="F655" s="75"/>
      <c r="G655" s="75"/>
      <c r="H655" s="75"/>
      <c r="I655" s="75"/>
      <c r="J655" s="75"/>
      <c r="K655" s="75"/>
    </row>
    <row r="656" ht="14.25" customHeight="1">
      <c r="B656" s="75"/>
      <c r="C656" s="75"/>
      <c r="D656" s="75"/>
      <c r="E656" s="75"/>
      <c r="F656" s="75"/>
      <c r="G656" s="75"/>
      <c r="H656" s="75"/>
      <c r="I656" s="75"/>
      <c r="J656" s="75"/>
      <c r="K656" s="75"/>
    </row>
    <row r="657" ht="14.25" customHeight="1">
      <c r="B657" s="75"/>
      <c r="C657" s="75"/>
      <c r="D657" s="75"/>
      <c r="E657" s="75"/>
      <c r="F657" s="75"/>
      <c r="G657" s="75"/>
      <c r="H657" s="75"/>
      <c r="I657" s="75"/>
      <c r="J657" s="75"/>
      <c r="K657" s="75"/>
    </row>
    <row r="658" ht="14.25" customHeight="1">
      <c r="B658" s="75"/>
      <c r="C658" s="75"/>
      <c r="D658" s="75"/>
      <c r="E658" s="75"/>
      <c r="F658" s="75"/>
      <c r="G658" s="75"/>
      <c r="H658" s="75"/>
      <c r="I658" s="75"/>
      <c r="J658" s="75"/>
      <c r="K658" s="75"/>
    </row>
    <row r="659" ht="14.25" customHeight="1">
      <c r="B659" s="75"/>
      <c r="C659" s="75"/>
      <c r="D659" s="75"/>
      <c r="E659" s="75"/>
      <c r="F659" s="75"/>
      <c r="G659" s="75"/>
      <c r="H659" s="75"/>
      <c r="I659" s="75"/>
      <c r="J659" s="75"/>
      <c r="K659" s="75"/>
    </row>
    <row r="660" ht="14.25" customHeight="1">
      <c r="B660" s="75"/>
      <c r="C660" s="75"/>
      <c r="D660" s="75"/>
      <c r="E660" s="75"/>
      <c r="F660" s="75"/>
      <c r="G660" s="75"/>
      <c r="H660" s="75"/>
      <c r="I660" s="75"/>
      <c r="J660" s="75"/>
      <c r="K660" s="75"/>
    </row>
    <row r="661" ht="14.25" customHeight="1">
      <c r="B661" s="75"/>
      <c r="C661" s="75"/>
      <c r="D661" s="75"/>
      <c r="E661" s="75"/>
      <c r="F661" s="75"/>
      <c r="G661" s="75"/>
      <c r="H661" s="75"/>
      <c r="I661" s="75"/>
      <c r="J661" s="75"/>
      <c r="K661" s="75"/>
    </row>
    <row r="662" ht="14.25" customHeight="1">
      <c r="B662" s="75"/>
      <c r="C662" s="75"/>
      <c r="D662" s="75"/>
      <c r="E662" s="75"/>
      <c r="F662" s="75"/>
      <c r="G662" s="75"/>
      <c r="H662" s="75"/>
      <c r="I662" s="75"/>
      <c r="J662" s="75"/>
      <c r="K662" s="75"/>
    </row>
    <row r="663" ht="14.25" customHeight="1">
      <c r="B663" s="75"/>
      <c r="C663" s="75"/>
      <c r="D663" s="75"/>
      <c r="E663" s="75"/>
      <c r="F663" s="75"/>
      <c r="G663" s="75"/>
      <c r="H663" s="75"/>
      <c r="I663" s="75"/>
      <c r="J663" s="75"/>
      <c r="K663" s="75"/>
    </row>
    <row r="664" ht="14.25" customHeight="1">
      <c r="B664" s="75"/>
      <c r="C664" s="75"/>
      <c r="D664" s="75"/>
      <c r="E664" s="75"/>
      <c r="F664" s="75"/>
      <c r="G664" s="75"/>
      <c r="H664" s="75"/>
      <c r="I664" s="75"/>
      <c r="J664" s="75"/>
      <c r="K664" s="75"/>
    </row>
    <row r="665" ht="14.25" customHeight="1">
      <c r="B665" s="75"/>
      <c r="C665" s="75"/>
      <c r="D665" s="75"/>
      <c r="E665" s="75"/>
      <c r="F665" s="75"/>
      <c r="G665" s="75"/>
      <c r="H665" s="75"/>
      <c r="I665" s="75"/>
      <c r="J665" s="75"/>
      <c r="K665" s="75"/>
    </row>
    <row r="666" ht="14.25" customHeight="1">
      <c r="B666" s="75"/>
      <c r="C666" s="75"/>
      <c r="D666" s="75"/>
      <c r="E666" s="75"/>
      <c r="F666" s="75"/>
      <c r="G666" s="75"/>
      <c r="H666" s="75"/>
      <c r="I666" s="75"/>
      <c r="J666" s="75"/>
      <c r="K666" s="75"/>
    </row>
    <row r="667" ht="14.25" customHeight="1">
      <c r="B667" s="75"/>
      <c r="C667" s="75"/>
      <c r="D667" s="75"/>
      <c r="E667" s="75"/>
      <c r="F667" s="75"/>
      <c r="G667" s="75"/>
      <c r="H667" s="75"/>
      <c r="I667" s="75"/>
      <c r="J667" s="75"/>
      <c r="K667" s="75"/>
    </row>
    <row r="668" ht="14.25" customHeight="1">
      <c r="B668" s="75"/>
      <c r="C668" s="75"/>
      <c r="D668" s="75"/>
      <c r="E668" s="75"/>
      <c r="F668" s="75"/>
      <c r="G668" s="75"/>
      <c r="H668" s="75"/>
      <c r="I668" s="75"/>
      <c r="J668" s="75"/>
      <c r="K668" s="75"/>
    </row>
    <row r="669" ht="14.25" customHeight="1">
      <c r="B669" s="75"/>
      <c r="C669" s="75"/>
      <c r="D669" s="75"/>
      <c r="E669" s="75"/>
      <c r="F669" s="75"/>
      <c r="G669" s="75"/>
      <c r="H669" s="75"/>
      <c r="I669" s="75"/>
      <c r="J669" s="75"/>
      <c r="K669" s="75"/>
    </row>
    <row r="670" ht="14.25" customHeight="1">
      <c r="B670" s="75"/>
      <c r="C670" s="75"/>
      <c r="D670" s="75"/>
      <c r="E670" s="75"/>
      <c r="F670" s="75"/>
      <c r="G670" s="75"/>
      <c r="H670" s="75"/>
      <c r="I670" s="75"/>
      <c r="J670" s="75"/>
      <c r="K670" s="75"/>
    </row>
    <row r="671" ht="14.25" customHeight="1">
      <c r="B671" s="75"/>
      <c r="C671" s="75"/>
      <c r="D671" s="75"/>
      <c r="E671" s="75"/>
      <c r="F671" s="75"/>
      <c r="G671" s="75"/>
      <c r="H671" s="75"/>
      <c r="I671" s="75"/>
      <c r="J671" s="75"/>
      <c r="K671" s="75"/>
    </row>
    <row r="672" ht="14.25" customHeight="1">
      <c r="B672" s="75"/>
      <c r="C672" s="75"/>
      <c r="D672" s="75"/>
      <c r="E672" s="75"/>
      <c r="F672" s="75"/>
      <c r="G672" s="75"/>
      <c r="H672" s="75"/>
      <c r="I672" s="75"/>
      <c r="J672" s="75"/>
      <c r="K672" s="75"/>
    </row>
    <row r="673" ht="14.25" customHeight="1">
      <c r="B673" s="75"/>
      <c r="C673" s="75"/>
      <c r="D673" s="75"/>
      <c r="E673" s="75"/>
      <c r="F673" s="75"/>
      <c r="G673" s="75"/>
      <c r="H673" s="75"/>
      <c r="I673" s="75"/>
      <c r="J673" s="75"/>
      <c r="K673" s="75"/>
    </row>
    <row r="674" ht="14.25" customHeight="1">
      <c r="B674" s="75"/>
      <c r="C674" s="75"/>
      <c r="D674" s="75"/>
      <c r="E674" s="75"/>
      <c r="F674" s="75"/>
      <c r="G674" s="75"/>
      <c r="H674" s="75"/>
      <c r="I674" s="75"/>
      <c r="J674" s="75"/>
      <c r="K674" s="75"/>
    </row>
    <row r="675" ht="14.25" customHeight="1">
      <c r="B675" s="75"/>
      <c r="C675" s="75"/>
      <c r="D675" s="75"/>
      <c r="E675" s="75"/>
      <c r="F675" s="75"/>
      <c r="G675" s="75"/>
      <c r="H675" s="75"/>
      <c r="I675" s="75"/>
      <c r="J675" s="75"/>
      <c r="K675" s="75"/>
    </row>
    <row r="676" ht="14.25" customHeight="1">
      <c r="B676" s="75"/>
      <c r="C676" s="75"/>
      <c r="D676" s="75"/>
      <c r="E676" s="75"/>
      <c r="F676" s="75"/>
      <c r="G676" s="75"/>
      <c r="H676" s="75"/>
      <c r="I676" s="75"/>
      <c r="J676" s="75"/>
      <c r="K676" s="75"/>
    </row>
    <row r="677" ht="14.25" customHeight="1">
      <c r="B677" s="75"/>
      <c r="C677" s="75"/>
      <c r="D677" s="75"/>
      <c r="E677" s="75"/>
      <c r="F677" s="75"/>
      <c r="G677" s="75"/>
      <c r="H677" s="75"/>
      <c r="I677" s="75"/>
      <c r="J677" s="75"/>
      <c r="K677" s="75"/>
    </row>
    <row r="678" ht="14.25" customHeight="1">
      <c r="B678" s="75"/>
      <c r="C678" s="75"/>
      <c r="D678" s="75"/>
      <c r="E678" s="75"/>
      <c r="F678" s="75"/>
      <c r="G678" s="75"/>
      <c r="H678" s="75"/>
      <c r="I678" s="75"/>
      <c r="J678" s="75"/>
      <c r="K678" s="75"/>
    </row>
    <row r="679" ht="14.25" customHeight="1">
      <c r="B679" s="75"/>
      <c r="C679" s="75"/>
      <c r="D679" s="75"/>
      <c r="E679" s="75"/>
      <c r="F679" s="75"/>
      <c r="G679" s="75"/>
      <c r="H679" s="75"/>
      <c r="I679" s="75"/>
      <c r="J679" s="75"/>
      <c r="K679" s="75"/>
    </row>
    <row r="680" ht="14.25" customHeight="1">
      <c r="B680" s="75"/>
      <c r="C680" s="75"/>
      <c r="D680" s="75"/>
      <c r="E680" s="75"/>
      <c r="F680" s="75"/>
      <c r="G680" s="75"/>
      <c r="H680" s="75"/>
      <c r="I680" s="75"/>
      <c r="J680" s="75"/>
      <c r="K680" s="75"/>
    </row>
    <row r="681" ht="14.25" customHeight="1">
      <c r="B681" s="75"/>
      <c r="C681" s="75"/>
      <c r="D681" s="75"/>
      <c r="E681" s="75"/>
      <c r="F681" s="75"/>
      <c r="G681" s="75"/>
      <c r="H681" s="75"/>
      <c r="I681" s="75"/>
      <c r="J681" s="75"/>
      <c r="K681" s="75"/>
    </row>
    <row r="682" ht="14.25" customHeight="1">
      <c r="B682" s="75"/>
      <c r="C682" s="75"/>
      <c r="D682" s="75"/>
      <c r="E682" s="75"/>
      <c r="F682" s="75"/>
      <c r="G682" s="75"/>
      <c r="H682" s="75"/>
      <c r="I682" s="75"/>
      <c r="J682" s="75"/>
      <c r="K682" s="75"/>
    </row>
    <row r="683" ht="14.25" customHeight="1">
      <c r="B683" s="75"/>
      <c r="C683" s="75"/>
      <c r="D683" s="75"/>
      <c r="E683" s="75"/>
      <c r="F683" s="75"/>
      <c r="G683" s="75"/>
      <c r="H683" s="75"/>
      <c r="I683" s="75"/>
      <c r="J683" s="75"/>
      <c r="K683" s="75"/>
    </row>
    <row r="684" ht="14.25" customHeight="1">
      <c r="B684" s="75"/>
      <c r="C684" s="75"/>
      <c r="D684" s="75"/>
      <c r="E684" s="75"/>
      <c r="F684" s="75"/>
      <c r="G684" s="75"/>
      <c r="H684" s="75"/>
      <c r="I684" s="75"/>
      <c r="J684" s="75"/>
      <c r="K684" s="75"/>
    </row>
    <row r="685" ht="14.25" customHeight="1">
      <c r="B685" s="75"/>
      <c r="C685" s="75"/>
      <c r="D685" s="75"/>
      <c r="E685" s="75"/>
      <c r="F685" s="75"/>
      <c r="G685" s="75"/>
      <c r="H685" s="75"/>
      <c r="I685" s="75"/>
      <c r="J685" s="75"/>
      <c r="K685" s="75"/>
    </row>
    <row r="686" ht="14.25" customHeight="1">
      <c r="B686" s="75"/>
      <c r="C686" s="75"/>
      <c r="D686" s="75"/>
      <c r="E686" s="75"/>
      <c r="F686" s="75"/>
      <c r="G686" s="75"/>
      <c r="H686" s="75"/>
      <c r="I686" s="75"/>
      <c r="J686" s="75"/>
      <c r="K686" s="75"/>
    </row>
    <row r="687" ht="14.25" customHeight="1">
      <c r="B687" s="75"/>
      <c r="C687" s="75"/>
      <c r="D687" s="75"/>
      <c r="E687" s="75"/>
      <c r="F687" s="75"/>
      <c r="G687" s="75"/>
      <c r="H687" s="75"/>
      <c r="I687" s="75"/>
      <c r="J687" s="75"/>
      <c r="K687" s="75"/>
    </row>
    <row r="688" ht="14.25" customHeight="1">
      <c r="B688" s="75"/>
      <c r="C688" s="75"/>
      <c r="D688" s="75"/>
      <c r="E688" s="75"/>
      <c r="F688" s="75"/>
      <c r="G688" s="75"/>
      <c r="H688" s="75"/>
      <c r="I688" s="75"/>
      <c r="J688" s="75"/>
      <c r="K688" s="75"/>
    </row>
    <row r="689" ht="14.25" customHeight="1">
      <c r="B689" s="75"/>
      <c r="C689" s="75"/>
      <c r="D689" s="75"/>
      <c r="E689" s="75"/>
      <c r="F689" s="75"/>
      <c r="G689" s="75"/>
      <c r="H689" s="75"/>
      <c r="I689" s="75"/>
      <c r="J689" s="75"/>
      <c r="K689" s="75"/>
    </row>
    <row r="690" ht="14.25" customHeight="1">
      <c r="B690" s="75"/>
      <c r="C690" s="75"/>
      <c r="D690" s="75"/>
      <c r="E690" s="75"/>
      <c r="F690" s="75"/>
      <c r="G690" s="75"/>
      <c r="H690" s="75"/>
      <c r="I690" s="75"/>
      <c r="J690" s="75"/>
      <c r="K690" s="75"/>
    </row>
    <row r="691" ht="14.25" customHeight="1">
      <c r="B691" s="75"/>
      <c r="C691" s="75"/>
      <c r="D691" s="75"/>
      <c r="E691" s="75"/>
      <c r="F691" s="75"/>
      <c r="G691" s="75"/>
      <c r="H691" s="75"/>
      <c r="I691" s="75"/>
      <c r="J691" s="75"/>
      <c r="K691" s="75"/>
    </row>
    <row r="692" ht="14.25" customHeight="1">
      <c r="B692" s="75"/>
      <c r="C692" s="75"/>
      <c r="D692" s="75"/>
      <c r="E692" s="75"/>
      <c r="F692" s="75"/>
      <c r="G692" s="75"/>
      <c r="H692" s="75"/>
      <c r="I692" s="75"/>
      <c r="J692" s="75"/>
      <c r="K692" s="75"/>
    </row>
    <row r="693" ht="14.25" customHeight="1">
      <c r="B693" s="75"/>
      <c r="C693" s="75"/>
      <c r="D693" s="75"/>
      <c r="E693" s="75"/>
      <c r="F693" s="75"/>
      <c r="G693" s="75"/>
      <c r="H693" s="75"/>
      <c r="I693" s="75"/>
      <c r="J693" s="75"/>
      <c r="K693" s="75"/>
    </row>
    <row r="694" ht="14.25" customHeight="1">
      <c r="B694" s="75"/>
      <c r="C694" s="75"/>
      <c r="D694" s="75"/>
      <c r="E694" s="75"/>
      <c r="F694" s="75"/>
      <c r="G694" s="75"/>
      <c r="H694" s="75"/>
      <c r="I694" s="75"/>
      <c r="J694" s="75"/>
      <c r="K694" s="75"/>
    </row>
    <row r="695" ht="14.25" customHeight="1">
      <c r="B695" s="75"/>
      <c r="C695" s="75"/>
      <c r="D695" s="75"/>
      <c r="E695" s="75"/>
      <c r="F695" s="75"/>
      <c r="G695" s="75"/>
      <c r="H695" s="75"/>
      <c r="I695" s="75"/>
      <c r="J695" s="75"/>
      <c r="K695" s="75"/>
    </row>
    <row r="696" ht="14.25" customHeight="1">
      <c r="B696" s="75"/>
      <c r="C696" s="75"/>
      <c r="D696" s="75"/>
      <c r="E696" s="75"/>
      <c r="F696" s="75"/>
      <c r="G696" s="75"/>
      <c r="H696" s="75"/>
      <c r="I696" s="75"/>
      <c r="J696" s="75"/>
      <c r="K696" s="75"/>
    </row>
    <row r="697" ht="14.25" customHeight="1">
      <c r="B697" s="75"/>
      <c r="C697" s="75"/>
      <c r="D697" s="75"/>
      <c r="E697" s="75"/>
      <c r="F697" s="75"/>
      <c r="G697" s="75"/>
      <c r="H697" s="75"/>
      <c r="I697" s="75"/>
      <c r="J697" s="75"/>
      <c r="K697" s="75"/>
    </row>
    <row r="698" ht="14.25" customHeight="1">
      <c r="B698" s="75"/>
      <c r="C698" s="75"/>
      <c r="D698" s="75"/>
      <c r="E698" s="75"/>
      <c r="F698" s="75"/>
      <c r="G698" s="75"/>
      <c r="H698" s="75"/>
      <c r="I698" s="75"/>
      <c r="J698" s="75"/>
      <c r="K698" s="75"/>
    </row>
    <row r="699" ht="14.25" customHeight="1">
      <c r="B699" s="75"/>
      <c r="C699" s="75"/>
      <c r="D699" s="75"/>
      <c r="E699" s="75"/>
      <c r="F699" s="75"/>
      <c r="G699" s="75"/>
      <c r="H699" s="75"/>
      <c r="I699" s="75"/>
      <c r="J699" s="75"/>
      <c r="K699" s="75"/>
    </row>
    <row r="700" ht="14.25" customHeight="1">
      <c r="B700" s="75"/>
      <c r="C700" s="75"/>
      <c r="D700" s="75"/>
      <c r="E700" s="75"/>
      <c r="F700" s="75"/>
      <c r="G700" s="75"/>
      <c r="H700" s="75"/>
      <c r="I700" s="75"/>
      <c r="J700" s="75"/>
      <c r="K700" s="75"/>
    </row>
    <row r="701" ht="14.25" customHeight="1">
      <c r="B701" s="75"/>
      <c r="C701" s="75"/>
      <c r="D701" s="75"/>
      <c r="E701" s="75"/>
      <c r="F701" s="75"/>
      <c r="G701" s="75"/>
      <c r="H701" s="75"/>
      <c r="I701" s="75"/>
      <c r="J701" s="75"/>
      <c r="K701" s="75"/>
    </row>
    <row r="702" ht="14.25" customHeight="1">
      <c r="B702" s="75"/>
      <c r="C702" s="75"/>
      <c r="D702" s="75"/>
      <c r="E702" s="75"/>
      <c r="F702" s="75"/>
      <c r="G702" s="75"/>
      <c r="H702" s="75"/>
      <c r="I702" s="75"/>
      <c r="J702" s="75"/>
      <c r="K702" s="75"/>
    </row>
    <row r="703" ht="14.25" customHeight="1">
      <c r="B703" s="75"/>
      <c r="C703" s="75"/>
      <c r="D703" s="75"/>
      <c r="E703" s="75"/>
      <c r="F703" s="75"/>
      <c r="G703" s="75"/>
      <c r="H703" s="75"/>
      <c r="I703" s="75"/>
      <c r="J703" s="75"/>
      <c r="K703" s="75"/>
    </row>
    <row r="704" ht="14.25" customHeight="1">
      <c r="B704" s="75"/>
      <c r="C704" s="75"/>
      <c r="D704" s="75"/>
      <c r="E704" s="75"/>
      <c r="F704" s="75"/>
      <c r="G704" s="75"/>
      <c r="H704" s="75"/>
      <c r="I704" s="75"/>
      <c r="J704" s="75"/>
      <c r="K704" s="75"/>
    </row>
    <row r="705" ht="14.25" customHeight="1">
      <c r="B705" s="75"/>
      <c r="C705" s="75"/>
      <c r="D705" s="75"/>
      <c r="E705" s="75"/>
      <c r="F705" s="75"/>
      <c r="G705" s="75"/>
      <c r="H705" s="75"/>
      <c r="I705" s="75"/>
      <c r="J705" s="75"/>
      <c r="K705" s="75"/>
    </row>
    <row r="706" ht="14.25" customHeight="1">
      <c r="B706" s="75"/>
      <c r="C706" s="75"/>
      <c r="D706" s="75"/>
      <c r="E706" s="75"/>
      <c r="F706" s="75"/>
      <c r="G706" s="75"/>
      <c r="H706" s="75"/>
      <c r="I706" s="75"/>
      <c r="J706" s="75"/>
      <c r="K706" s="75"/>
    </row>
    <row r="707" ht="14.25" customHeight="1">
      <c r="B707" s="75"/>
      <c r="C707" s="75"/>
      <c r="D707" s="75"/>
      <c r="E707" s="75"/>
      <c r="F707" s="75"/>
      <c r="G707" s="75"/>
      <c r="H707" s="75"/>
      <c r="I707" s="75"/>
      <c r="J707" s="75"/>
      <c r="K707" s="75"/>
    </row>
    <row r="708" ht="14.25" customHeight="1">
      <c r="B708" s="75"/>
      <c r="C708" s="75"/>
      <c r="D708" s="75"/>
      <c r="E708" s="75"/>
      <c r="F708" s="75"/>
      <c r="G708" s="75"/>
      <c r="H708" s="75"/>
      <c r="I708" s="75"/>
      <c r="J708" s="75"/>
      <c r="K708" s="75"/>
    </row>
    <row r="709" ht="14.25" customHeight="1">
      <c r="B709" s="75"/>
      <c r="C709" s="75"/>
      <c r="D709" s="75"/>
      <c r="E709" s="75"/>
      <c r="F709" s="75"/>
      <c r="G709" s="75"/>
      <c r="H709" s="75"/>
      <c r="I709" s="75"/>
      <c r="J709" s="75"/>
      <c r="K709" s="75"/>
    </row>
    <row r="710" ht="14.25" customHeight="1">
      <c r="B710" s="75"/>
      <c r="C710" s="75"/>
      <c r="D710" s="75"/>
      <c r="E710" s="75"/>
      <c r="F710" s="75"/>
      <c r="G710" s="75"/>
      <c r="H710" s="75"/>
      <c r="I710" s="75"/>
      <c r="J710" s="75"/>
      <c r="K710" s="75"/>
    </row>
    <row r="711" ht="14.25" customHeight="1">
      <c r="B711" s="75"/>
      <c r="C711" s="75"/>
      <c r="D711" s="75"/>
      <c r="E711" s="75"/>
      <c r="F711" s="75"/>
      <c r="G711" s="75"/>
      <c r="H711" s="75"/>
      <c r="I711" s="75"/>
      <c r="J711" s="75"/>
      <c r="K711" s="75"/>
    </row>
    <row r="712" ht="14.25" customHeight="1">
      <c r="B712" s="75"/>
      <c r="C712" s="75"/>
      <c r="D712" s="75"/>
      <c r="E712" s="75"/>
      <c r="F712" s="75"/>
      <c r="G712" s="75"/>
      <c r="H712" s="75"/>
      <c r="I712" s="75"/>
      <c r="J712" s="75"/>
      <c r="K712" s="75"/>
    </row>
    <row r="713" ht="14.25" customHeight="1">
      <c r="B713" s="75"/>
      <c r="C713" s="75"/>
      <c r="D713" s="75"/>
      <c r="E713" s="75"/>
      <c r="F713" s="75"/>
      <c r="G713" s="75"/>
      <c r="H713" s="75"/>
      <c r="I713" s="75"/>
      <c r="J713" s="75"/>
      <c r="K713" s="75"/>
    </row>
    <row r="714" ht="14.25" customHeight="1">
      <c r="B714" s="75"/>
      <c r="C714" s="75"/>
      <c r="D714" s="75"/>
      <c r="E714" s="75"/>
      <c r="F714" s="75"/>
      <c r="G714" s="75"/>
      <c r="H714" s="75"/>
      <c r="I714" s="75"/>
      <c r="J714" s="75"/>
      <c r="K714" s="75"/>
    </row>
    <row r="715" ht="14.25" customHeight="1">
      <c r="B715" s="75"/>
      <c r="C715" s="75"/>
      <c r="D715" s="75"/>
      <c r="E715" s="75"/>
      <c r="F715" s="75"/>
      <c r="G715" s="75"/>
      <c r="H715" s="75"/>
      <c r="I715" s="75"/>
      <c r="J715" s="75"/>
      <c r="K715" s="75"/>
    </row>
    <row r="716" ht="14.25" customHeight="1">
      <c r="B716" s="75"/>
      <c r="C716" s="75"/>
      <c r="D716" s="75"/>
      <c r="E716" s="75"/>
      <c r="F716" s="75"/>
      <c r="G716" s="75"/>
      <c r="H716" s="75"/>
      <c r="I716" s="75"/>
      <c r="J716" s="75"/>
      <c r="K716" s="75"/>
    </row>
    <row r="717" ht="14.25" customHeight="1">
      <c r="B717" s="75"/>
      <c r="C717" s="75"/>
      <c r="D717" s="75"/>
      <c r="E717" s="75"/>
      <c r="F717" s="75"/>
      <c r="G717" s="75"/>
      <c r="H717" s="75"/>
      <c r="I717" s="75"/>
      <c r="J717" s="75"/>
      <c r="K717" s="75"/>
    </row>
    <row r="718" ht="14.25" customHeight="1">
      <c r="B718" s="75"/>
      <c r="C718" s="75"/>
      <c r="D718" s="75"/>
      <c r="E718" s="75"/>
      <c r="F718" s="75"/>
      <c r="G718" s="75"/>
      <c r="H718" s="75"/>
      <c r="I718" s="75"/>
      <c r="J718" s="75"/>
      <c r="K718" s="75"/>
    </row>
    <row r="719" ht="14.25" customHeight="1">
      <c r="B719" s="75"/>
      <c r="C719" s="75"/>
      <c r="D719" s="75"/>
      <c r="E719" s="75"/>
      <c r="F719" s="75"/>
      <c r="G719" s="75"/>
      <c r="H719" s="75"/>
      <c r="I719" s="75"/>
      <c r="J719" s="75"/>
      <c r="K719" s="75"/>
    </row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</sheetData>
  <mergeCells count="12">
    <mergeCell ref="Q2:Q3"/>
    <mergeCell ref="R2:S2"/>
    <mergeCell ref="T2:U2"/>
    <mergeCell ref="V2:X2"/>
    <mergeCell ref="A1:K1"/>
    <mergeCell ref="L1:Y1"/>
    <mergeCell ref="L2:L3"/>
    <mergeCell ref="M2:M3"/>
    <mergeCell ref="N2:N3"/>
    <mergeCell ref="O2:O3"/>
    <mergeCell ref="P2:P3"/>
    <mergeCell ref="Y2:Y3"/>
  </mergeCells>
  <dataValidations>
    <dataValidation type="list" allowBlank="1" showErrorMessage="1" sqref="B4:B10">
      <formula1>#REF!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5.86"/>
    <col customWidth="1" min="3" max="3" width="17.14"/>
    <col customWidth="1" min="4" max="4" width="16.0"/>
    <col customWidth="1" min="5" max="5" width="13.57"/>
    <col customWidth="1" min="6" max="6" width="44.0"/>
    <col customWidth="1" min="7" max="7" width="30.86"/>
    <col customWidth="1" min="10" max="10" width="14.43"/>
    <col customWidth="1" min="11" max="11" width="16.0"/>
    <col customWidth="1" min="13" max="13" width="39.71"/>
    <col customWidth="1" min="14" max="14" width="34.86"/>
  </cols>
  <sheetData>
    <row r="1" ht="30.0" customHeight="1">
      <c r="A1" s="130" t="s">
        <v>1278</v>
      </c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</row>
    <row r="2" ht="38.25" customHeight="1">
      <c r="A2" s="89" t="s">
        <v>0</v>
      </c>
      <c r="B2" s="89" t="s">
        <v>1</v>
      </c>
      <c r="C2" s="89" t="s">
        <v>2</v>
      </c>
      <c r="D2" s="89" t="s">
        <v>3</v>
      </c>
      <c r="E2" s="89" t="s">
        <v>788</v>
      </c>
      <c r="F2" s="89" t="s">
        <v>1279</v>
      </c>
      <c r="G2" s="89" t="s">
        <v>1280</v>
      </c>
      <c r="H2" s="89" t="s">
        <v>0</v>
      </c>
      <c r="I2" s="89" t="s">
        <v>1</v>
      </c>
      <c r="J2" s="89" t="s">
        <v>2</v>
      </c>
      <c r="K2" s="89" t="s">
        <v>3</v>
      </c>
      <c r="L2" s="89" t="s">
        <v>1281</v>
      </c>
      <c r="M2" s="89" t="s">
        <v>1282</v>
      </c>
      <c r="N2" s="89" t="s">
        <v>1283</v>
      </c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</row>
    <row r="3" ht="36.75" customHeight="1">
      <c r="A3" s="42" t="s">
        <v>25</v>
      </c>
      <c r="B3" s="42" t="s">
        <v>26</v>
      </c>
      <c r="C3" s="42" t="s">
        <v>27</v>
      </c>
      <c r="D3" s="42" t="s">
        <v>28</v>
      </c>
      <c r="E3" s="42">
        <v>5851084.0</v>
      </c>
      <c r="F3" s="42" t="s">
        <v>792</v>
      </c>
      <c r="G3" s="42" t="s">
        <v>28</v>
      </c>
      <c r="H3" s="42" t="s">
        <v>25</v>
      </c>
      <c r="I3" s="42" t="s">
        <v>26</v>
      </c>
      <c r="J3" s="42" t="s">
        <v>27</v>
      </c>
      <c r="K3" s="42" t="s">
        <v>28</v>
      </c>
      <c r="L3" s="42">
        <v>2080028.0</v>
      </c>
      <c r="M3" s="42" t="s">
        <v>964</v>
      </c>
      <c r="N3" s="42" t="s">
        <v>28</v>
      </c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</row>
    <row r="4" ht="36.75" customHeight="1">
      <c r="A4" s="42" t="s">
        <v>25</v>
      </c>
      <c r="B4" s="42" t="s">
        <v>26</v>
      </c>
      <c r="C4" s="42" t="s">
        <v>27</v>
      </c>
      <c r="D4" s="42" t="s">
        <v>29</v>
      </c>
      <c r="E4" s="42">
        <v>2082349.0</v>
      </c>
      <c r="F4" s="50" t="s">
        <v>794</v>
      </c>
      <c r="G4" s="42" t="s">
        <v>29</v>
      </c>
      <c r="H4" s="42" t="s">
        <v>25</v>
      </c>
      <c r="I4" s="42" t="s">
        <v>26</v>
      </c>
      <c r="J4" s="42" t="s">
        <v>27</v>
      </c>
      <c r="K4" s="42" t="s">
        <v>29</v>
      </c>
      <c r="L4" s="42">
        <v>2082349.0</v>
      </c>
      <c r="M4" s="42" t="s">
        <v>794</v>
      </c>
      <c r="N4" s="42" t="s">
        <v>29</v>
      </c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</row>
    <row r="5" ht="36.75" customHeight="1">
      <c r="A5" s="42" t="s">
        <v>25</v>
      </c>
      <c r="B5" s="42" t="s">
        <v>26</v>
      </c>
      <c r="C5" s="42" t="s">
        <v>27</v>
      </c>
      <c r="D5" s="42" t="s">
        <v>30</v>
      </c>
      <c r="E5" s="42">
        <v>2906562.0</v>
      </c>
      <c r="F5" s="42" t="s">
        <v>795</v>
      </c>
      <c r="G5" s="42" t="s">
        <v>30</v>
      </c>
      <c r="H5" s="42" t="s">
        <v>25</v>
      </c>
      <c r="I5" s="42" t="s">
        <v>26</v>
      </c>
      <c r="J5" s="42" t="s">
        <v>27</v>
      </c>
      <c r="K5" s="42" t="s">
        <v>30</v>
      </c>
      <c r="L5" s="42">
        <v>2081202.0</v>
      </c>
      <c r="M5" s="42" t="s">
        <v>966</v>
      </c>
      <c r="N5" s="42" t="s">
        <v>30</v>
      </c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</row>
    <row r="6" ht="36.75" customHeight="1">
      <c r="A6" s="42" t="s">
        <v>25</v>
      </c>
      <c r="B6" s="42" t="s">
        <v>26</v>
      </c>
      <c r="C6" s="42" t="s">
        <v>27</v>
      </c>
      <c r="D6" s="42" t="s">
        <v>31</v>
      </c>
      <c r="E6" s="42">
        <v>2906562.0</v>
      </c>
      <c r="F6" s="42" t="s">
        <v>795</v>
      </c>
      <c r="G6" s="42" t="s">
        <v>30</v>
      </c>
      <c r="H6" s="42" t="s">
        <v>25</v>
      </c>
      <c r="I6" s="42" t="s">
        <v>26</v>
      </c>
      <c r="J6" s="42" t="s">
        <v>27</v>
      </c>
      <c r="K6" s="42" t="s">
        <v>31</v>
      </c>
      <c r="L6" s="42">
        <v>2081202.0</v>
      </c>
      <c r="M6" s="42" t="s">
        <v>966</v>
      </c>
      <c r="N6" s="42" t="s">
        <v>30</v>
      </c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</row>
    <row r="7" ht="36.75" customHeight="1">
      <c r="A7" s="42" t="s">
        <v>25</v>
      </c>
      <c r="B7" s="42" t="s">
        <v>26</v>
      </c>
      <c r="C7" s="42" t="s">
        <v>27</v>
      </c>
      <c r="D7" s="42" t="s">
        <v>32</v>
      </c>
      <c r="E7" s="42">
        <v>6020917.0</v>
      </c>
      <c r="F7" s="50" t="s">
        <v>796</v>
      </c>
      <c r="G7" s="42" t="s">
        <v>32</v>
      </c>
      <c r="H7" s="42" t="s">
        <v>25</v>
      </c>
      <c r="I7" s="42" t="s">
        <v>26</v>
      </c>
      <c r="J7" s="42" t="s">
        <v>27</v>
      </c>
      <c r="K7" s="42" t="s">
        <v>32</v>
      </c>
      <c r="L7" s="42">
        <v>6020917.0</v>
      </c>
      <c r="M7" s="42" t="s">
        <v>796</v>
      </c>
      <c r="N7" s="42" t="s">
        <v>32</v>
      </c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</row>
    <row r="8" ht="36.75" customHeight="1">
      <c r="A8" s="42" t="s">
        <v>25</v>
      </c>
      <c r="B8" s="42" t="s">
        <v>26</v>
      </c>
      <c r="C8" s="42" t="s">
        <v>27</v>
      </c>
      <c r="D8" s="42" t="s">
        <v>33</v>
      </c>
      <c r="E8" s="42">
        <v>2035081.0</v>
      </c>
      <c r="F8" s="42" t="s">
        <v>795</v>
      </c>
      <c r="G8" s="42" t="s">
        <v>33</v>
      </c>
      <c r="H8" s="42" t="s">
        <v>25</v>
      </c>
      <c r="I8" s="42" t="s">
        <v>26</v>
      </c>
      <c r="J8" s="42" t="s">
        <v>27</v>
      </c>
      <c r="K8" s="42" t="s">
        <v>33</v>
      </c>
      <c r="L8" s="42">
        <v>2027356.0</v>
      </c>
      <c r="M8" s="42" t="s">
        <v>967</v>
      </c>
      <c r="N8" s="42" t="s">
        <v>33</v>
      </c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</row>
    <row r="9" ht="36.75" customHeight="1">
      <c r="A9" s="42" t="s">
        <v>25</v>
      </c>
      <c r="B9" s="42" t="s">
        <v>26</v>
      </c>
      <c r="C9" s="42" t="s">
        <v>27</v>
      </c>
      <c r="D9" s="42" t="s">
        <v>34</v>
      </c>
      <c r="E9" s="42">
        <v>2038196.0</v>
      </c>
      <c r="F9" s="42" t="s">
        <v>797</v>
      </c>
      <c r="G9" s="42" t="s">
        <v>34</v>
      </c>
      <c r="H9" s="42" t="s">
        <v>25</v>
      </c>
      <c r="I9" s="42" t="s">
        <v>26</v>
      </c>
      <c r="J9" s="42" t="s">
        <v>27</v>
      </c>
      <c r="K9" s="42" t="s">
        <v>34</v>
      </c>
      <c r="L9" s="42">
        <v>2082594.0</v>
      </c>
      <c r="M9" s="42" t="s">
        <v>968</v>
      </c>
      <c r="N9" s="42" t="s">
        <v>34</v>
      </c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</row>
    <row r="10" ht="36.75" customHeight="1">
      <c r="A10" s="42" t="s">
        <v>35</v>
      </c>
      <c r="B10" s="42" t="s">
        <v>26</v>
      </c>
      <c r="C10" s="42" t="s">
        <v>36</v>
      </c>
      <c r="D10" s="42" t="s">
        <v>37</v>
      </c>
      <c r="E10" s="42">
        <v>9001808.0</v>
      </c>
      <c r="F10" s="42" t="s">
        <v>798</v>
      </c>
      <c r="G10" s="42" t="s">
        <v>37</v>
      </c>
      <c r="H10" s="42" t="s">
        <v>35</v>
      </c>
      <c r="I10" s="42" t="s">
        <v>26</v>
      </c>
      <c r="J10" s="42" t="s">
        <v>36</v>
      </c>
      <c r="K10" s="42" t="s">
        <v>37</v>
      </c>
      <c r="L10" s="42">
        <v>6451098.0</v>
      </c>
      <c r="M10" s="42" t="s">
        <v>969</v>
      </c>
      <c r="N10" s="42" t="s">
        <v>37</v>
      </c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</row>
    <row r="11" ht="36.75" customHeight="1">
      <c r="A11" s="42" t="s">
        <v>35</v>
      </c>
      <c r="B11" s="42" t="s">
        <v>26</v>
      </c>
      <c r="C11" s="42" t="s">
        <v>36</v>
      </c>
      <c r="D11" s="42" t="s">
        <v>37</v>
      </c>
      <c r="E11" s="42">
        <v>2059304.0</v>
      </c>
      <c r="F11" s="42" t="s">
        <v>799</v>
      </c>
      <c r="G11" s="42" t="s">
        <v>37</v>
      </c>
      <c r="H11" s="42" t="s">
        <v>35</v>
      </c>
      <c r="I11" s="42" t="s">
        <v>26</v>
      </c>
      <c r="J11" s="42" t="s">
        <v>36</v>
      </c>
      <c r="K11" s="42" t="s">
        <v>38</v>
      </c>
      <c r="L11" s="42">
        <v>2080052.0</v>
      </c>
      <c r="M11" s="42" t="s">
        <v>970</v>
      </c>
      <c r="N11" s="42" t="s">
        <v>43</v>
      </c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</row>
    <row r="12" ht="36.75" customHeight="1">
      <c r="A12" s="42" t="s">
        <v>35</v>
      </c>
      <c r="B12" s="42" t="s">
        <v>26</v>
      </c>
      <c r="C12" s="42" t="s">
        <v>36</v>
      </c>
      <c r="D12" s="42" t="s">
        <v>37</v>
      </c>
      <c r="E12" s="42">
        <v>2773848.0</v>
      </c>
      <c r="F12" s="42" t="s">
        <v>800</v>
      </c>
      <c r="G12" s="42" t="s">
        <v>37</v>
      </c>
      <c r="H12" s="42" t="s">
        <v>35</v>
      </c>
      <c r="I12" s="42" t="s">
        <v>26</v>
      </c>
      <c r="J12" s="42" t="s">
        <v>36</v>
      </c>
      <c r="K12" s="42" t="s">
        <v>39</v>
      </c>
      <c r="L12" s="42">
        <v>2080079.0</v>
      </c>
      <c r="M12" s="42" t="s">
        <v>971</v>
      </c>
      <c r="N12" s="42" t="s">
        <v>39</v>
      </c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</row>
    <row r="13" ht="36.75" customHeight="1">
      <c r="A13" s="42" t="s">
        <v>35</v>
      </c>
      <c r="B13" s="42" t="s">
        <v>26</v>
      </c>
      <c r="C13" s="42" t="s">
        <v>36</v>
      </c>
      <c r="D13" s="42" t="s">
        <v>37</v>
      </c>
      <c r="E13" s="42">
        <v>2773228.0</v>
      </c>
      <c r="F13" s="42" t="s">
        <v>801</v>
      </c>
      <c r="G13" s="42" t="s">
        <v>37</v>
      </c>
      <c r="H13" s="42" t="s">
        <v>35</v>
      </c>
      <c r="I13" s="42" t="s">
        <v>26</v>
      </c>
      <c r="J13" s="42" t="s">
        <v>36</v>
      </c>
      <c r="K13" s="42" t="s">
        <v>40</v>
      </c>
      <c r="L13" s="42">
        <v>2773333.0</v>
      </c>
      <c r="M13" s="42" t="s">
        <v>972</v>
      </c>
      <c r="N13" s="42" t="s">
        <v>40</v>
      </c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</row>
    <row r="14" ht="36.75" customHeight="1">
      <c r="A14" s="42" t="s">
        <v>35</v>
      </c>
      <c r="B14" s="42" t="s">
        <v>26</v>
      </c>
      <c r="C14" s="42" t="s">
        <v>36</v>
      </c>
      <c r="D14" s="42" t="s">
        <v>37</v>
      </c>
      <c r="E14" s="42">
        <v>2773856.0</v>
      </c>
      <c r="F14" s="42" t="s">
        <v>802</v>
      </c>
      <c r="G14" s="42" t="s">
        <v>37</v>
      </c>
      <c r="H14" s="42" t="s">
        <v>35</v>
      </c>
      <c r="I14" s="42" t="s">
        <v>26</v>
      </c>
      <c r="J14" s="42" t="s">
        <v>36</v>
      </c>
      <c r="K14" s="42" t="s">
        <v>41</v>
      </c>
      <c r="L14" s="42">
        <v>5200105.0</v>
      </c>
      <c r="M14" s="42" t="s">
        <v>973</v>
      </c>
      <c r="N14" s="42" t="s">
        <v>41</v>
      </c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</row>
    <row r="15" ht="36.75" customHeight="1">
      <c r="A15" s="42" t="s">
        <v>35</v>
      </c>
      <c r="B15" s="42" t="s">
        <v>26</v>
      </c>
      <c r="C15" s="42" t="s">
        <v>36</v>
      </c>
      <c r="D15" s="42" t="s">
        <v>37</v>
      </c>
      <c r="E15" s="42">
        <v>3044114.0</v>
      </c>
      <c r="F15" s="42" t="s">
        <v>803</v>
      </c>
      <c r="G15" s="42" t="s">
        <v>37</v>
      </c>
      <c r="H15" s="42" t="s">
        <v>35</v>
      </c>
      <c r="I15" s="42" t="s">
        <v>26</v>
      </c>
      <c r="J15" s="42" t="s">
        <v>36</v>
      </c>
      <c r="K15" s="42" t="s">
        <v>41</v>
      </c>
      <c r="L15" s="42">
        <v>2040069.0</v>
      </c>
      <c r="M15" s="42" t="s">
        <v>974</v>
      </c>
      <c r="N15" s="42" t="s">
        <v>41</v>
      </c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</row>
    <row r="16" ht="36.75" customHeight="1">
      <c r="A16" s="42" t="s">
        <v>35</v>
      </c>
      <c r="B16" s="42" t="s">
        <v>26</v>
      </c>
      <c r="C16" s="42" t="s">
        <v>36</v>
      </c>
      <c r="D16" s="42" t="s">
        <v>37</v>
      </c>
      <c r="E16" s="42">
        <v>7047088.0</v>
      </c>
      <c r="F16" s="42" t="s">
        <v>804</v>
      </c>
      <c r="G16" s="42" t="s">
        <v>37</v>
      </c>
      <c r="H16" s="42" t="s">
        <v>35</v>
      </c>
      <c r="I16" s="42" t="s">
        <v>26</v>
      </c>
      <c r="J16" s="42" t="s">
        <v>36</v>
      </c>
      <c r="K16" s="42" t="s">
        <v>41</v>
      </c>
      <c r="L16" s="42">
        <v>2080338.0</v>
      </c>
      <c r="M16" s="42" t="s">
        <v>975</v>
      </c>
      <c r="N16" s="42" t="s">
        <v>41</v>
      </c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</row>
    <row r="17" ht="36.75" customHeight="1">
      <c r="A17" s="42" t="s">
        <v>35</v>
      </c>
      <c r="B17" s="42" t="s">
        <v>26</v>
      </c>
      <c r="C17" s="42" t="s">
        <v>36</v>
      </c>
      <c r="D17" s="42" t="s">
        <v>38</v>
      </c>
      <c r="E17" s="42">
        <v>7532245.0</v>
      </c>
      <c r="F17" s="42" t="s">
        <v>805</v>
      </c>
      <c r="G17" s="42" t="s">
        <v>806</v>
      </c>
      <c r="H17" s="42" t="s">
        <v>35</v>
      </c>
      <c r="I17" s="42" t="s">
        <v>26</v>
      </c>
      <c r="J17" s="42" t="s">
        <v>36</v>
      </c>
      <c r="K17" s="42" t="s">
        <v>42</v>
      </c>
      <c r="L17" s="42">
        <v>2078562.0</v>
      </c>
      <c r="M17" s="42" t="s">
        <v>976</v>
      </c>
      <c r="N17" s="42" t="s">
        <v>42</v>
      </c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</row>
    <row r="18" ht="36.75" customHeight="1">
      <c r="A18" s="42" t="s">
        <v>35</v>
      </c>
      <c r="B18" s="42" t="s">
        <v>26</v>
      </c>
      <c r="C18" s="42" t="s">
        <v>36</v>
      </c>
      <c r="D18" s="42" t="s">
        <v>39</v>
      </c>
      <c r="E18" s="42">
        <v>7627475.0</v>
      </c>
      <c r="F18" s="42" t="s">
        <v>807</v>
      </c>
      <c r="G18" s="42" t="s">
        <v>39</v>
      </c>
      <c r="H18" s="42" t="s">
        <v>35</v>
      </c>
      <c r="I18" s="42" t="s">
        <v>26</v>
      </c>
      <c r="J18" s="42" t="s">
        <v>36</v>
      </c>
      <c r="K18" s="42" t="s">
        <v>43</v>
      </c>
      <c r="L18" s="42">
        <v>2080052.0</v>
      </c>
      <c r="M18" s="42" t="s">
        <v>970</v>
      </c>
      <c r="N18" s="42" t="s">
        <v>43</v>
      </c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</row>
    <row r="19" ht="36.75" customHeight="1">
      <c r="A19" s="42" t="s">
        <v>35</v>
      </c>
      <c r="B19" s="42" t="s">
        <v>26</v>
      </c>
      <c r="C19" s="42" t="s">
        <v>36</v>
      </c>
      <c r="D19" s="42" t="s">
        <v>40</v>
      </c>
      <c r="E19" s="42">
        <v>6016081.0</v>
      </c>
      <c r="F19" s="42" t="s">
        <v>808</v>
      </c>
      <c r="G19" s="42" t="s">
        <v>40</v>
      </c>
      <c r="H19" s="42" t="s">
        <v>35</v>
      </c>
      <c r="I19" s="42" t="s">
        <v>26</v>
      </c>
      <c r="J19" s="42" t="s">
        <v>36</v>
      </c>
      <c r="K19" s="103" t="s">
        <v>44</v>
      </c>
      <c r="L19" s="42">
        <v>2080079.0</v>
      </c>
      <c r="M19" s="42" t="s">
        <v>971</v>
      </c>
      <c r="N19" s="42" t="s">
        <v>39</v>
      </c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</row>
    <row r="20" ht="36.75" customHeight="1">
      <c r="A20" s="42" t="s">
        <v>35</v>
      </c>
      <c r="B20" s="42" t="s">
        <v>26</v>
      </c>
      <c r="C20" s="42" t="s">
        <v>36</v>
      </c>
      <c r="D20" s="42" t="s">
        <v>41</v>
      </c>
      <c r="E20" s="42">
        <v>2090554.0</v>
      </c>
      <c r="F20" s="42" t="s">
        <v>809</v>
      </c>
      <c r="G20" s="42" t="s">
        <v>41</v>
      </c>
      <c r="H20" s="42" t="s">
        <v>35</v>
      </c>
      <c r="I20" s="42" t="s">
        <v>26</v>
      </c>
      <c r="J20" s="42" t="s">
        <v>36</v>
      </c>
      <c r="K20" s="42" t="s">
        <v>45</v>
      </c>
      <c r="L20" s="42">
        <v>2080052.0</v>
      </c>
      <c r="M20" s="42" t="s">
        <v>970</v>
      </c>
      <c r="N20" s="42" t="s">
        <v>43</v>
      </c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</row>
    <row r="21" ht="36.75" customHeight="1">
      <c r="A21" s="42" t="s">
        <v>35</v>
      </c>
      <c r="B21" s="42" t="s">
        <v>26</v>
      </c>
      <c r="C21" s="42" t="s">
        <v>36</v>
      </c>
      <c r="D21" s="42" t="s">
        <v>41</v>
      </c>
      <c r="E21" s="42">
        <v>2061082.0</v>
      </c>
      <c r="F21" s="42" t="s">
        <v>810</v>
      </c>
      <c r="G21" s="42" t="s">
        <v>41</v>
      </c>
      <c r="H21" s="42" t="s">
        <v>35</v>
      </c>
      <c r="I21" s="42" t="s">
        <v>26</v>
      </c>
      <c r="J21" s="42" t="s">
        <v>36</v>
      </c>
      <c r="K21" s="42" t="s">
        <v>46</v>
      </c>
      <c r="L21" s="42">
        <v>2083140.0</v>
      </c>
      <c r="M21" s="42" t="s">
        <v>977</v>
      </c>
      <c r="N21" s="42" t="s">
        <v>46</v>
      </c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</row>
    <row r="22" ht="36.75" customHeight="1">
      <c r="A22" s="42" t="s">
        <v>35</v>
      </c>
      <c r="B22" s="42" t="s">
        <v>26</v>
      </c>
      <c r="C22" s="42" t="s">
        <v>36</v>
      </c>
      <c r="D22" s="42" t="s">
        <v>41</v>
      </c>
      <c r="E22" s="42">
        <v>2036010.0</v>
      </c>
      <c r="F22" s="42" t="s">
        <v>811</v>
      </c>
      <c r="G22" s="42" t="s">
        <v>41</v>
      </c>
      <c r="H22" s="42" t="s">
        <v>35</v>
      </c>
      <c r="I22" s="42" t="s">
        <v>26</v>
      </c>
      <c r="J22" s="42" t="s">
        <v>36</v>
      </c>
      <c r="K22" s="42" t="s">
        <v>47</v>
      </c>
      <c r="L22" s="42">
        <v>2079860.0</v>
      </c>
      <c r="M22" s="42" t="s">
        <v>978</v>
      </c>
      <c r="N22" s="42" t="s">
        <v>47</v>
      </c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</row>
    <row r="23" ht="36.75" customHeight="1">
      <c r="A23" s="42" t="s">
        <v>35</v>
      </c>
      <c r="B23" s="42" t="s">
        <v>26</v>
      </c>
      <c r="C23" s="42" t="s">
        <v>36</v>
      </c>
      <c r="D23" s="42" t="s">
        <v>41</v>
      </c>
      <c r="E23" s="42">
        <v>4048296.0</v>
      </c>
      <c r="F23" s="42" t="s">
        <v>812</v>
      </c>
      <c r="G23" s="42" t="s">
        <v>41</v>
      </c>
      <c r="H23" s="42" t="s">
        <v>48</v>
      </c>
      <c r="I23" s="26" t="s">
        <v>26</v>
      </c>
      <c r="J23" s="26" t="s">
        <v>49</v>
      </c>
      <c r="K23" s="26" t="s">
        <v>50</v>
      </c>
      <c r="L23" s="26">
        <v>7580770.0</v>
      </c>
      <c r="M23" s="26" t="s">
        <v>979</v>
      </c>
      <c r="N23" s="26" t="s">
        <v>50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</row>
    <row r="24" ht="36.75" customHeight="1">
      <c r="A24" s="42" t="s">
        <v>35</v>
      </c>
      <c r="B24" s="42" t="s">
        <v>26</v>
      </c>
      <c r="C24" s="42" t="s">
        <v>36</v>
      </c>
      <c r="D24" s="42" t="s">
        <v>41</v>
      </c>
      <c r="E24" s="42">
        <v>2718804.0</v>
      </c>
      <c r="F24" s="42" t="s">
        <v>813</v>
      </c>
      <c r="G24" s="42" t="s">
        <v>41</v>
      </c>
      <c r="H24" s="42" t="s">
        <v>48</v>
      </c>
      <c r="I24" s="26" t="s">
        <v>26</v>
      </c>
      <c r="J24" s="26" t="s">
        <v>49</v>
      </c>
      <c r="K24" s="26" t="s">
        <v>51</v>
      </c>
      <c r="L24" s="26">
        <v>2096196.0</v>
      </c>
      <c r="M24" s="26" t="s">
        <v>980</v>
      </c>
      <c r="N24" s="26" t="s">
        <v>51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</row>
    <row r="25" ht="36.75" customHeight="1">
      <c r="A25" s="42" t="s">
        <v>35</v>
      </c>
      <c r="B25" s="42" t="s">
        <v>26</v>
      </c>
      <c r="C25" s="42" t="s">
        <v>36</v>
      </c>
      <c r="D25" s="42" t="s">
        <v>41</v>
      </c>
      <c r="E25" s="42">
        <v>2040085.0</v>
      </c>
      <c r="F25" s="42" t="s">
        <v>814</v>
      </c>
      <c r="G25" s="42" t="s">
        <v>41</v>
      </c>
      <c r="H25" s="42" t="s">
        <v>48</v>
      </c>
      <c r="I25" s="26" t="s">
        <v>26</v>
      </c>
      <c r="J25" s="26" t="s">
        <v>49</v>
      </c>
      <c r="K25" s="26" t="s">
        <v>52</v>
      </c>
      <c r="L25" s="26">
        <v>2083876.0</v>
      </c>
      <c r="M25" s="26" t="s">
        <v>981</v>
      </c>
      <c r="N25" s="26" t="s">
        <v>52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</row>
    <row r="26" ht="36.75" customHeight="1">
      <c r="A26" s="42" t="s">
        <v>35</v>
      </c>
      <c r="B26" s="42" t="s">
        <v>26</v>
      </c>
      <c r="C26" s="42" t="s">
        <v>36</v>
      </c>
      <c r="D26" s="42" t="s">
        <v>41</v>
      </c>
      <c r="E26" s="42">
        <v>2074257.0</v>
      </c>
      <c r="F26" s="42" t="s">
        <v>815</v>
      </c>
      <c r="G26" s="42" t="s">
        <v>41</v>
      </c>
      <c r="H26" s="42" t="s">
        <v>48</v>
      </c>
      <c r="I26" s="26" t="s">
        <v>26</v>
      </c>
      <c r="J26" s="26" t="s">
        <v>49</v>
      </c>
      <c r="K26" s="26" t="s">
        <v>49</v>
      </c>
      <c r="L26" s="26">
        <v>7580770.0</v>
      </c>
      <c r="M26" s="26" t="s">
        <v>979</v>
      </c>
      <c r="N26" s="26" t="s">
        <v>50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</row>
    <row r="27" ht="36.75" customHeight="1">
      <c r="A27" s="42" t="s">
        <v>35</v>
      </c>
      <c r="B27" s="42" t="s">
        <v>26</v>
      </c>
      <c r="C27" s="42" t="s">
        <v>36</v>
      </c>
      <c r="D27" s="42" t="s">
        <v>42</v>
      </c>
      <c r="E27" s="42">
        <v>2718111.0</v>
      </c>
      <c r="F27" s="42" t="s">
        <v>816</v>
      </c>
      <c r="G27" s="42" t="s">
        <v>42</v>
      </c>
      <c r="H27" s="42" t="s">
        <v>48</v>
      </c>
      <c r="I27" s="26" t="s">
        <v>26</v>
      </c>
      <c r="J27" s="26" t="s">
        <v>49</v>
      </c>
      <c r="K27" s="26" t="s">
        <v>53</v>
      </c>
      <c r="L27" s="26">
        <v>7580770.0</v>
      </c>
      <c r="M27" s="26" t="s">
        <v>979</v>
      </c>
      <c r="N27" s="26" t="s">
        <v>50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</row>
    <row r="28" ht="36.75" customHeight="1">
      <c r="A28" s="42" t="s">
        <v>35</v>
      </c>
      <c r="B28" s="42" t="s">
        <v>26</v>
      </c>
      <c r="C28" s="42" t="s">
        <v>36</v>
      </c>
      <c r="D28" s="42" t="s">
        <v>43</v>
      </c>
      <c r="E28" s="42">
        <v>6028748.0</v>
      </c>
      <c r="F28" s="42" t="s">
        <v>817</v>
      </c>
      <c r="G28" s="42" t="s">
        <v>43</v>
      </c>
      <c r="H28" s="42" t="s">
        <v>54</v>
      </c>
      <c r="I28" s="50" t="s">
        <v>26</v>
      </c>
      <c r="J28" s="50" t="s">
        <v>55</v>
      </c>
      <c r="K28" s="50" t="s">
        <v>56</v>
      </c>
      <c r="L28" s="50">
        <v>2792141.0</v>
      </c>
      <c r="M28" s="50" t="s">
        <v>982</v>
      </c>
      <c r="N28" s="50" t="s">
        <v>56</v>
      </c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</row>
    <row r="29" ht="36.75" customHeight="1">
      <c r="A29" s="42" t="s">
        <v>35</v>
      </c>
      <c r="B29" s="42" t="s">
        <v>26</v>
      </c>
      <c r="C29" s="42" t="s">
        <v>36</v>
      </c>
      <c r="D29" s="42" t="s">
        <v>44</v>
      </c>
      <c r="E29" s="42">
        <v>2773821.0</v>
      </c>
      <c r="F29" s="42" t="s">
        <v>818</v>
      </c>
      <c r="G29" s="42" t="s">
        <v>819</v>
      </c>
      <c r="H29" s="42" t="s">
        <v>54</v>
      </c>
      <c r="I29" s="50" t="s">
        <v>26</v>
      </c>
      <c r="J29" s="50" t="s">
        <v>55</v>
      </c>
      <c r="K29" s="50" t="s">
        <v>57</v>
      </c>
      <c r="L29" s="50">
        <v>2077078.0</v>
      </c>
      <c r="M29" s="50" t="s">
        <v>983</v>
      </c>
      <c r="N29" s="50" t="s">
        <v>834</v>
      </c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</row>
    <row r="30" ht="36.75" customHeight="1">
      <c r="A30" s="42" t="s">
        <v>35</v>
      </c>
      <c r="B30" s="42" t="s">
        <v>26</v>
      </c>
      <c r="C30" s="42" t="s">
        <v>36</v>
      </c>
      <c r="D30" s="42" t="s">
        <v>44</v>
      </c>
      <c r="E30" s="42">
        <v>6322530.0</v>
      </c>
      <c r="F30" s="42" t="s">
        <v>820</v>
      </c>
      <c r="G30" s="42" t="s">
        <v>819</v>
      </c>
      <c r="H30" s="42" t="s">
        <v>54</v>
      </c>
      <c r="I30" s="50" t="s">
        <v>26</v>
      </c>
      <c r="J30" s="50" t="s">
        <v>55</v>
      </c>
      <c r="K30" s="50" t="s">
        <v>57</v>
      </c>
      <c r="L30" s="50">
        <v>2079828.0</v>
      </c>
      <c r="M30" s="50" t="s">
        <v>984</v>
      </c>
      <c r="N30" s="50" t="s">
        <v>62</v>
      </c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</row>
    <row r="31" ht="36.75" customHeight="1">
      <c r="A31" s="42" t="s">
        <v>35</v>
      </c>
      <c r="B31" s="42" t="s">
        <v>26</v>
      </c>
      <c r="C31" s="42" t="s">
        <v>36</v>
      </c>
      <c r="D31" s="42" t="s">
        <v>44</v>
      </c>
      <c r="E31" s="42">
        <v>2773805.0</v>
      </c>
      <c r="F31" s="42" t="s">
        <v>821</v>
      </c>
      <c r="G31" s="42" t="s">
        <v>819</v>
      </c>
      <c r="H31" s="42" t="s">
        <v>54</v>
      </c>
      <c r="I31" s="50" t="s">
        <v>26</v>
      </c>
      <c r="J31" s="50" t="s">
        <v>55</v>
      </c>
      <c r="K31" s="50" t="s">
        <v>58</v>
      </c>
      <c r="L31" s="50">
        <v>2086271.0</v>
      </c>
      <c r="M31" s="50" t="s">
        <v>985</v>
      </c>
      <c r="N31" s="50" t="s">
        <v>59</v>
      </c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</row>
    <row r="32" ht="36.75" customHeight="1">
      <c r="A32" s="42" t="s">
        <v>35</v>
      </c>
      <c r="B32" s="42" t="s">
        <v>26</v>
      </c>
      <c r="C32" s="42" t="s">
        <v>36</v>
      </c>
      <c r="D32" s="42" t="s">
        <v>44</v>
      </c>
      <c r="E32" s="42">
        <v>2773481.0</v>
      </c>
      <c r="F32" s="42" t="s">
        <v>822</v>
      </c>
      <c r="G32" s="42" t="s">
        <v>819</v>
      </c>
      <c r="H32" s="42" t="s">
        <v>54</v>
      </c>
      <c r="I32" s="50" t="s">
        <v>26</v>
      </c>
      <c r="J32" s="50" t="s">
        <v>55</v>
      </c>
      <c r="K32" s="50" t="s">
        <v>58</v>
      </c>
      <c r="L32" s="50">
        <v>2792176.0</v>
      </c>
      <c r="M32" s="50" t="s">
        <v>835</v>
      </c>
      <c r="N32" s="50" t="s">
        <v>59</v>
      </c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</row>
    <row r="33" ht="36.75" customHeight="1">
      <c r="A33" s="42" t="s">
        <v>35</v>
      </c>
      <c r="B33" s="42" t="s">
        <v>26</v>
      </c>
      <c r="C33" s="42" t="s">
        <v>36</v>
      </c>
      <c r="D33" s="42" t="s">
        <v>44</v>
      </c>
      <c r="E33" s="42">
        <v>2718987.0</v>
      </c>
      <c r="F33" s="42" t="s">
        <v>823</v>
      </c>
      <c r="G33" s="42" t="s">
        <v>819</v>
      </c>
      <c r="H33" s="42" t="s">
        <v>54</v>
      </c>
      <c r="I33" s="50" t="s">
        <v>26</v>
      </c>
      <c r="J33" s="50" t="s">
        <v>55</v>
      </c>
      <c r="K33" s="50" t="s">
        <v>59</v>
      </c>
      <c r="L33" s="50">
        <v>2086271.0</v>
      </c>
      <c r="M33" s="50" t="s">
        <v>985</v>
      </c>
      <c r="N33" s="50" t="s">
        <v>59</v>
      </c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</row>
    <row r="34" ht="36.75" customHeight="1">
      <c r="A34" s="42" t="s">
        <v>35</v>
      </c>
      <c r="B34" s="42" t="s">
        <v>26</v>
      </c>
      <c r="C34" s="42" t="s">
        <v>36</v>
      </c>
      <c r="D34" s="42" t="s">
        <v>44</v>
      </c>
      <c r="E34" s="42">
        <v>2773457.0</v>
      </c>
      <c r="F34" s="42" t="s">
        <v>824</v>
      </c>
      <c r="G34" s="42" t="s">
        <v>819</v>
      </c>
      <c r="H34" s="42" t="s">
        <v>54</v>
      </c>
      <c r="I34" s="50" t="s">
        <v>26</v>
      </c>
      <c r="J34" s="50" t="s">
        <v>55</v>
      </c>
      <c r="K34" s="50" t="s">
        <v>59</v>
      </c>
      <c r="L34" s="50">
        <v>2792176.0</v>
      </c>
      <c r="M34" s="50" t="s">
        <v>835</v>
      </c>
      <c r="N34" s="50" t="s">
        <v>59</v>
      </c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</row>
    <row r="35" ht="36.75" customHeight="1">
      <c r="A35" s="42" t="s">
        <v>35</v>
      </c>
      <c r="B35" s="42" t="s">
        <v>26</v>
      </c>
      <c r="C35" s="42" t="s">
        <v>36</v>
      </c>
      <c r="D35" s="42" t="s">
        <v>44</v>
      </c>
      <c r="E35" s="42">
        <v>2773430.0</v>
      </c>
      <c r="F35" s="42" t="s">
        <v>825</v>
      </c>
      <c r="G35" s="42" t="s">
        <v>819</v>
      </c>
      <c r="H35" s="42" t="s">
        <v>54</v>
      </c>
      <c r="I35" s="50" t="s">
        <v>26</v>
      </c>
      <c r="J35" s="50" t="s">
        <v>55</v>
      </c>
      <c r="K35" s="50" t="s">
        <v>60</v>
      </c>
      <c r="L35" s="50">
        <v>2086271.0</v>
      </c>
      <c r="M35" s="50" t="s">
        <v>985</v>
      </c>
      <c r="N35" s="50" t="s">
        <v>59</v>
      </c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</row>
    <row r="36" ht="36.75" customHeight="1">
      <c r="A36" s="42" t="s">
        <v>35</v>
      </c>
      <c r="B36" s="42" t="s">
        <v>26</v>
      </c>
      <c r="C36" s="42" t="s">
        <v>36</v>
      </c>
      <c r="D36" s="42" t="s">
        <v>44</v>
      </c>
      <c r="E36" s="42">
        <v>6322581.0</v>
      </c>
      <c r="F36" s="42" t="s">
        <v>826</v>
      </c>
      <c r="G36" s="42" t="s">
        <v>819</v>
      </c>
      <c r="H36" s="42" t="s">
        <v>54</v>
      </c>
      <c r="I36" s="50" t="s">
        <v>26</v>
      </c>
      <c r="J36" s="50" t="s">
        <v>55</v>
      </c>
      <c r="K36" s="50" t="s">
        <v>60</v>
      </c>
      <c r="L36" s="50">
        <v>2792176.0</v>
      </c>
      <c r="M36" s="50" t="s">
        <v>835</v>
      </c>
      <c r="N36" s="50" t="s">
        <v>59</v>
      </c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</row>
    <row r="37" ht="36.75" customHeight="1">
      <c r="A37" s="42" t="s">
        <v>35</v>
      </c>
      <c r="B37" s="42" t="s">
        <v>26</v>
      </c>
      <c r="C37" s="42" t="s">
        <v>36</v>
      </c>
      <c r="D37" s="42" t="s">
        <v>44</v>
      </c>
      <c r="E37" s="42">
        <v>6322719.0</v>
      </c>
      <c r="F37" s="42" t="s">
        <v>827</v>
      </c>
      <c r="G37" s="42" t="s">
        <v>819</v>
      </c>
      <c r="H37" s="42" t="s">
        <v>54</v>
      </c>
      <c r="I37" s="50" t="s">
        <v>26</v>
      </c>
      <c r="J37" s="50" t="s">
        <v>55</v>
      </c>
      <c r="K37" s="50" t="s">
        <v>61</v>
      </c>
      <c r="L37" s="50">
        <v>2086271.0</v>
      </c>
      <c r="M37" s="50" t="s">
        <v>985</v>
      </c>
      <c r="N37" s="50" t="s">
        <v>59</v>
      </c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</row>
    <row r="38" ht="36.75" customHeight="1">
      <c r="A38" s="42" t="s">
        <v>35</v>
      </c>
      <c r="B38" s="42" t="s">
        <v>26</v>
      </c>
      <c r="C38" s="42" t="s">
        <v>36</v>
      </c>
      <c r="D38" s="42" t="s">
        <v>45</v>
      </c>
      <c r="E38" s="42">
        <v>2033119.0</v>
      </c>
      <c r="F38" s="42" t="s">
        <v>828</v>
      </c>
      <c r="G38" s="42" t="s">
        <v>45</v>
      </c>
      <c r="H38" s="42" t="s">
        <v>54</v>
      </c>
      <c r="I38" s="50" t="s">
        <v>26</v>
      </c>
      <c r="J38" s="50" t="s">
        <v>55</v>
      </c>
      <c r="K38" s="50" t="s">
        <v>61</v>
      </c>
      <c r="L38" s="50">
        <v>2792176.0</v>
      </c>
      <c r="M38" s="50" t="s">
        <v>835</v>
      </c>
      <c r="N38" s="50" t="s">
        <v>59</v>
      </c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</row>
    <row r="39" ht="36.75" customHeight="1">
      <c r="A39" s="42" t="s">
        <v>35</v>
      </c>
      <c r="B39" s="42" t="s">
        <v>26</v>
      </c>
      <c r="C39" s="42" t="s">
        <v>36</v>
      </c>
      <c r="D39" s="42" t="s">
        <v>46</v>
      </c>
      <c r="E39" s="42">
        <v>4049535.0</v>
      </c>
      <c r="F39" s="42" t="s">
        <v>829</v>
      </c>
      <c r="G39" s="42" t="s">
        <v>46</v>
      </c>
      <c r="H39" s="42" t="s">
        <v>54</v>
      </c>
      <c r="I39" s="50" t="s">
        <v>26</v>
      </c>
      <c r="J39" s="50" t="s">
        <v>55</v>
      </c>
      <c r="K39" s="50" t="s">
        <v>62</v>
      </c>
      <c r="L39" s="50">
        <v>2785188.0</v>
      </c>
      <c r="M39" s="50" t="s">
        <v>986</v>
      </c>
      <c r="N39" s="50" t="s">
        <v>987</v>
      </c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</row>
    <row r="40" ht="36.75" customHeight="1">
      <c r="A40" s="42" t="s">
        <v>35</v>
      </c>
      <c r="B40" s="42" t="s">
        <v>26</v>
      </c>
      <c r="C40" s="42" t="s">
        <v>36</v>
      </c>
      <c r="D40" s="42" t="s">
        <v>47</v>
      </c>
      <c r="E40" s="42">
        <v>2717980.0</v>
      </c>
      <c r="F40" s="42" t="s">
        <v>830</v>
      </c>
      <c r="G40" s="42" t="s">
        <v>47</v>
      </c>
      <c r="H40" s="42" t="s">
        <v>54</v>
      </c>
      <c r="I40" s="50" t="s">
        <v>26</v>
      </c>
      <c r="J40" s="50" t="s">
        <v>55</v>
      </c>
      <c r="K40" s="50" t="s">
        <v>62</v>
      </c>
      <c r="L40" s="50">
        <v>2079828.0</v>
      </c>
      <c r="M40" s="50" t="s">
        <v>984</v>
      </c>
      <c r="N40" s="50" t="s">
        <v>987</v>
      </c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</row>
    <row r="41" ht="36.75" customHeight="1">
      <c r="A41" s="42" t="s">
        <v>48</v>
      </c>
      <c r="B41" s="91" t="s">
        <v>26</v>
      </c>
      <c r="C41" s="26" t="s">
        <v>49</v>
      </c>
      <c r="D41" s="26" t="s">
        <v>50</v>
      </c>
      <c r="E41" s="91">
        <v>3028399.0</v>
      </c>
      <c r="F41" s="91" t="s">
        <v>831</v>
      </c>
      <c r="G41" s="26" t="s">
        <v>52</v>
      </c>
      <c r="H41" s="42" t="s">
        <v>54</v>
      </c>
      <c r="I41" s="50" t="s">
        <v>26</v>
      </c>
      <c r="J41" s="50" t="s">
        <v>55</v>
      </c>
      <c r="K41" s="50" t="s">
        <v>63</v>
      </c>
      <c r="L41" s="50">
        <v>2792141.0</v>
      </c>
      <c r="M41" s="50" t="s">
        <v>982</v>
      </c>
      <c r="N41" s="50" t="s">
        <v>56</v>
      </c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</row>
    <row r="42" ht="36.75" customHeight="1">
      <c r="A42" s="42" t="s">
        <v>48</v>
      </c>
      <c r="B42" s="91" t="s">
        <v>26</v>
      </c>
      <c r="C42" s="26" t="s">
        <v>49</v>
      </c>
      <c r="D42" s="26" t="s">
        <v>51</v>
      </c>
      <c r="E42" s="91">
        <v>3028399.0</v>
      </c>
      <c r="F42" s="91" t="s">
        <v>831</v>
      </c>
      <c r="G42" s="26" t="s">
        <v>52</v>
      </c>
      <c r="H42" s="42" t="s">
        <v>64</v>
      </c>
      <c r="I42" s="42" t="s">
        <v>26</v>
      </c>
      <c r="J42" s="42" t="s">
        <v>65</v>
      </c>
      <c r="K42" s="42" t="s">
        <v>66</v>
      </c>
      <c r="L42" s="42">
        <v>2082209.0</v>
      </c>
      <c r="M42" s="42" t="s">
        <v>988</v>
      </c>
      <c r="N42" s="42" t="s">
        <v>66</v>
      </c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</row>
    <row r="43" ht="36.75" customHeight="1">
      <c r="A43" s="42" t="s">
        <v>48</v>
      </c>
      <c r="B43" s="91" t="s">
        <v>26</v>
      </c>
      <c r="C43" s="26" t="s">
        <v>49</v>
      </c>
      <c r="D43" s="26" t="s">
        <v>52</v>
      </c>
      <c r="E43" s="91">
        <v>3028399.0</v>
      </c>
      <c r="F43" s="91" t="s">
        <v>831</v>
      </c>
      <c r="G43" s="26" t="s">
        <v>52</v>
      </c>
      <c r="H43" s="42" t="s">
        <v>64</v>
      </c>
      <c r="I43" s="42" t="s">
        <v>26</v>
      </c>
      <c r="J43" s="42" t="s">
        <v>65</v>
      </c>
      <c r="K43" s="42" t="s">
        <v>67</v>
      </c>
      <c r="L43" s="42">
        <v>2792168.0</v>
      </c>
      <c r="M43" s="42" t="s">
        <v>840</v>
      </c>
      <c r="N43" s="42" t="s">
        <v>67</v>
      </c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</row>
    <row r="44" ht="36.75" customHeight="1">
      <c r="A44" s="42" t="s">
        <v>48</v>
      </c>
      <c r="B44" s="91" t="s">
        <v>26</v>
      </c>
      <c r="C44" s="26" t="s">
        <v>49</v>
      </c>
      <c r="D44" s="26" t="s">
        <v>49</v>
      </c>
      <c r="E44" s="91">
        <v>3028399.0</v>
      </c>
      <c r="F44" s="91" t="s">
        <v>831</v>
      </c>
      <c r="G44" s="26" t="s">
        <v>52</v>
      </c>
      <c r="H44" s="42" t="s">
        <v>64</v>
      </c>
      <c r="I44" s="42" t="s">
        <v>26</v>
      </c>
      <c r="J44" s="42" t="s">
        <v>65</v>
      </c>
      <c r="K44" s="42" t="s">
        <v>68</v>
      </c>
      <c r="L44" s="42">
        <v>2078104.0</v>
      </c>
      <c r="M44" s="42" t="s">
        <v>989</v>
      </c>
      <c r="N44" s="42" t="s">
        <v>68</v>
      </c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</row>
    <row r="45" ht="36.75" customHeight="1">
      <c r="A45" s="42" t="s">
        <v>48</v>
      </c>
      <c r="B45" s="91" t="s">
        <v>26</v>
      </c>
      <c r="C45" s="26" t="s">
        <v>49</v>
      </c>
      <c r="D45" s="26" t="s">
        <v>53</v>
      </c>
      <c r="E45" s="91">
        <v>3028399.0</v>
      </c>
      <c r="F45" s="91" t="s">
        <v>831</v>
      </c>
      <c r="G45" s="26" t="s">
        <v>52</v>
      </c>
      <c r="H45" s="42" t="s">
        <v>64</v>
      </c>
      <c r="I45" s="42" t="s">
        <v>26</v>
      </c>
      <c r="J45" s="42" t="s">
        <v>65</v>
      </c>
      <c r="K45" s="42" t="s">
        <v>69</v>
      </c>
      <c r="L45" s="42">
        <v>2078104.0</v>
      </c>
      <c r="M45" s="42" t="s">
        <v>989</v>
      </c>
      <c r="N45" s="42" t="s">
        <v>68</v>
      </c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</row>
    <row r="46" ht="36.75" customHeight="1">
      <c r="A46" s="42" t="s">
        <v>54</v>
      </c>
      <c r="B46" s="50" t="s">
        <v>26</v>
      </c>
      <c r="C46" s="50" t="s">
        <v>55</v>
      </c>
      <c r="D46" s="50" t="s">
        <v>56</v>
      </c>
      <c r="E46" s="50">
        <v>6768849.0</v>
      </c>
      <c r="F46" s="50" t="s">
        <v>832</v>
      </c>
      <c r="G46" s="50" t="s">
        <v>56</v>
      </c>
      <c r="H46" s="42" t="s">
        <v>64</v>
      </c>
      <c r="I46" s="42" t="s">
        <v>26</v>
      </c>
      <c r="J46" s="42" t="s">
        <v>65</v>
      </c>
      <c r="K46" s="42" t="s">
        <v>70</v>
      </c>
      <c r="L46" s="92" t="s">
        <v>990</v>
      </c>
      <c r="M46" s="42" t="s">
        <v>991</v>
      </c>
      <c r="N46" s="42" t="s">
        <v>70</v>
      </c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</row>
    <row r="47" ht="36.75" customHeight="1">
      <c r="A47" s="42" t="s">
        <v>54</v>
      </c>
      <c r="B47" s="50" t="s">
        <v>26</v>
      </c>
      <c r="C47" s="50" t="s">
        <v>55</v>
      </c>
      <c r="D47" s="50" t="s">
        <v>57</v>
      </c>
      <c r="E47" s="50">
        <v>2786400.0</v>
      </c>
      <c r="F47" s="50" t="s">
        <v>833</v>
      </c>
      <c r="G47" s="50" t="s">
        <v>834</v>
      </c>
      <c r="H47" s="42" t="s">
        <v>64</v>
      </c>
      <c r="I47" s="42" t="s">
        <v>26</v>
      </c>
      <c r="J47" s="42" t="s">
        <v>65</v>
      </c>
      <c r="K47" s="42" t="s">
        <v>71</v>
      </c>
      <c r="L47" s="42">
        <v>2078104.0</v>
      </c>
      <c r="M47" s="42" t="s">
        <v>989</v>
      </c>
      <c r="N47" s="42" t="s">
        <v>68</v>
      </c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</row>
    <row r="48" ht="36.75" customHeight="1">
      <c r="A48" s="42" t="s">
        <v>54</v>
      </c>
      <c r="B48" s="50" t="s">
        <v>26</v>
      </c>
      <c r="C48" s="50" t="s">
        <v>55</v>
      </c>
      <c r="D48" s="50" t="s">
        <v>58</v>
      </c>
      <c r="E48" s="50">
        <v>2792176.0</v>
      </c>
      <c r="F48" s="50" t="s">
        <v>835</v>
      </c>
      <c r="G48" s="50" t="s">
        <v>59</v>
      </c>
      <c r="H48" s="42" t="s">
        <v>64</v>
      </c>
      <c r="I48" s="42" t="s">
        <v>26</v>
      </c>
      <c r="J48" s="42" t="s">
        <v>65</v>
      </c>
      <c r="K48" s="42" t="s">
        <v>72</v>
      </c>
      <c r="L48" s="42">
        <v>2072513.0</v>
      </c>
      <c r="M48" s="42" t="s">
        <v>992</v>
      </c>
      <c r="N48" s="42" t="s">
        <v>72</v>
      </c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</row>
    <row r="49" ht="36.75" customHeight="1">
      <c r="A49" s="42" t="s">
        <v>54</v>
      </c>
      <c r="B49" s="50" t="s">
        <v>26</v>
      </c>
      <c r="C49" s="50" t="s">
        <v>55</v>
      </c>
      <c r="D49" s="50" t="s">
        <v>59</v>
      </c>
      <c r="E49" s="50">
        <v>2792176.0</v>
      </c>
      <c r="F49" s="50" t="s">
        <v>835</v>
      </c>
      <c r="G49" s="50" t="s">
        <v>59</v>
      </c>
      <c r="H49" s="42" t="s">
        <v>73</v>
      </c>
      <c r="I49" s="34" t="s">
        <v>74</v>
      </c>
      <c r="J49" s="34" t="s">
        <v>74</v>
      </c>
      <c r="K49" s="34" t="s">
        <v>75</v>
      </c>
      <c r="L49" s="34">
        <v>2083272.0</v>
      </c>
      <c r="M49" s="34" t="s">
        <v>993</v>
      </c>
      <c r="N49" s="34" t="s">
        <v>75</v>
      </c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</row>
    <row r="50" ht="36.75" customHeight="1">
      <c r="A50" s="42" t="s">
        <v>54</v>
      </c>
      <c r="B50" s="50" t="s">
        <v>26</v>
      </c>
      <c r="C50" s="50" t="s">
        <v>55</v>
      </c>
      <c r="D50" s="50" t="s">
        <v>60</v>
      </c>
      <c r="E50" s="50">
        <v>2792176.0</v>
      </c>
      <c r="F50" s="50" t="s">
        <v>835</v>
      </c>
      <c r="G50" s="50" t="s">
        <v>59</v>
      </c>
      <c r="H50" s="42" t="s">
        <v>73</v>
      </c>
      <c r="I50" s="34" t="s">
        <v>74</v>
      </c>
      <c r="J50" s="34" t="s">
        <v>74</v>
      </c>
      <c r="K50" s="34" t="s">
        <v>76</v>
      </c>
      <c r="L50" s="34">
        <v>2078473.0</v>
      </c>
      <c r="M50" s="34" t="s">
        <v>994</v>
      </c>
      <c r="N50" s="34" t="s">
        <v>76</v>
      </c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</row>
    <row r="51" ht="36.75" customHeight="1">
      <c r="A51" s="42" t="s">
        <v>54</v>
      </c>
      <c r="B51" s="50" t="s">
        <v>26</v>
      </c>
      <c r="C51" s="50" t="s">
        <v>55</v>
      </c>
      <c r="D51" s="50" t="s">
        <v>61</v>
      </c>
      <c r="E51" s="50">
        <v>2792176.0</v>
      </c>
      <c r="F51" s="50" t="s">
        <v>835</v>
      </c>
      <c r="G51" s="50" t="s">
        <v>59</v>
      </c>
      <c r="H51" s="42" t="s">
        <v>73</v>
      </c>
      <c r="I51" s="34" t="s">
        <v>74</v>
      </c>
      <c r="J51" s="34" t="s">
        <v>74</v>
      </c>
      <c r="K51" s="34" t="s">
        <v>77</v>
      </c>
      <c r="L51" s="34">
        <v>2754843.0</v>
      </c>
      <c r="M51" s="34" t="s">
        <v>995</v>
      </c>
      <c r="N51" s="34" t="s">
        <v>77</v>
      </c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</row>
    <row r="52" ht="36.75" customHeight="1">
      <c r="A52" s="42" t="s">
        <v>54</v>
      </c>
      <c r="B52" s="50" t="s">
        <v>26</v>
      </c>
      <c r="C52" s="50" t="s">
        <v>55</v>
      </c>
      <c r="D52" s="50" t="s">
        <v>62</v>
      </c>
      <c r="E52" s="50">
        <v>3742466.0</v>
      </c>
      <c r="F52" s="50" t="s">
        <v>836</v>
      </c>
      <c r="G52" s="50" t="s">
        <v>62</v>
      </c>
      <c r="H52" s="42" t="s">
        <v>73</v>
      </c>
      <c r="I52" s="34" t="s">
        <v>74</v>
      </c>
      <c r="J52" s="34" t="s">
        <v>74</v>
      </c>
      <c r="K52" s="34" t="s">
        <v>78</v>
      </c>
      <c r="L52" s="34">
        <v>2087804.0</v>
      </c>
      <c r="M52" s="34" t="s">
        <v>996</v>
      </c>
      <c r="N52" s="34" t="s">
        <v>78</v>
      </c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</row>
    <row r="53" ht="36.75" customHeight="1">
      <c r="A53" s="42" t="s">
        <v>54</v>
      </c>
      <c r="B53" s="50" t="s">
        <v>26</v>
      </c>
      <c r="C53" s="50" t="s">
        <v>55</v>
      </c>
      <c r="D53" s="50" t="s">
        <v>63</v>
      </c>
      <c r="E53" s="50">
        <v>7079877.0</v>
      </c>
      <c r="F53" s="50" t="s">
        <v>837</v>
      </c>
      <c r="G53" s="50" t="s">
        <v>63</v>
      </c>
      <c r="H53" s="42" t="s">
        <v>73</v>
      </c>
      <c r="I53" s="34" t="s">
        <v>74</v>
      </c>
      <c r="J53" s="34" t="s">
        <v>74</v>
      </c>
      <c r="K53" s="34" t="s">
        <v>79</v>
      </c>
      <c r="L53" s="34">
        <v>2087804.0</v>
      </c>
      <c r="M53" s="34" t="s">
        <v>996</v>
      </c>
      <c r="N53" s="34" t="s">
        <v>78</v>
      </c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</row>
    <row r="54" ht="36.75" customHeight="1">
      <c r="A54" s="42" t="s">
        <v>64</v>
      </c>
      <c r="B54" s="42" t="s">
        <v>26</v>
      </c>
      <c r="C54" s="42" t="s">
        <v>65</v>
      </c>
      <c r="D54" s="42" t="s">
        <v>66</v>
      </c>
      <c r="E54" s="92" t="s">
        <v>838</v>
      </c>
      <c r="F54" s="42" t="s">
        <v>839</v>
      </c>
      <c r="G54" s="42" t="s">
        <v>66</v>
      </c>
      <c r="H54" s="42" t="s">
        <v>73</v>
      </c>
      <c r="I54" s="34" t="s">
        <v>74</v>
      </c>
      <c r="J54" s="34" t="s">
        <v>74</v>
      </c>
      <c r="K54" s="34" t="s">
        <v>80</v>
      </c>
      <c r="L54" s="34">
        <v>2087324.0</v>
      </c>
      <c r="M54" s="34" t="s">
        <v>997</v>
      </c>
      <c r="N54" s="34" t="s">
        <v>80</v>
      </c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</row>
    <row r="55" ht="36.75" customHeight="1">
      <c r="A55" s="42" t="s">
        <v>64</v>
      </c>
      <c r="B55" s="42" t="s">
        <v>26</v>
      </c>
      <c r="C55" s="42" t="s">
        <v>65</v>
      </c>
      <c r="D55" s="42" t="s">
        <v>67</v>
      </c>
      <c r="E55" s="42">
        <v>2792168.0</v>
      </c>
      <c r="F55" s="42" t="s">
        <v>840</v>
      </c>
      <c r="G55" s="42" t="s">
        <v>67</v>
      </c>
      <c r="H55" s="42" t="s">
        <v>73</v>
      </c>
      <c r="I55" s="34" t="s">
        <v>74</v>
      </c>
      <c r="J55" s="34" t="s">
        <v>74</v>
      </c>
      <c r="K55" s="34" t="s">
        <v>81</v>
      </c>
      <c r="L55" s="34">
        <v>2716097.0</v>
      </c>
      <c r="M55" s="34" t="s">
        <v>998</v>
      </c>
      <c r="N55" s="34" t="s">
        <v>81</v>
      </c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</row>
    <row r="56" ht="36.75" customHeight="1">
      <c r="A56" s="42" t="s">
        <v>64</v>
      </c>
      <c r="B56" s="42" t="s">
        <v>26</v>
      </c>
      <c r="C56" s="42" t="s">
        <v>65</v>
      </c>
      <c r="D56" s="42" t="s">
        <v>68</v>
      </c>
      <c r="E56" s="42">
        <v>9102159.0</v>
      </c>
      <c r="F56" s="42" t="s">
        <v>841</v>
      </c>
      <c r="G56" s="42" t="s">
        <v>68</v>
      </c>
      <c r="H56" s="42" t="s">
        <v>73</v>
      </c>
      <c r="I56" s="34" t="s">
        <v>74</v>
      </c>
      <c r="J56" s="34" t="s">
        <v>74</v>
      </c>
      <c r="K56" s="34" t="s">
        <v>82</v>
      </c>
      <c r="L56" s="34">
        <v>2698463.0</v>
      </c>
      <c r="M56" s="34" t="s">
        <v>999</v>
      </c>
      <c r="N56" s="34" t="s">
        <v>82</v>
      </c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</row>
    <row r="57" ht="36.75" customHeight="1">
      <c r="A57" s="42" t="s">
        <v>64</v>
      </c>
      <c r="B57" s="42" t="s">
        <v>26</v>
      </c>
      <c r="C57" s="42" t="s">
        <v>65</v>
      </c>
      <c r="D57" s="42" t="s">
        <v>68</v>
      </c>
      <c r="E57" s="42">
        <v>9454276.0</v>
      </c>
      <c r="F57" s="42" t="s">
        <v>842</v>
      </c>
      <c r="G57" s="42" t="s">
        <v>68</v>
      </c>
      <c r="H57" s="42" t="s">
        <v>73</v>
      </c>
      <c r="I57" s="34" t="s">
        <v>74</v>
      </c>
      <c r="J57" s="34" t="s">
        <v>74</v>
      </c>
      <c r="K57" s="34" t="s">
        <v>83</v>
      </c>
      <c r="L57" s="34">
        <v>6966594.0</v>
      </c>
      <c r="M57" s="34" t="s">
        <v>1000</v>
      </c>
      <c r="N57" s="34" t="s">
        <v>83</v>
      </c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</row>
    <row r="58" ht="36.75" customHeight="1">
      <c r="A58" s="42" t="s">
        <v>64</v>
      </c>
      <c r="B58" s="42" t="s">
        <v>26</v>
      </c>
      <c r="C58" s="42" t="s">
        <v>65</v>
      </c>
      <c r="D58" s="42" t="s">
        <v>69</v>
      </c>
      <c r="E58" s="42">
        <v>5437350.0</v>
      </c>
      <c r="F58" s="42" t="s">
        <v>843</v>
      </c>
      <c r="G58" s="42" t="s">
        <v>69</v>
      </c>
      <c r="H58" s="42" t="s">
        <v>100</v>
      </c>
      <c r="I58" s="42" t="s">
        <v>84</v>
      </c>
      <c r="J58" s="50" t="s">
        <v>85</v>
      </c>
      <c r="K58" s="50" t="s">
        <v>86</v>
      </c>
      <c r="L58" s="50">
        <v>2077434.0</v>
      </c>
      <c r="M58" s="50" t="s">
        <v>859</v>
      </c>
      <c r="N58" s="50" t="s">
        <v>97</v>
      </c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</row>
    <row r="59" ht="36.75" customHeight="1">
      <c r="A59" s="42" t="s">
        <v>64</v>
      </c>
      <c r="B59" s="42" t="s">
        <v>26</v>
      </c>
      <c r="C59" s="42" t="s">
        <v>65</v>
      </c>
      <c r="D59" s="42" t="s">
        <v>70</v>
      </c>
      <c r="E59" s="42">
        <v>3815919.0</v>
      </c>
      <c r="F59" s="42" t="s">
        <v>844</v>
      </c>
      <c r="G59" s="42" t="s">
        <v>70</v>
      </c>
      <c r="H59" s="42" t="s">
        <v>100</v>
      </c>
      <c r="I59" s="42" t="s">
        <v>84</v>
      </c>
      <c r="J59" s="50" t="s">
        <v>85</v>
      </c>
      <c r="K59" s="50" t="s">
        <v>87</v>
      </c>
      <c r="L59" s="50">
        <v>2077434.0</v>
      </c>
      <c r="M59" s="50" t="s">
        <v>859</v>
      </c>
      <c r="N59" s="50" t="s">
        <v>97</v>
      </c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</row>
    <row r="60" ht="36.75" customHeight="1">
      <c r="A60" s="42" t="s">
        <v>64</v>
      </c>
      <c r="B60" s="42" t="s">
        <v>26</v>
      </c>
      <c r="C60" s="42" t="s">
        <v>65</v>
      </c>
      <c r="D60" s="42" t="s">
        <v>71</v>
      </c>
      <c r="E60" s="42">
        <v>2792168.0</v>
      </c>
      <c r="F60" s="42" t="s">
        <v>840</v>
      </c>
      <c r="G60" s="42" t="s">
        <v>67</v>
      </c>
      <c r="H60" s="42" t="s">
        <v>100</v>
      </c>
      <c r="I60" s="42" t="s">
        <v>84</v>
      </c>
      <c r="J60" s="50" t="s">
        <v>85</v>
      </c>
      <c r="K60" s="50" t="s">
        <v>860</v>
      </c>
      <c r="L60" s="50">
        <v>2077434.0</v>
      </c>
      <c r="M60" s="50" t="s">
        <v>859</v>
      </c>
      <c r="N60" s="50" t="s">
        <v>97</v>
      </c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</row>
    <row r="61" ht="36.75" customHeight="1">
      <c r="A61" s="42" t="s">
        <v>64</v>
      </c>
      <c r="B61" s="42" t="s">
        <v>26</v>
      </c>
      <c r="C61" s="42" t="s">
        <v>65</v>
      </c>
      <c r="D61" s="42" t="s">
        <v>72</v>
      </c>
      <c r="E61" s="42">
        <v>7444249.0</v>
      </c>
      <c r="F61" s="42" t="s">
        <v>845</v>
      </c>
      <c r="G61" s="42" t="s">
        <v>72</v>
      </c>
      <c r="H61" s="42" t="s">
        <v>100</v>
      </c>
      <c r="I61" s="42" t="s">
        <v>84</v>
      </c>
      <c r="J61" s="50" t="s">
        <v>85</v>
      </c>
      <c r="K61" s="50" t="s">
        <v>89</v>
      </c>
      <c r="L61" s="50">
        <v>2077434.0</v>
      </c>
      <c r="M61" s="50" t="s">
        <v>859</v>
      </c>
      <c r="N61" s="50" t="s">
        <v>97</v>
      </c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</row>
    <row r="62" ht="36.75" customHeight="1">
      <c r="A62" s="42" t="s">
        <v>73</v>
      </c>
      <c r="B62" s="50" t="s">
        <v>74</v>
      </c>
      <c r="C62" s="50" t="s">
        <v>74</v>
      </c>
      <c r="D62" s="50" t="s">
        <v>75</v>
      </c>
      <c r="E62" s="50">
        <v>2079720.0</v>
      </c>
      <c r="F62" s="50" t="s">
        <v>846</v>
      </c>
      <c r="G62" s="50" t="s">
        <v>847</v>
      </c>
      <c r="H62" s="42" t="s">
        <v>100</v>
      </c>
      <c r="I62" s="42" t="s">
        <v>84</v>
      </c>
      <c r="J62" s="50" t="s">
        <v>85</v>
      </c>
      <c r="K62" s="50" t="s">
        <v>90</v>
      </c>
      <c r="L62" s="50">
        <v>2077434.0</v>
      </c>
      <c r="M62" s="50" t="s">
        <v>859</v>
      </c>
      <c r="N62" s="50" t="s">
        <v>97</v>
      </c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</row>
    <row r="63" ht="36.75" customHeight="1">
      <c r="A63" s="42" t="s">
        <v>73</v>
      </c>
      <c r="B63" s="50" t="s">
        <v>74</v>
      </c>
      <c r="C63" s="50" t="s">
        <v>74</v>
      </c>
      <c r="D63" s="50" t="s">
        <v>75</v>
      </c>
      <c r="E63" s="50">
        <v>473405.0</v>
      </c>
      <c r="F63" s="50" t="s">
        <v>848</v>
      </c>
      <c r="G63" s="50" t="s">
        <v>847</v>
      </c>
      <c r="H63" s="42" t="s">
        <v>100</v>
      </c>
      <c r="I63" s="42" t="s">
        <v>84</v>
      </c>
      <c r="J63" s="50" t="s">
        <v>85</v>
      </c>
      <c r="K63" s="50" t="s">
        <v>91</v>
      </c>
      <c r="L63" s="50">
        <v>2077434.0</v>
      </c>
      <c r="M63" s="50" t="s">
        <v>859</v>
      </c>
      <c r="N63" s="50" t="s">
        <v>97</v>
      </c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</row>
    <row r="64" ht="36.75" customHeight="1">
      <c r="A64" s="42" t="s">
        <v>73</v>
      </c>
      <c r="B64" s="50" t="s">
        <v>74</v>
      </c>
      <c r="C64" s="50" t="s">
        <v>74</v>
      </c>
      <c r="D64" s="50" t="s">
        <v>76</v>
      </c>
      <c r="E64" s="50">
        <v>2071843.0</v>
      </c>
      <c r="F64" s="50" t="s">
        <v>849</v>
      </c>
      <c r="G64" s="50" t="s">
        <v>76</v>
      </c>
      <c r="H64" s="42" t="s">
        <v>100</v>
      </c>
      <c r="I64" s="42" t="s">
        <v>84</v>
      </c>
      <c r="J64" s="50" t="s">
        <v>85</v>
      </c>
      <c r="K64" s="50" t="s">
        <v>92</v>
      </c>
      <c r="L64" s="50">
        <v>2077434.0</v>
      </c>
      <c r="M64" s="50" t="s">
        <v>859</v>
      </c>
      <c r="N64" s="50" t="s">
        <v>97</v>
      </c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</row>
    <row r="65" ht="36.75" customHeight="1">
      <c r="A65" s="42" t="s">
        <v>73</v>
      </c>
      <c r="B65" s="50" t="s">
        <v>74</v>
      </c>
      <c r="C65" s="50" t="s">
        <v>74</v>
      </c>
      <c r="D65" s="50" t="s">
        <v>77</v>
      </c>
      <c r="E65" s="50">
        <v>9663851.0</v>
      </c>
      <c r="F65" s="50" t="s">
        <v>850</v>
      </c>
      <c r="G65" s="50" t="s">
        <v>77</v>
      </c>
      <c r="H65" s="42" t="s">
        <v>100</v>
      </c>
      <c r="I65" s="42" t="s">
        <v>84</v>
      </c>
      <c r="J65" s="50" t="s">
        <v>85</v>
      </c>
      <c r="K65" s="50" t="s">
        <v>93</v>
      </c>
      <c r="L65" s="50">
        <v>2087324.0</v>
      </c>
      <c r="M65" s="50" t="s">
        <v>1001</v>
      </c>
      <c r="N65" s="50" t="s">
        <v>80</v>
      </c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</row>
    <row r="66" ht="36.75" customHeight="1">
      <c r="A66" s="42" t="s">
        <v>73</v>
      </c>
      <c r="B66" s="50" t="s">
        <v>74</v>
      </c>
      <c r="C66" s="50" t="s">
        <v>74</v>
      </c>
      <c r="D66" s="50" t="s">
        <v>78</v>
      </c>
      <c r="E66" s="50">
        <v>6345581.0</v>
      </c>
      <c r="F66" s="50" t="s">
        <v>851</v>
      </c>
      <c r="G66" s="50" t="s">
        <v>852</v>
      </c>
      <c r="H66" s="42" t="s">
        <v>100</v>
      </c>
      <c r="I66" s="42" t="s">
        <v>84</v>
      </c>
      <c r="J66" s="50" t="s">
        <v>85</v>
      </c>
      <c r="K66" s="50" t="s">
        <v>94</v>
      </c>
      <c r="L66" s="50">
        <v>2077434.0</v>
      </c>
      <c r="M66" s="50" t="s">
        <v>859</v>
      </c>
      <c r="N66" s="50" t="s">
        <v>97</v>
      </c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</row>
    <row r="67" ht="36.75" customHeight="1">
      <c r="A67" s="42" t="s">
        <v>73</v>
      </c>
      <c r="B67" s="50" t="s">
        <v>74</v>
      </c>
      <c r="C67" s="50" t="s">
        <v>74</v>
      </c>
      <c r="D67" s="50" t="s">
        <v>78</v>
      </c>
      <c r="E67" s="50">
        <v>6258484.0</v>
      </c>
      <c r="F67" s="50" t="s">
        <v>853</v>
      </c>
      <c r="G67" s="50" t="s">
        <v>852</v>
      </c>
      <c r="H67" s="42" t="s">
        <v>100</v>
      </c>
      <c r="I67" s="42" t="s">
        <v>84</v>
      </c>
      <c r="J67" s="50" t="s">
        <v>85</v>
      </c>
      <c r="K67" s="50" t="s">
        <v>861</v>
      </c>
      <c r="L67" s="50">
        <v>2079593.0</v>
      </c>
      <c r="M67" s="50" t="s">
        <v>1002</v>
      </c>
      <c r="N67" s="50" t="s">
        <v>84</v>
      </c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</row>
    <row r="68" ht="36.75" customHeight="1">
      <c r="A68" s="42" t="s">
        <v>73</v>
      </c>
      <c r="B68" s="50" t="s">
        <v>74</v>
      </c>
      <c r="C68" s="50" t="s">
        <v>74</v>
      </c>
      <c r="D68" s="50" t="s">
        <v>79</v>
      </c>
      <c r="E68" s="50">
        <v>9631895.0</v>
      </c>
      <c r="F68" s="50" t="s">
        <v>854</v>
      </c>
      <c r="G68" s="50" t="s">
        <v>79</v>
      </c>
      <c r="H68" s="42" t="s">
        <v>100</v>
      </c>
      <c r="I68" s="42" t="s">
        <v>84</v>
      </c>
      <c r="J68" s="50" t="s">
        <v>85</v>
      </c>
      <c r="K68" s="50" t="s">
        <v>96</v>
      </c>
      <c r="L68" s="50">
        <v>2079593.0</v>
      </c>
      <c r="M68" s="50" t="s">
        <v>1002</v>
      </c>
      <c r="N68" s="50" t="s">
        <v>84</v>
      </c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</row>
    <row r="69" ht="36.75" customHeight="1">
      <c r="A69" s="42" t="s">
        <v>73</v>
      </c>
      <c r="B69" s="50" t="s">
        <v>74</v>
      </c>
      <c r="C69" s="50" t="s">
        <v>74</v>
      </c>
      <c r="D69" s="50" t="s">
        <v>80</v>
      </c>
      <c r="E69" s="50">
        <v>7721439.0</v>
      </c>
      <c r="F69" s="50" t="s">
        <v>855</v>
      </c>
      <c r="G69" s="50" t="s">
        <v>80</v>
      </c>
      <c r="H69" s="42" t="s">
        <v>100</v>
      </c>
      <c r="I69" s="42" t="s">
        <v>84</v>
      </c>
      <c r="J69" s="50" t="s">
        <v>85</v>
      </c>
      <c r="K69" s="50" t="s">
        <v>97</v>
      </c>
      <c r="L69" s="50">
        <v>2077434.0</v>
      </c>
      <c r="M69" s="50" t="s">
        <v>859</v>
      </c>
      <c r="N69" s="50" t="s">
        <v>97</v>
      </c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</row>
    <row r="70" ht="36.75" customHeight="1">
      <c r="A70" s="42" t="s">
        <v>73</v>
      </c>
      <c r="B70" s="50" t="s">
        <v>74</v>
      </c>
      <c r="C70" s="50" t="s">
        <v>74</v>
      </c>
      <c r="D70" s="50" t="s">
        <v>81</v>
      </c>
      <c r="E70" s="50">
        <v>2079720.0</v>
      </c>
      <c r="F70" s="50" t="s">
        <v>846</v>
      </c>
      <c r="G70" s="50" t="s">
        <v>81</v>
      </c>
      <c r="H70" s="42" t="s">
        <v>100</v>
      </c>
      <c r="I70" s="42" t="s">
        <v>84</v>
      </c>
      <c r="J70" s="50" t="s">
        <v>85</v>
      </c>
      <c r="K70" s="50" t="s">
        <v>98</v>
      </c>
      <c r="L70" s="50">
        <v>2087324.0</v>
      </c>
      <c r="M70" s="50" t="s">
        <v>1001</v>
      </c>
      <c r="N70" s="50" t="s">
        <v>80</v>
      </c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</row>
    <row r="71" ht="36.75" customHeight="1">
      <c r="A71" s="42" t="s">
        <v>73</v>
      </c>
      <c r="B71" s="50" t="s">
        <v>74</v>
      </c>
      <c r="C71" s="50" t="s">
        <v>74</v>
      </c>
      <c r="D71" s="50" t="s">
        <v>81</v>
      </c>
      <c r="E71" s="50">
        <v>9222340.0</v>
      </c>
      <c r="F71" s="50" t="s">
        <v>856</v>
      </c>
      <c r="G71" s="50" t="s">
        <v>81</v>
      </c>
      <c r="H71" s="42" t="s">
        <v>100</v>
      </c>
      <c r="I71" s="42" t="s">
        <v>84</v>
      </c>
      <c r="J71" s="50" t="s">
        <v>85</v>
      </c>
      <c r="K71" s="50" t="s">
        <v>84</v>
      </c>
      <c r="L71" s="50">
        <v>2079593.0</v>
      </c>
      <c r="M71" s="50" t="s">
        <v>1002</v>
      </c>
      <c r="N71" s="50" t="s">
        <v>84</v>
      </c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</row>
    <row r="72" ht="36.75" customHeight="1">
      <c r="A72" s="42" t="s">
        <v>73</v>
      </c>
      <c r="B72" s="50" t="s">
        <v>74</v>
      </c>
      <c r="C72" s="50" t="s">
        <v>74</v>
      </c>
      <c r="D72" s="50" t="s">
        <v>81</v>
      </c>
      <c r="E72" s="50">
        <v>6258484.0</v>
      </c>
      <c r="F72" s="50" t="s">
        <v>853</v>
      </c>
      <c r="G72" s="50" t="s">
        <v>81</v>
      </c>
      <c r="H72" s="42" t="s">
        <v>100</v>
      </c>
      <c r="I72" s="42" t="s">
        <v>84</v>
      </c>
      <c r="J72" s="50" t="s">
        <v>85</v>
      </c>
      <c r="K72" s="50" t="s">
        <v>99</v>
      </c>
      <c r="L72" s="50">
        <v>2079593.0</v>
      </c>
      <c r="M72" s="50" t="s">
        <v>1002</v>
      </c>
      <c r="N72" s="50" t="s">
        <v>84</v>
      </c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</row>
    <row r="73" ht="36.75" customHeight="1">
      <c r="A73" s="42" t="s">
        <v>73</v>
      </c>
      <c r="B73" s="50" t="s">
        <v>74</v>
      </c>
      <c r="C73" s="50" t="s">
        <v>74</v>
      </c>
      <c r="D73" s="50" t="s">
        <v>82</v>
      </c>
      <c r="E73" s="50">
        <v>3054527.0</v>
      </c>
      <c r="F73" s="50" t="s">
        <v>857</v>
      </c>
      <c r="G73" s="50" t="s">
        <v>82</v>
      </c>
      <c r="H73" s="90" t="s">
        <v>150</v>
      </c>
      <c r="I73" s="96" t="s">
        <v>151</v>
      </c>
      <c r="J73" s="96" t="s">
        <v>151</v>
      </c>
      <c r="K73" s="96" t="s">
        <v>152</v>
      </c>
      <c r="L73" s="96">
        <v>2774720.0</v>
      </c>
      <c r="M73" s="96" t="s">
        <v>1003</v>
      </c>
      <c r="N73" s="96" t="s">
        <v>152</v>
      </c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</row>
    <row r="74" ht="36.75" customHeight="1">
      <c r="A74" s="42" t="s">
        <v>73</v>
      </c>
      <c r="B74" s="50" t="s">
        <v>74</v>
      </c>
      <c r="C74" s="50" t="s">
        <v>74</v>
      </c>
      <c r="D74" s="50" t="s">
        <v>83</v>
      </c>
      <c r="E74" s="50">
        <v>3240290.0</v>
      </c>
      <c r="F74" s="50" t="s">
        <v>858</v>
      </c>
      <c r="G74" s="50" t="s">
        <v>83</v>
      </c>
      <c r="H74" s="90" t="s">
        <v>150</v>
      </c>
      <c r="I74" s="96" t="s">
        <v>151</v>
      </c>
      <c r="J74" s="96" t="s">
        <v>151</v>
      </c>
      <c r="K74" s="96" t="s">
        <v>153</v>
      </c>
      <c r="L74" s="96">
        <v>2791668.0</v>
      </c>
      <c r="M74" s="96" t="s">
        <v>1004</v>
      </c>
      <c r="N74" s="96" t="s">
        <v>153</v>
      </c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</row>
    <row r="75" ht="36.75" customHeight="1">
      <c r="A75" s="42" t="s">
        <v>100</v>
      </c>
      <c r="B75" s="42" t="s">
        <v>84</v>
      </c>
      <c r="C75" s="50" t="s">
        <v>85</v>
      </c>
      <c r="D75" s="50" t="s">
        <v>86</v>
      </c>
      <c r="E75" s="50">
        <v>2077434.0</v>
      </c>
      <c r="F75" s="50" t="s">
        <v>859</v>
      </c>
      <c r="G75" s="50" t="s">
        <v>97</v>
      </c>
      <c r="H75" s="90" t="s">
        <v>150</v>
      </c>
      <c r="I75" s="96" t="s">
        <v>151</v>
      </c>
      <c r="J75" s="96" t="s">
        <v>151</v>
      </c>
      <c r="K75" s="96" t="s">
        <v>154</v>
      </c>
      <c r="L75" s="96">
        <v>2790580.0</v>
      </c>
      <c r="M75" s="96" t="s">
        <v>1005</v>
      </c>
      <c r="N75" s="96" t="s">
        <v>151</v>
      </c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</row>
    <row r="76" ht="36.75" customHeight="1">
      <c r="A76" s="42" t="s">
        <v>100</v>
      </c>
      <c r="B76" s="42" t="s">
        <v>84</v>
      </c>
      <c r="C76" s="50" t="s">
        <v>85</v>
      </c>
      <c r="D76" s="50" t="s">
        <v>87</v>
      </c>
      <c r="E76" s="50">
        <v>2077434.0</v>
      </c>
      <c r="F76" s="50" t="s">
        <v>859</v>
      </c>
      <c r="G76" s="50" t="s">
        <v>97</v>
      </c>
      <c r="H76" s="90" t="s">
        <v>150</v>
      </c>
      <c r="I76" s="96" t="s">
        <v>151</v>
      </c>
      <c r="J76" s="96" t="s">
        <v>151</v>
      </c>
      <c r="K76" s="96" t="s">
        <v>155</v>
      </c>
      <c r="L76" s="96">
        <v>2790580.0</v>
      </c>
      <c r="M76" s="96" t="s">
        <v>1005</v>
      </c>
      <c r="N76" s="96" t="s">
        <v>151</v>
      </c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</row>
    <row r="77" ht="36.75" customHeight="1">
      <c r="A77" s="42" t="s">
        <v>100</v>
      </c>
      <c r="B77" s="42" t="s">
        <v>84</v>
      </c>
      <c r="C77" s="50" t="s">
        <v>85</v>
      </c>
      <c r="D77" s="50" t="s">
        <v>860</v>
      </c>
      <c r="E77" s="50">
        <v>2077434.0</v>
      </c>
      <c r="F77" s="50" t="s">
        <v>859</v>
      </c>
      <c r="G77" s="50" t="s">
        <v>97</v>
      </c>
      <c r="H77" s="90" t="s">
        <v>150</v>
      </c>
      <c r="I77" s="96" t="s">
        <v>151</v>
      </c>
      <c r="J77" s="96" t="s">
        <v>151</v>
      </c>
      <c r="K77" s="96" t="s">
        <v>151</v>
      </c>
      <c r="L77" s="96">
        <v>2790580.0</v>
      </c>
      <c r="M77" s="96" t="s">
        <v>1005</v>
      </c>
      <c r="N77" s="96" t="s">
        <v>151</v>
      </c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</row>
    <row r="78" ht="36.75" customHeight="1">
      <c r="A78" s="42" t="s">
        <v>100</v>
      </c>
      <c r="B78" s="42" t="s">
        <v>84</v>
      </c>
      <c r="C78" s="50" t="s">
        <v>85</v>
      </c>
      <c r="D78" s="50" t="s">
        <v>89</v>
      </c>
      <c r="E78" s="50">
        <v>2077434.0</v>
      </c>
      <c r="F78" s="50" t="s">
        <v>859</v>
      </c>
      <c r="G78" s="50" t="s">
        <v>97</v>
      </c>
      <c r="H78" s="90" t="s">
        <v>150</v>
      </c>
      <c r="I78" s="96" t="s">
        <v>151</v>
      </c>
      <c r="J78" s="96" t="s">
        <v>151</v>
      </c>
      <c r="K78" s="96" t="s">
        <v>156</v>
      </c>
      <c r="L78" s="96">
        <v>2774720.0</v>
      </c>
      <c r="M78" s="96" t="s">
        <v>1003</v>
      </c>
      <c r="N78" s="96" t="s">
        <v>152</v>
      </c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</row>
    <row r="79" ht="36.75" customHeight="1">
      <c r="A79" s="42" t="s">
        <v>100</v>
      </c>
      <c r="B79" s="42" t="s">
        <v>84</v>
      </c>
      <c r="C79" s="50" t="s">
        <v>85</v>
      </c>
      <c r="D79" s="50" t="s">
        <v>90</v>
      </c>
      <c r="E79" s="50">
        <v>2077434.0</v>
      </c>
      <c r="F79" s="50" t="s">
        <v>859</v>
      </c>
      <c r="G79" s="50" t="s">
        <v>97</v>
      </c>
      <c r="H79" s="90" t="s">
        <v>150</v>
      </c>
      <c r="I79" s="96" t="s">
        <v>151</v>
      </c>
      <c r="J79" s="96" t="s">
        <v>151</v>
      </c>
      <c r="K79" s="96" t="s">
        <v>157</v>
      </c>
      <c r="L79" s="96">
        <v>2790637.0</v>
      </c>
      <c r="M79" s="96" t="s">
        <v>1006</v>
      </c>
      <c r="N79" s="96" t="s">
        <v>158</v>
      </c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</row>
    <row r="80" ht="36.75" customHeight="1">
      <c r="A80" s="42" t="s">
        <v>100</v>
      </c>
      <c r="B80" s="42" t="s">
        <v>84</v>
      </c>
      <c r="C80" s="50" t="s">
        <v>85</v>
      </c>
      <c r="D80" s="50" t="s">
        <v>91</v>
      </c>
      <c r="E80" s="50">
        <v>2077434.0</v>
      </c>
      <c r="F80" s="50" t="s">
        <v>859</v>
      </c>
      <c r="G80" s="50" t="s">
        <v>97</v>
      </c>
      <c r="H80" s="90" t="s">
        <v>150</v>
      </c>
      <c r="I80" s="96" t="s">
        <v>151</v>
      </c>
      <c r="J80" s="96" t="s">
        <v>151</v>
      </c>
      <c r="K80" s="96" t="s">
        <v>158</v>
      </c>
      <c r="L80" s="96">
        <v>2790637.0</v>
      </c>
      <c r="M80" s="96" t="s">
        <v>1006</v>
      </c>
      <c r="N80" s="96" t="s">
        <v>158</v>
      </c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</row>
    <row r="81" ht="36.75" customHeight="1">
      <c r="A81" s="42" t="s">
        <v>100</v>
      </c>
      <c r="B81" s="42" t="s">
        <v>84</v>
      </c>
      <c r="C81" s="50" t="s">
        <v>85</v>
      </c>
      <c r="D81" s="50" t="s">
        <v>92</v>
      </c>
      <c r="E81" s="50">
        <v>2077434.0</v>
      </c>
      <c r="F81" s="50" t="s">
        <v>859</v>
      </c>
      <c r="G81" s="50" t="s">
        <v>97</v>
      </c>
      <c r="H81" s="90" t="s">
        <v>150</v>
      </c>
      <c r="I81" s="96" t="s">
        <v>151</v>
      </c>
      <c r="J81" s="96" t="s">
        <v>151</v>
      </c>
      <c r="K81" s="96" t="s">
        <v>159</v>
      </c>
      <c r="L81" s="96">
        <v>2791714.0</v>
      </c>
      <c r="M81" s="96" t="s">
        <v>1007</v>
      </c>
      <c r="N81" s="96" t="s">
        <v>159</v>
      </c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</row>
    <row r="82" ht="36.75" customHeight="1">
      <c r="A82" s="42" t="s">
        <v>100</v>
      </c>
      <c r="B82" s="42" t="s">
        <v>84</v>
      </c>
      <c r="C82" s="50" t="s">
        <v>85</v>
      </c>
      <c r="D82" s="50" t="s">
        <v>93</v>
      </c>
      <c r="E82" s="50">
        <v>6258484.0</v>
      </c>
      <c r="F82" s="50" t="s">
        <v>853</v>
      </c>
      <c r="G82" s="50" t="s">
        <v>81</v>
      </c>
      <c r="H82" s="90" t="s">
        <v>150</v>
      </c>
      <c r="I82" s="96" t="s">
        <v>151</v>
      </c>
      <c r="J82" s="96" t="s">
        <v>151</v>
      </c>
      <c r="K82" s="96" t="s">
        <v>160</v>
      </c>
      <c r="L82" s="96">
        <v>2077582.0</v>
      </c>
      <c r="M82" s="96" t="s">
        <v>1008</v>
      </c>
      <c r="N82" s="96" t="s">
        <v>160</v>
      </c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</row>
    <row r="83" ht="36.75" customHeight="1">
      <c r="A83" s="42" t="s">
        <v>100</v>
      </c>
      <c r="B83" s="42" t="s">
        <v>84</v>
      </c>
      <c r="C83" s="50" t="s">
        <v>85</v>
      </c>
      <c r="D83" s="50" t="s">
        <v>94</v>
      </c>
      <c r="E83" s="50">
        <v>2077434.0</v>
      </c>
      <c r="F83" s="50" t="s">
        <v>859</v>
      </c>
      <c r="G83" s="50" t="s">
        <v>97</v>
      </c>
      <c r="H83" s="90" t="s">
        <v>150</v>
      </c>
      <c r="I83" s="96" t="s">
        <v>151</v>
      </c>
      <c r="J83" s="96" t="s">
        <v>151</v>
      </c>
      <c r="K83" s="96" t="s">
        <v>161</v>
      </c>
      <c r="L83" s="96">
        <v>2790637.0</v>
      </c>
      <c r="M83" s="96" t="s">
        <v>1006</v>
      </c>
      <c r="N83" s="96" t="s">
        <v>158</v>
      </c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</row>
    <row r="84" ht="36.75" customHeight="1">
      <c r="A84" s="42" t="s">
        <v>100</v>
      </c>
      <c r="B84" s="42" t="s">
        <v>84</v>
      </c>
      <c r="C84" s="50" t="s">
        <v>85</v>
      </c>
      <c r="D84" s="50" t="s">
        <v>861</v>
      </c>
      <c r="E84" s="50">
        <v>2077434.0</v>
      </c>
      <c r="F84" s="50" t="s">
        <v>859</v>
      </c>
      <c r="G84" s="50" t="s">
        <v>97</v>
      </c>
      <c r="H84" s="90" t="s">
        <v>150</v>
      </c>
      <c r="I84" s="96" t="s">
        <v>151</v>
      </c>
      <c r="J84" s="96" t="s">
        <v>151</v>
      </c>
      <c r="K84" s="96" t="s">
        <v>162</v>
      </c>
      <c r="L84" s="96">
        <v>2082942.0</v>
      </c>
      <c r="M84" s="96" t="s">
        <v>1009</v>
      </c>
      <c r="N84" s="96" t="s">
        <v>162</v>
      </c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</row>
    <row r="85" ht="36.75" customHeight="1">
      <c r="A85" s="42" t="s">
        <v>100</v>
      </c>
      <c r="B85" s="42" t="s">
        <v>84</v>
      </c>
      <c r="C85" s="50" t="s">
        <v>85</v>
      </c>
      <c r="D85" s="50" t="s">
        <v>96</v>
      </c>
      <c r="E85" s="50">
        <v>2077434.0</v>
      </c>
      <c r="F85" s="50" t="s">
        <v>859</v>
      </c>
      <c r="G85" s="50" t="s">
        <v>97</v>
      </c>
      <c r="H85" s="90" t="s">
        <v>150</v>
      </c>
      <c r="I85" s="96" t="s">
        <v>151</v>
      </c>
      <c r="J85" s="96" t="s">
        <v>151</v>
      </c>
      <c r="K85" s="96" t="s">
        <v>163</v>
      </c>
      <c r="L85" s="96">
        <v>2790580.0</v>
      </c>
      <c r="M85" s="96" t="s">
        <v>1005</v>
      </c>
      <c r="N85" s="96" t="s">
        <v>151</v>
      </c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</row>
    <row r="86" ht="36.75" customHeight="1">
      <c r="A86" s="42" t="s">
        <v>100</v>
      </c>
      <c r="B86" s="42" t="s">
        <v>84</v>
      </c>
      <c r="C86" s="50" t="s">
        <v>85</v>
      </c>
      <c r="D86" s="50" t="s">
        <v>97</v>
      </c>
      <c r="E86" s="50">
        <v>2077434.0</v>
      </c>
      <c r="F86" s="50" t="s">
        <v>859</v>
      </c>
      <c r="G86" s="50" t="s">
        <v>97</v>
      </c>
      <c r="H86" s="90" t="s">
        <v>150</v>
      </c>
      <c r="I86" s="96" t="s">
        <v>151</v>
      </c>
      <c r="J86" s="96" t="s">
        <v>151</v>
      </c>
      <c r="K86" s="96" t="s">
        <v>164</v>
      </c>
      <c r="L86" s="96">
        <v>2791749.0</v>
      </c>
      <c r="M86" s="96" t="s">
        <v>1010</v>
      </c>
      <c r="N86" s="96" t="s">
        <v>164</v>
      </c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</row>
    <row r="87" ht="36.75" customHeight="1">
      <c r="A87" s="42" t="s">
        <v>100</v>
      </c>
      <c r="B87" s="42" t="s">
        <v>84</v>
      </c>
      <c r="C87" s="50" t="s">
        <v>85</v>
      </c>
      <c r="D87" s="50" t="s">
        <v>98</v>
      </c>
      <c r="E87" s="50">
        <v>6258484.0</v>
      </c>
      <c r="F87" s="50" t="s">
        <v>853</v>
      </c>
      <c r="G87" s="50" t="s">
        <v>81</v>
      </c>
      <c r="H87" s="90" t="s">
        <v>150</v>
      </c>
      <c r="I87" s="96" t="s">
        <v>151</v>
      </c>
      <c r="J87" s="96" t="s">
        <v>151</v>
      </c>
      <c r="K87" s="96" t="s">
        <v>165</v>
      </c>
      <c r="L87" s="96">
        <v>2080370.0</v>
      </c>
      <c r="M87" s="96" t="s">
        <v>1011</v>
      </c>
      <c r="N87" s="96" t="s">
        <v>165</v>
      </c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</row>
    <row r="88" ht="36.75" customHeight="1">
      <c r="A88" s="42" t="s">
        <v>100</v>
      </c>
      <c r="B88" s="42" t="s">
        <v>84</v>
      </c>
      <c r="C88" s="50" t="s">
        <v>85</v>
      </c>
      <c r="D88" s="50" t="s">
        <v>84</v>
      </c>
      <c r="E88" s="50">
        <v>2077434.0</v>
      </c>
      <c r="F88" s="50" t="s">
        <v>859</v>
      </c>
      <c r="G88" s="50" t="s">
        <v>97</v>
      </c>
      <c r="H88" s="90" t="s">
        <v>150</v>
      </c>
      <c r="I88" s="96" t="s">
        <v>151</v>
      </c>
      <c r="J88" s="96" t="s">
        <v>151</v>
      </c>
      <c r="K88" s="96" t="s">
        <v>166</v>
      </c>
      <c r="L88" s="96">
        <v>2790580.0</v>
      </c>
      <c r="M88" s="96" t="s">
        <v>1005</v>
      </c>
      <c r="N88" s="96" t="s">
        <v>151</v>
      </c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</row>
    <row r="89" ht="36.75" customHeight="1">
      <c r="A89" s="42" t="s">
        <v>100</v>
      </c>
      <c r="B89" s="42" t="s">
        <v>84</v>
      </c>
      <c r="C89" s="50" t="s">
        <v>85</v>
      </c>
      <c r="D89" s="50" t="s">
        <v>99</v>
      </c>
      <c r="E89" s="50">
        <v>2077434.0</v>
      </c>
      <c r="F89" s="50" t="s">
        <v>859</v>
      </c>
      <c r="G89" s="50" t="s">
        <v>97</v>
      </c>
      <c r="H89" s="90" t="s">
        <v>150</v>
      </c>
      <c r="I89" s="96" t="s">
        <v>151</v>
      </c>
      <c r="J89" s="96" t="s">
        <v>151</v>
      </c>
      <c r="K89" s="96" t="s">
        <v>167</v>
      </c>
      <c r="L89" s="96">
        <v>2790580.0</v>
      </c>
      <c r="M89" s="96" t="s">
        <v>1005</v>
      </c>
      <c r="N89" s="96" t="s">
        <v>151</v>
      </c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</row>
    <row r="90" ht="36.75" customHeight="1">
      <c r="A90" s="90" t="s">
        <v>150</v>
      </c>
      <c r="B90" s="93" t="s">
        <v>151</v>
      </c>
      <c r="C90" s="93" t="s">
        <v>151</v>
      </c>
      <c r="D90" s="93" t="s">
        <v>152</v>
      </c>
      <c r="E90" s="93">
        <v>7637160.0</v>
      </c>
      <c r="F90" s="93" t="s">
        <v>862</v>
      </c>
      <c r="G90" s="93" t="s">
        <v>151</v>
      </c>
      <c r="H90" s="90" t="s">
        <v>150</v>
      </c>
      <c r="I90" s="96" t="s">
        <v>151</v>
      </c>
      <c r="J90" s="96" t="s">
        <v>151</v>
      </c>
      <c r="K90" s="96" t="s">
        <v>168</v>
      </c>
      <c r="L90" s="96">
        <v>2790580.0</v>
      </c>
      <c r="M90" s="96" t="s">
        <v>1005</v>
      </c>
      <c r="N90" s="96" t="s">
        <v>151</v>
      </c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</row>
    <row r="91" ht="36.75" customHeight="1">
      <c r="A91" s="90" t="s">
        <v>150</v>
      </c>
      <c r="B91" s="93" t="s">
        <v>151</v>
      </c>
      <c r="C91" s="93" t="s">
        <v>151</v>
      </c>
      <c r="D91" s="93" t="s">
        <v>153</v>
      </c>
      <c r="E91" s="93">
        <v>7637160.0</v>
      </c>
      <c r="F91" s="93" t="s">
        <v>862</v>
      </c>
      <c r="G91" s="93" t="s">
        <v>151</v>
      </c>
      <c r="H91" s="90" t="s">
        <v>150</v>
      </c>
      <c r="I91" s="96" t="s">
        <v>151</v>
      </c>
      <c r="J91" s="96" t="s">
        <v>169</v>
      </c>
      <c r="K91" s="96" t="s">
        <v>170</v>
      </c>
      <c r="L91" s="96">
        <v>2791676.0</v>
      </c>
      <c r="M91" s="96" t="s">
        <v>1012</v>
      </c>
      <c r="N91" s="96" t="s">
        <v>170</v>
      </c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</row>
    <row r="92" ht="36.75" customHeight="1">
      <c r="A92" s="90" t="s">
        <v>150</v>
      </c>
      <c r="B92" s="93" t="s">
        <v>151</v>
      </c>
      <c r="C92" s="93" t="s">
        <v>151</v>
      </c>
      <c r="D92" s="93" t="s">
        <v>154</v>
      </c>
      <c r="E92" s="93">
        <v>7637160.0</v>
      </c>
      <c r="F92" s="93" t="s">
        <v>862</v>
      </c>
      <c r="G92" s="93" t="s">
        <v>151</v>
      </c>
      <c r="H92" s="90" t="s">
        <v>150</v>
      </c>
      <c r="I92" s="96" t="s">
        <v>151</v>
      </c>
      <c r="J92" s="96" t="s">
        <v>169</v>
      </c>
      <c r="K92" s="96" t="s">
        <v>171</v>
      </c>
      <c r="L92" s="96">
        <v>2082632.0</v>
      </c>
      <c r="M92" s="96" t="s">
        <v>1013</v>
      </c>
      <c r="N92" s="96" t="s">
        <v>171</v>
      </c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</row>
    <row r="93" ht="36.75" customHeight="1">
      <c r="A93" s="90" t="s">
        <v>150</v>
      </c>
      <c r="B93" s="93" t="s">
        <v>151</v>
      </c>
      <c r="C93" s="93" t="s">
        <v>151</v>
      </c>
      <c r="D93" s="93" t="s">
        <v>155</v>
      </c>
      <c r="E93" s="93">
        <v>7637160.0</v>
      </c>
      <c r="F93" s="93" t="s">
        <v>862</v>
      </c>
      <c r="G93" s="93" t="s">
        <v>151</v>
      </c>
      <c r="H93" s="90" t="s">
        <v>150</v>
      </c>
      <c r="I93" s="96" t="s">
        <v>151</v>
      </c>
      <c r="J93" s="96" t="s">
        <v>169</v>
      </c>
      <c r="K93" s="96" t="s">
        <v>172</v>
      </c>
      <c r="L93" s="96">
        <v>2791722.0</v>
      </c>
      <c r="M93" s="96" t="s">
        <v>1014</v>
      </c>
      <c r="N93" s="96" t="s">
        <v>169</v>
      </c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</row>
    <row r="94" ht="36.75" customHeight="1">
      <c r="A94" s="90" t="s">
        <v>150</v>
      </c>
      <c r="B94" s="93" t="s">
        <v>151</v>
      </c>
      <c r="C94" s="93" t="s">
        <v>151</v>
      </c>
      <c r="D94" s="93" t="s">
        <v>151</v>
      </c>
      <c r="E94" s="93">
        <v>7637160.0</v>
      </c>
      <c r="F94" s="93" t="s">
        <v>862</v>
      </c>
      <c r="G94" s="93" t="s">
        <v>151</v>
      </c>
      <c r="H94" s="90" t="s">
        <v>150</v>
      </c>
      <c r="I94" s="96" t="s">
        <v>151</v>
      </c>
      <c r="J94" s="96" t="s">
        <v>169</v>
      </c>
      <c r="K94" s="96" t="s">
        <v>173</v>
      </c>
      <c r="L94" s="96">
        <v>2791676.0</v>
      </c>
      <c r="M94" s="96" t="s">
        <v>1012</v>
      </c>
      <c r="N94" s="96" t="s">
        <v>170</v>
      </c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</row>
    <row r="95" ht="36.75" customHeight="1">
      <c r="A95" s="90" t="s">
        <v>150</v>
      </c>
      <c r="B95" s="93" t="s">
        <v>151</v>
      </c>
      <c r="C95" s="93" t="s">
        <v>151</v>
      </c>
      <c r="D95" s="93" t="s">
        <v>156</v>
      </c>
      <c r="E95" s="93">
        <v>7637160.0</v>
      </c>
      <c r="F95" s="93" t="s">
        <v>862</v>
      </c>
      <c r="G95" s="93" t="s">
        <v>151</v>
      </c>
      <c r="H95" s="90" t="s">
        <v>150</v>
      </c>
      <c r="I95" s="96" t="s">
        <v>151</v>
      </c>
      <c r="J95" s="96" t="s">
        <v>169</v>
      </c>
      <c r="K95" s="96" t="s">
        <v>174</v>
      </c>
      <c r="L95" s="96">
        <v>2081784.0</v>
      </c>
      <c r="M95" s="96" t="s">
        <v>1015</v>
      </c>
      <c r="N95" s="96" t="s">
        <v>174</v>
      </c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</row>
    <row r="96" ht="36.75" customHeight="1">
      <c r="A96" s="90" t="s">
        <v>150</v>
      </c>
      <c r="B96" s="93" t="s">
        <v>151</v>
      </c>
      <c r="C96" s="93" t="s">
        <v>151</v>
      </c>
      <c r="D96" s="93" t="s">
        <v>157</v>
      </c>
      <c r="E96" s="93">
        <v>7637160.0</v>
      </c>
      <c r="F96" s="93" t="s">
        <v>862</v>
      </c>
      <c r="G96" s="93" t="s">
        <v>151</v>
      </c>
      <c r="H96" s="90" t="s">
        <v>150</v>
      </c>
      <c r="I96" s="96" t="s">
        <v>151</v>
      </c>
      <c r="J96" s="96" t="s">
        <v>169</v>
      </c>
      <c r="K96" s="96" t="s">
        <v>175</v>
      </c>
      <c r="L96" s="96">
        <v>2791692.0</v>
      </c>
      <c r="M96" s="96" t="s">
        <v>1016</v>
      </c>
      <c r="N96" s="96" t="s">
        <v>175</v>
      </c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</row>
    <row r="97" ht="36.75" customHeight="1">
      <c r="A97" s="90" t="s">
        <v>150</v>
      </c>
      <c r="B97" s="93" t="s">
        <v>151</v>
      </c>
      <c r="C97" s="93" t="s">
        <v>151</v>
      </c>
      <c r="D97" s="93" t="s">
        <v>158</v>
      </c>
      <c r="E97" s="93">
        <v>7637160.0</v>
      </c>
      <c r="F97" s="93" t="s">
        <v>862</v>
      </c>
      <c r="G97" s="93" t="s">
        <v>151</v>
      </c>
      <c r="H97" s="90" t="s">
        <v>150</v>
      </c>
      <c r="I97" s="96" t="s">
        <v>151</v>
      </c>
      <c r="J97" s="96" t="s">
        <v>169</v>
      </c>
      <c r="K97" s="96" t="s">
        <v>176</v>
      </c>
      <c r="L97" s="96">
        <v>2082632.0</v>
      </c>
      <c r="M97" s="96" t="s">
        <v>1013</v>
      </c>
      <c r="N97" s="96" t="s">
        <v>171</v>
      </c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</row>
    <row r="98" ht="36.75" customHeight="1">
      <c r="A98" s="90" t="s">
        <v>150</v>
      </c>
      <c r="B98" s="93" t="s">
        <v>151</v>
      </c>
      <c r="C98" s="93" t="s">
        <v>151</v>
      </c>
      <c r="D98" s="93" t="s">
        <v>159</v>
      </c>
      <c r="E98" s="93">
        <v>7637160.0</v>
      </c>
      <c r="F98" s="93" t="s">
        <v>862</v>
      </c>
      <c r="G98" s="93" t="s">
        <v>151</v>
      </c>
      <c r="H98" s="90" t="s">
        <v>150</v>
      </c>
      <c r="I98" s="96" t="s">
        <v>151</v>
      </c>
      <c r="J98" s="96" t="s">
        <v>169</v>
      </c>
      <c r="K98" s="96" t="s">
        <v>177</v>
      </c>
      <c r="L98" s="96">
        <v>2791676.0</v>
      </c>
      <c r="M98" s="96" t="s">
        <v>1012</v>
      </c>
      <c r="N98" s="96" t="s">
        <v>170</v>
      </c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</row>
    <row r="99" ht="36.75" customHeight="1">
      <c r="A99" s="90" t="s">
        <v>150</v>
      </c>
      <c r="B99" s="93" t="s">
        <v>151</v>
      </c>
      <c r="C99" s="93" t="s">
        <v>151</v>
      </c>
      <c r="D99" s="93" t="s">
        <v>160</v>
      </c>
      <c r="E99" s="93">
        <v>7637160.0</v>
      </c>
      <c r="F99" s="93" t="s">
        <v>862</v>
      </c>
      <c r="G99" s="93" t="s">
        <v>151</v>
      </c>
      <c r="H99" s="90" t="s">
        <v>150</v>
      </c>
      <c r="I99" s="96" t="s">
        <v>151</v>
      </c>
      <c r="J99" s="96" t="s">
        <v>169</v>
      </c>
      <c r="K99" s="96" t="s">
        <v>178</v>
      </c>
      <c r="L99" s="96">
        <v>2791722.0</v>
      </c>
      <c r="M99" s="96" t="s">
        <v>1014</v>
      </c>
      <c r="N99" s="96" t="s">
        <v>169</v>
      </c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</row>
    <row r="100" ht="36.75" customHeight="1">
      <c r="A100" s="90" t="s">
        <v>150</v>
      </c>
      <c r="B100" s="93" t="s">
        <v>151</v>
      </c>
      <c r="C100" s="93" t="s">
        <v>151</v>
      </c>
      <c r="D100" s="93" t="s">
        <v>161</v>
      </c>
      <c r="E100" s="93">
        <v>7637160.0</v>
      </c>
      <c r="F100" s="93" t="s">
        <v>862</v>
      </c>
      <c r="G100" s="93" t="s">
        <v>151</v>
      </c>
      <c r="H100" s="90" t="s">
        <v>150</v>
      </c>
      <c r="I100" s="96" t="s">
        <v>151</v>
      </c>
      <c r="J100" s="96" t="s">
        <v>169</v>
      </c>
      <c r="K100" s="96" t="s">
        <v>169</v>
      </c>
      <c r="L100" s="96">
        <v>2791722.0</v>
      </c>
      <c r="M100" s="96" t="s">
        <v>1014</v>
      </c>
      <c r="N100" s="96" t="s">
        <v>169</v>
      </c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</row>
    <row r="101" ht="36.75" customHeight="1">
      <c r="A101" s="90" t="s">
        <v>150</v>
      </c>
      <c r="B101" s="93" t="s">
        <v>151</v>
      </c>
      <c r="C101" s="93" t="s">
        <v>151</v>
      </c>
      <c r="D101" s="93" t="s">
        <v>162</v>
      </c>
      <c r="E101" s="93">
        <v>7637160.0</v>
      </c>
      <c r="F101" s="93" t="s">
        <v>862</v>
      </c>
      <c r="G101" s="93" t="s">
        <v>151</v>
      </c>
      <c r="H101" s="90" t="s">
        <v>150</v>
      </c>
      <c r="I101" s="96" t="s">
        <v>151</v>
      </c>
      <c r="J101" s="96" t="s">
        <v>169</v>
      </c>
      <c r="K101" s="96" t="s">
        <v>179</v>
      </c>
      <c r="L101" s="96">
        <v>2791722.0</v>
      </c>
      <c r="M101" s="96" t="s">
        <v>1014</v>
      </c>
      <c r="N101" s="96" t="s">
        <v>169</v>
      </c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</row>
    <row r="102" ht="36.75" customHeight="1">
      <c r="A102" s="90" t="s">
        <v>150</v>
      </c>
      <c r="B102" s="93" t="s">
        <v>151</v>
      </c>
      <c r="C102" s="93" t="s">
        <v>151</v>
      </c>
      <c r="D102" s="93" t="s">
        <v>163</v>
      </c>
      <c r="E102" s="93">
        <v>7637160.0</v>
      </c>
      <c r="F102" s="93" t="s">
        <v>862</v>
      </c>
      <c r="G102" s="93" t="s">
        <v>151</v>
      </c>
      <c r="H102" s="90" t="s">
        <v>150</v>
      </c>
      <c r="I102" s="96" t="s">
        <v>151</v>
      </c>
      <c r="J102" s="96" t="s">
        <v>169</v>
      </c>
      <c r="K102" s="96" t="s">
        <v>180</v>
      </c>
      <c r="L102" s="96">
        <v>2791722.0</v>
      </c>
      <c r="M102" s="96" t="s">
        <v>1014</v>
      </c>
      <c r="N102" s="96" t="s">
        <v>169</v>
      </c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</row>
    <row r="103" ht="36.75" customHeight="1">
      <c r="A103" s="90" t="s">
        <v>150</v>
      </c>
      <c r="B103" s="93" t="s">
        <v>151</v>
      </c>
      <c r="C103" s="93" t="s">
        <v>151</v>
      </c>
      <c r="D103" s="93" t="s">
        <v>164</v>
      </c>
      <c r="E103" s="93">
        <v>7637160.0</v>
      </c>
      <c r="F103" s="93" t="s">
        <v>862</v>
      </c>
      <c r="G103" s="93" t="s">
        <v>151</v>
      </c>
      <c r="H103" s="90" t="s">
        <v>150</v>
      </c>
      <c r="I103" s="96" t="s">
        <v>151</v>
      </c>
      <c r="J103" s="96" t="s">
        <v>181</v>
      </c>
      <c r="K103" s="96" t="s">
        <v>182</v>
      </c>
      <c r="L103" s="96">
        <v>2791684.0</v>
      </c>
      <c r="M103" s="96" t="s">
        <v>1017</v>
      </c>
      <c r="N103" s="96" t="s">
        <v>182</v>
      </c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</row>
    <row r="104" ht="36.75" customHeight="1">
      <c r="A104" s="90" t="s">
        <v>150</v>
      </c>
      <c r="B104" s="93" t="s">
        <v>151</v>
      </c>
      <c r="C104" s="93" t="s">
        <v>151</v>
      </c>
      <c r="D104" s="93" t="s">
        <v>165</v>
      </c>
      <c r="E104" s="93">
        <v>7637160.0</v>
      </c>
      <c r="F104" s="93" t="s">
        <v>862</v>
      </c>
      <c r="G104" s="93" t="s">
        <v>151</v>
      </c>
      <c r="H104" s="90" t="s">
        <v>150</v>
      </c>
      <c r="I104" s="96" t="s">
        <v>151</v>
      </c>
      <c r="J104" s="96" t="s">
        <v>181</v>
      </c>
      <c r="K104" s="96" t="s">
        <v>183</v>
      </c>
      <c r="L104" s="96">
        <v>2758245.0</v>
      </c>
      <c r="M104" s="96" t="s">
        <v>1018</v>
      </c>
      <c r="N104" s="96" t="s">
        <v>181</v>
      </c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</row>
    <row r="105" ht="36.75" customHeight="1">
      <c r="A105" s="90" t="s">
        <v>150</v>
      </c>
      <c r="B105" s="93" t="s">
        <v>151</v>
      </c>
      <c r="C105" s="93" t="s">
        <v>151</v>
      </c>
      <c r="D105" s="93" t="s">
        <v>166</v>
      </c>
      <c r="E105" s="93">
        <v>7637160.0</v>
      </c>
      <c r="F105" s="93" t="s">
        <v>862</v>
      </c>
      <c r="G105" s="93" t="s">
        <v>151</v>
      </c>
      <c r="H105" s="90" t="s">
        <v>150</v>
      </c>
      <c r="I105" s="96" t="s">
        <v>151</v>
      </c>
      <c r="J105" s="96" t="s">
        <v>181</v>
      </c>
      <c r="K105" s="96" t="s">
        <v>184</v>
      </c>
      <c r="L105" s="96">
        <v>2758245.0</v>
      </c>
      <c r="M105" s="96" t="s">
        <v>1018</v>
      </c>
      <c r="N105" s="96" t="s">
        <v>181</v>
      </c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</row>
    <row r="106" ht="36.75" customHeight="1">
      <c r="A106" s="90" t="s">
        <v>150</v>
      </c>
      <c r="B106" s="93" t="s">
        <v>151</v>
      </c>
      <c r="C106" s="93" t="s">
        <v>151</v>
      </c>
      <c r="D106" s="93" t="s">
        <v>167</v>
      </c>
      <c r="E106" s="93">
        <v>7637160.0</v>
      </c>
      <c r="F106" s="93" t="s">
        <v>862</v>
      </c>
      <c r="G106" s="93" t="s">
        <v>151</v>
      </c>
      <c r="H106" s="90" t="s">
        <v>150</v>
      </c>
      <c r="I106" s="96" t="s">
        <v>151</v>
      </c>
      <c r="J106" s="96" t="s">
        <v>181</v>
      </c>
      <c r="K106" s="96" t="s">
        <v>181</v>
      </c>
      <c r="L106" s="96">
        <v>2758245.0</v>
      </c>
      <c r="M106" s="96" t="s">
        <v>1018</v>
      </c>
      <c r="N106" s="96" t="s">
        <v>181</v>
      </c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</row>
    <row r="107" ht="36.75" customHeight="1">
      <c r="A107" s="90" t="s">
        <v>150</v>
      </c>
      <c r="B107" s="93" t="s">
        <v>151</v>
      </c>
      <c r="C107" s="93" t="s">
        <v>151</v>
      </c>
      <c r="D107" s="93" t="s">
        <v>168</v>
      </c>
      <c r="E107" s="93">
        <v>7637160.0</v>
      </c>
      <c r="F107" s="93" t="s">
        <v>862</v>
      </c>
      <c r="G107" s="93" t="s">
        <v>151</v>
      </c>
      <c r="H107" s="90" t="s">
        <v>150</v>
      </c>
      <c r="I107" s="96" t="s">
        <v>151</v>
      </c>
      <c r="J107" s="96" t="s">
        <v>181</v>
      </c>
      <c r="K107" s="96" t="s">
        <v>185</v>
      </c>
      <c r="L107" s="96">
        <v>2791684.0</v>
      </c>
      <c r="M107" s="96" t="s">
        <v>1017</v>
      </c>
      <c r="N107" s="96" t="s">
        <v>182</v>
      </c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</row>
    <row r="108" ht="36.75" customHeight="1">
      <c r="A108" s="90" t="s">
        <v>150</v>
      </c>
      <c r="B108" s="93" t="s">
        <v>151</v>
      </c>
      <c r="C108" s="93" t="s">
        <v>169</v>
      </c>
      <c r="D108" s="93" t="s">
        <v>170</v>
      </c>
      <c r="E108" s="93">
        <v>9113606.0</v>
      </c>
      <c r="F108" s="93" t="s">
        <v>863</v>
      </c>
      <c r="G108" s="93" t="s">
        <v>169</v>
      </c>
      <c r="H108" s="90" t="s">
        <v>150</v>
      </c>
      <c r="I108" s="96" t="s">
        <v>151</v>
      </c>
      <c r="J108" s="96" t="s">
        <v>181</v>
      </c>
      <c r="K108" s="96" t="s">
        <v>186</v>
      </c>
      <c r="L108" s="96">
        <v>2758245.0</v>
      </c>
      <c r="M108" s="96" t="s">
        <v>1018</v>
      </c>
      <c r="N108" s="96" t="s">
        <v>181</v>
      </c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</row>
    <row r="109" ht="36.75" customHeight="1">
      <c r="A109" s="90" t="s">
        <v>150</v>
      </c>
      <c r="B109" s="93" t="s">
        <v>151</v>
      </c>
      <c r="C109" s="93" t="s">
        <v>169</v>
      </c>
      <c r="D109" s="93" t="s">
        <v>171</v>
      </c>
      <c r="E109" s="93">
        <v>9113606.0</v>
      </c>
      <c r="F109" s="93" t="s">
        <v>863</v>
      </c>
      <c r="G109" s="93" t="s">
        <v>169</v>
      </c>
      <c r="H109" s="90" t="s">
        <v>150</v>
      </c>
      <c r="I109" s="96" t="s">
        <v>151</v>
      </c>
      <c r="J109" s="96" t="s">
        <v>181</v>
      </c>
      <c r="K109" s="96" t="s">
        <v>187</v>
      </c>
      <c r="L109" s="96">
        <v>2758245.0</v>
      </c>
      <c r="M109" s="96" t="s">
        <v>1018</v>
      </c>
      <c r="N109" s="96" t="s">
        <v>181</v>
      </c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</row>
    <row r="110" ht="36.75" customHeight="1">
      <c r="A110" s="90" t="s">
        <v>150</v>
      </c>
      <c r="B110" s="93" t="s">
        <v>151</v>
      </c>
      <c r="C110" s="93" t="s">
        <v>169</v>
      </c>
      <c r="D110" s="93" t="s">
        <v>172</v>
      </c>
      <c r="E110" s="93">
        <v>9113606.0</v>
      </c>
      <c r="F110" s="93" t="s">
        <v>863</v>
      </c>
      <c r="G110" s="93" t="s">
        <v>169</v>
      </c>
      <c r="H110" s="90" t="s">
        <v>150</v>
      </c>
      <c r="I110" s="96" t="s">
        <v>151</v>
      </c>
      <c r="J110" s="96" t="s">
        <v>181</v>
      </c>
      <c r="K110" s="96" t="s">
        <v>188</v>
      </c>
      <c r="L110" s="96">
        <v>2791684.0</v>
      </c>
      <c r="M110" s="96" t="s">
        <v>1017</v>
      </c>
      <c r="N110" s="96" t="s">
        <v>182</v>
      </c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</row>
    <row r="111" ht="36.75" customHeight="1">
      <c r="A111" s="90" t="s">
        <v>150</v>
      </c>
      <c r="B111" s="93" t="s">
        <v>151</v>
      </c>
      <c r="C111" s="93" t="s">
        <v>169</v>
      </c>
      <c r="D111" s="93" t="s">
        <v>173</v>
      </c>
      <c r="E111" s="93">
        <v>9113606.0</v>
      </c>
      <c r="F111" s="93" t="s">
        <v>863</v>
      </c>
      <c r="G111" s="93" t="s">
        <v>169</v>
      </c>
      <c r="H111" s="90" t="s">
        <v>150</v>
      </c>
      <c r="I111" s="96" t="s">
        <v>151</v>
      </c>
      <c r="J111" s="96" t="s">
        <v>189</v>
      </c>
      <c r="K111" s="96" t="s">
        <v>190</v>
      </c>
      <c r="L111" s="96">
        <v>2748223.0</v>
      </c>
      <c r="M111" s="96" t="s">
        <v>865</v>
      </c>
      <c r="N111" s="96" t="s">
        <v>193</v>
      </c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</row>
    <row r="112" ht="36.75" customHeight="1">
      <c r="A112" s="90" t="s">
        <v>150</v>
      </c>
      <c r="B112" s="93" t="s">
        <v>151</v>
      </c>
      <c r="C112" s="93" t="s">
        <v>169</v>
      </c>
      <c r="D112" s="93" t="s">
        <v>174</v>
      </c>
      <c r="E112" s="93">
        <v>9113606.0</v>
      </c>
      <c r="F112" s="93" t="s">
        <v>863</v>
      </c>
      <c r="G112" s="93" t="s">
        <v>169</v>
      </c>
      <c r="H112" s="90" t="s">
        <v>150</v>
      </c>
      <c r="I112" s="96" t="s">
        <v>151</v>
      </c>
      <c r="J112" s="96" t="s">
        <v>189</v>
      </c>
      <c r="K112" s="96" t="s">
        <v>191</v>
      </c>
      <c r="L112" s="96">
        <v>2080443.0</v>
      </c>
      <c r="M112" s="96" t="s">
        <v>1019</v>
      </c>
      <c r="N112" s="96" t="s">
        <v>201</v>
      </c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</row>
    <row r="113" ht="36.75" customHeight="1">
      <c r="A113" s="90" t="s">
        <v>150</v>
      </c>
      <c r="B113" s="93" t="s">
        <v>151</v>
      </c>
      <c r="C113" s="93" t="s">
        <v>169</v>
      </c>
      <c r="D113" s="93" t="s">
        <v>175</v>
      </c>
      <c r="E113" s="93">
        <v>9113606.0</v>
      </c>
      <c r="F113" s="93" t="s">
        <v>863</v>
      </c>
      <c r="G113" s="93" t="s">
        <v>169</v>
      </c>
      <c r="H113" s="90" t="s">
        <v>150</v>
      </c>
      <c r="I113" s="96" t="s">
        <v>151</v>
      </c>
      <c r="J113" s="96" t="s">
        <v>189</v>
      </c>
      <c r="K113" s="96" t="s">
        <v>192</v>
      </c>
      <c r="L113" s="96">
        <v>2748223.0</v>
      </c>
      <c r="M113" s="96" t="s">
        <v>865</v>
      </c>
      <c r="N113" s="96" t="s">
        <v>193</v>
      </c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</row>
    <row r="114" ht="36.75" customHeight="1">
      <c r="A114" s="90" t="s">
        <v>150</v>
      </c>
      <c r="B114" s="93" t="s">
        <v>151</v>
      </c>
      <c r="C114" s="93" t="s">
        <v>169</v>
      </c>
      <c r="D114" s="93" t="s">
        <v>176</v>
      </c>
      <c r="E114" s="93">
        <v>9113606.0</v>
      </c>
      <c r="F114" s="93" t="s">
        <v>863</v>
      </c>
      <c r="G114" s="93" t="s">
        <v>169</v>
      </c>
      <c r="H114" s="90" t="s">
        <v>150</v>
      </c>
      <c r="I114" s="96" t="s">
        <v>151</v>
      </c>
      <c r="J114" s="96" t="s">
        <v>189</v>
      </c>
      <c r="K114" s="96" t="s">
        <v>193</v>
      </c>
      <c r="L114" s="96">
        <v>2748223.0</v>
      </c>
      <c r="M114" s="96" t="s">
        <v>865</v>
      </c>
      <c r="N114" s="96" t="s">
        <v>193</v>
      </c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</row>
    <row r="115" ht="36.75" customHeight="1">
      <c r="A115" s="90" t="s">
        <v>150</v>
      </c>
      <c r="B115" s="93" t="s">
        <v>151</v>
      </c>
      <c r="C115" s="93" t="s">
        <v>169</v>
      </c>
      <c r="D115" s="93" t="s">
        <v>177</v>
      </c>
      <c r="E115" s="93">
        <v>9113606.0</v>
      </c>
      <c r="F115" s="93" t="s">
        <v>863</v>
      </c>
      <c r="G115" s="93" t="s">
        <v>169</v>
      </c>
      <c r="H115" s="90" t="s">
        <v>150</v>
      </c>
      <c r="I115" s="96" t="s">
        <v>151</v>
      </c>
      <c r="J115" s="96" t="s">
        <v>189</v>
      </c>
      <c r="K115" s="96" t="s">
        <v>194</v>
      </c>
      <c r="L115" s="96">
        <v>2079976.0</v>
      </c>
      <c r="M115" s="96" t="s">
        <v>1020</v>
      </c>
      <c r="N115" s="96" t="s">
        <v>196</v>
      </c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</row>
    <row r="116" ht="36.75" customHeight="1">
      <c r="A116" s="90" t="s">
        <v>150</v>
      </c>
      <c r="B116" s="93" t="s">
        <v>151</v>
      </c>
      <c r="C116" s="93" t="s">
        <v>169</v>
      </c>
      <c r="D116" s="93" t="s">
        <v>178</v>
      </c>
      <c r="E116" s="93">
        <v>9113606.0</v>
      </c>
      <c r="F116" s="93" t="s">
        <v>863</v>
      </c>
      <c r="G116" s="93" t="s">
        <v>169</v>
      </c>
      <c r="H116" s="90" t="s">
        <v>150</v>
      </c>
      <c r="I116" s="96" t="s">
        <v>151</v>
      </c>
      <c r="J116" s="96" t="s">
        <v>189</v>
      </c>
      <c r="K116" s="96" t="s">
        <v>195</v>
      </c>
      <c r="L116" s="96">
        <v>2748223.0</v>
      </c>
      <c r="M116" s="96" t="s">
        <v>865</v>
      </c>
      <c r="N116" s="96" t="s">
        <v>193</v>
      </c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</row>
    <row r="117" ht="36.75" customHeight="1">
      <c r="A117" s="90" t="s">
        <v>150</v>
      </c>
      <c r="B117" s="93" t="s">
        <v>151</v>
      </c>
      <c r="C117" s="93" t="s">
        <v>169</v>
      </c>
      <c r="D117" s="93" t="s">
        <v>169</v>
      </c>
      <c r="E117" s="93">
        <v>9113606.0</v>
      </c>
      <c r="F117" s="93" t="s">
        <v>863</v>
      </c>
      <c r="G117" s="93" t="s">
        <v>169</v>
      </c>
      <c r="H117" s="90" t="s">
        <v>150</v>
      </c>
      <c r="I117" s="96" t="s">
        <v>151</v>
      </c>
      <c r="J117" s="96" t="s">
        <v>189</v>
      </c>
      <c r="K117" s="96" t="s">
        <v>196</v>
      </c>
      <c r="L117" s="96">
        <v>2079976.0</v>
      </c>
      <c r="M117" s="96" t="s">
        <v>1020</v>
      </c>
      <c r="N117" s="96" t="s">
        <v>196</v>
      </c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</row>
    <row r="118" ht="36.75" customHeight="1">
      <c r="A118" s="90" t="s">
        <v>150</v>
      </c>
      <c r="B118" s="93" t="s">
        <v>151</v>
      </c>
      <c r="C118" s="93" t="s">
        <v>169</v>
      </c>
      <c r="D118" s="93" t="s">
        <v>179</v>
      </c>
      <c r="E118" s="93">
        <v>9113606.0</v>
      </c>
      <c r="F118" s="93" t="s">
        <v>863</v>
      </c>
      <c r="G118" s="93" t="s">
        <v>169</v>
      </c>
      <c r="H118" s="90" t="s">
        <v>150</v>
      </c>
      <c r="I118" s="96" t="s">
        <v>151</v>
      </c>
      <c r="J118" s="96" t="s">
        <v>189</v>
      </c>
      <c r="K118" s="96" t="s">
        <v>197</v>
      </c>
      <c r="L118" s="96">
        <v>2748223.0</v>
      </c>
      <c r="M118" s="96" t="s">
        <v>865</v>
      </c>
      <c r="N118" s="96" t="s">
        <v>193</v>
      </c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</row>
    <row r="119" ht="36.75" customHeight="1">
      <c r="A119" s="90" t="s">
        <v>150</v>
      </c>
      <c r="B119" s="93" t="s">
        <v>151</v>
      </c>
      <c r="C119" s="93" t="s">
        <v>169</v>
      </c>
      <c r="D119" s="93" t="s">
        <v>180</v>
      </c>
      <c r="E119" s="93">
        <v>9113606.0</v>
      </c>
      <c r="F119" s="93" t="s">
        <v>863</v>
      </c>
      <c r="G119" s="93" t="s">
        <v>169</v>
      </c>
      <c r="H119" s="90" t="s">
        <v>150</v>
      </c>
      <c r="I119" s="96" t="s">
        <v>151</v>
      </c>
      <c r="J119" s="96" t="s">
        <v>189</v>
      </c>
      <c r="K119" s="96" t="s">
        <v>198</v>
      </c>
      <c r="L119" s="96">
        <v>2079976.0</v>
      </c>
      <c r="M119" s="96" t="s">
        <v>1020</v>
      </c>
      <c r="N119" s="96" t="s">
        <v>196</v>
      </c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</row>
    <row r="120" ht="36.75" customHeight="1">
      <c r="A120" s="90" t="s">
        <v>150</v>
      </c>
      <c r="B120" s="93" t="s">
        <v>151</v>
      </c>
      <c r="C120" s="93" t="s">
        <v>181</v>
      </c>
      <c r="D120" s="93" t="s">
        <v>182</v>
      </c>
      <c r="E120" s="93">
        <v>2039613.0</v>
      </c>
      <c r="F120" s="93" t="s">
        <v>864</v>
      </c>
      <c r="G120" s="93" t="s">
        <v>181</v>
      </c>
      <c r="H120" s="90" t="s">
        <v>150</v>
      </c>
      <c r="I120" s="96" t="s">
        <v>151</v>
      </c>
      <c r="J120" s="96" t="s">
        <v>189</v>
      </c>
      <c r="K120" s="96" t="s">
        <v>199</v>
      </c>
      <c r="L120" s="96">
        <v>2748223.0</v>
      </c>
      <c r="M120" s="96" t="s">
        <v>865</v>
      </c>
      <c r="N120" s="96" t="s">
        <v>193</v>
      </c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</row>
    <row r="121" ht="36.75" customHeight="1">
      <c r="A121" s="90" t="s">
        <v>150</v>
      </c>
      <c r="B121" s="93" t="s">
        <v>151</v>
      </c>
      <c r="C121" s="93" t="s">
        <v>181</v>
      </c>
      <c r="D121" s="93" t="s">
        <v>183</v>
      </c>
      <c r="E121" s="93">
        <v>2039613.0</v>
      </c>
      <c r="F121" s="93" t="s">
        <v>864</v>
      </c>
      <c r="G121" s="93" t="s">
        <v>181</v>
      </c>
      <c r="H121" s="90" t="s">
        <v>150</v>
      </c>
      <c r="I121" s="96" t="s">
        <v>151</v>
      </c>
      <c r="J121" s="96" t="s">
        <v>189</v>
      </c>
      <c r="K121" s="96" t="s">
        <v>200</v>
      </c>
      <c r="L121" s="96">
        <v>2080443.0</v>
      </c>
      <c r="M121" s="96" t="s">
        <v>1019</v>
      </c>
      <c r="N121" s="96" t="s">
        <v>201</v>
      </c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</row>
    <row r="122" ht="36.75" customHeight="1">
      <c r="A122" s="90" t="s">
        <v>150</v>
      </c>
      <c r="B122" s="93" t="s">
        <v>151</v>
      </c>
      <c r="C122" s="93" t="s">
        <v>181</v>
      </c>
      <c r="D122" s="93" t="s">
        <v>184</v>
      </c>
      <c r="E122" s="93">
        <v>2039613.0</v>
      </c>
      <c r="F122" s="93" t="s">
        <v>864</v>
      </c>
      <c r="G122" s="93" t="s">
        <v>181</v>
      </c>
      <c r="H122" s="90" t="s">
        <v>150</v>
      </c>
      <c r="I122" s="96" t="s">
        <v>151</v>
      </c>
      <c r="J122" s="96" t="s">
        <v>189</v>
      </c>
      <c r="K122" s="96" t="s">
        <v>201</v>
      </c>
      <c r="L122" s="96">
        <v>2080443.0</v>
      </c>
      <c r="M122" s="96" t="s">
        <v>1019</v>
      </c>
      <c r="N122" s="96" t="s">
        <v>201</v>
      </c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</row>
    <row r="123" ht="36.75" customHeight="1">
      <c r="A123" s="90" t="s">
        <v>150</v>
      </c>
      <c r="B123" s="93" t="s">
        <v>151</v>
      </c>
      <c r="C123" s="93" t="s">
        <v>181</v>
      </c>
      <c r="D123" s="93" t="s">
        <v>181</v>
      </c>
      <c r="E123" s="93">
        <v>2039613.0</v>
      </c>
      <c r="F123" s="93" t="s">
        <v>864</v>
      </c>
      <c r="G123" s="93" t="s">
        <v>181</v>
      </c>
      <c r="H123" s="90" t="s">
        <v>150</v>
      </c>
      <c r="I123" s="96" t="s">
        <v>151</v>
      </c>
      <c r="J123" s="96" t="s">
        <v>189</v>
      </c>
      <c r="K123" s="96" t="s">
        <v>202</v>
      </c>
      <c r="L123" s="96">
        <v>2748223.0</v>
      </c>
      <c r="M123" s="96" t="s">
        <v>865</v>
      </c>
      <c r="N123" s="96" t="s">
        <v>193</v>
      </c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</row>
    <row r="124" ht="36.75" customHeight="1">
      <c r="A124" s="90" t="s">
        <v>150</v>
      </c>
      <c r="B124" s="93" t="s">
        <v>151</v>
      </c>
      <c r="C124" s="93" t="s">
        <v>181</v>
      </c>
      <c r="D124" s="93" t="s">
        <v>185</v>
      </c>
      <c r="E124" s="93">
        <v>2039613.0</v>
      </c>
      <c r="F124" s="93" t="s">
        <v>864</v>
      </c>
      <c r="G124" s="93" t="s">
        <v>181</v>
      </c>
      <c r="H124" s="90" t="s">
        <v>150</v>
      </c>
      <c r="I124" s="96" t="s">
        <v>151</v>
      </c>
      <c r="J124" s="96" t="s">
        <v>203</v>
      </c>
      <c r="K124" s="96" t="s">
        <v>204</v>
      </c>
      <c r="L124" s="96">
        <v>2090333.0</v>
      </c>
      <c r="M124" s="96" t="s">
        <v>1021</v>
      </c>
      <c r="N124" s="96" t="s">
        <v>208</v>
      </c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</row>
    <row r="125" ht="36.75" customHeight="1">
      <c r="A125" s="90" t="s">
        <v>150</v>
      </c>
      <c r="B125" s="93" t="s">
        <v>151</v>
      </c>
      <c r="C125" s="93" t="s">
        <v>181</v>
      </c>
      <c r="D125" s="93" t="s">
        <v>186</v>
      </c>
      <c r="E125" s="93">
        <v>2039613.0</v>
      </c>
      <c r="F125" s="93" t="s">
        <v>864</v>
      </c>
      <c r="G125" s="93" t="s">
        <v>181</v>
      </c>
      <c r="H125" s="90" t="s">
        <v>150</v>
      </c>
      <c r="I125" s="96" t="s">
        <v>151</v>
      </c>
      <c r="J125" s="96" t="s">
        <v>203</v>
      </c>
      <c r="K125" s="96" t="s">
        <v>205</v>
      </c>
      <c r="L125" s="96">
        <v>2083604.0</v>
      </c>
      <c r="M125" s="96" t="s">
        <v>1022</v>
      </c>
      <c r="N125" s="96" t="s">
        <v>206</v>
      </c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</row>
    <row r="126" ht="36.75" customHeight="1">
      <c r="A126" s="90" t="s">
        <v>150</v>
      </c>
      <c r="B126" s="93" t="s">
        <v>151</v>
      </c>
      <c r="C126" s="93" t="s">
        <v>181</v>
      </c>
      <c r="D126" s="93" t="s">
        <v>187</v>
      </c>
      <c r="E126" s="93">
        <v>2039613.0</v>
      </c>
      <c r="F126" s="93" t="s">
        <v>864</v>
      </c>
      <c r="G126" s="93" t="s">
        <v>181</v>
      </c>
      <c r="H126" s="90" t="s">
        <v>150</v>
      </c>
      <c r="I126" s="96" t="s">
        <v>151</v>
      </c>
      <c r="J126" s="96" t="s">
        <v>203</v>
      </c>
      <c r="K126" s="96" t="s">
        <v>206</v>
      </c>
      <c r="L126" s="96">
        <v>2083604.0</v>
      </c>
      <c r="M126" s="96" t="s">
        <v>1022</v>
      </c>
      <c r="N126" s="96" t="s">
        <v>206</v>
      </c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</row>
    <row r="127" ht="36.75" customHeight="1">
      <c r="A127" s="90" t="s">
        <v>150</v>
      </c>
      <c r="B127" s="93" t="s">
        <v>151</v>
      </c>
      <c r="C127" s="93" t="s">
        <v>181</v>
      </c>
      <c r="D127" s="93" t="s">
        <v>188</v>
      </c>
      <c r="E127" s="93">
        <v>2039613.0</v>
      </c>
      <c r="F127" s="93" t="s">
        <v>864</v>
      </c>
      <c r="G127" s="93" t="s">
        <v>181</v>
      </c>
      <c r="H127" s="90" t="s">
        <v>150</v>
      </c>
      <c r="I127" s="96" t="s">
        <v>151</v>
      </c>
      <c r="J127" s="96" t="s">
        <v>203</v>
      </c>
      <c r="K127" s="96" t="s">
        <v>207</v>
      </c>
      <c r="L127" s="96">
        <v>2751674.0</v>
      </c>
      <c r="M127" s="96" t="s">
        <v>1023</v>
      </c>
      <c r="N127" s="96" t="s">
        <v>213</v>
      </c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</row>
    <row r="128" ht="36.75" customHeight="1">
      <c r="A128" s="90" t="s">
        <v>150</v>
      </c>
      <c r="B128" s="93" t="s">
        <v>151</v>
      </c>
      <c r="C128" s="93" t="s">
        <v>189</v>
      </c>
      <c r="D128" s="93" t="s">
        <v>190</v>
      </c>
      <c r="E128" s="93">
        <v>2748223.0</v>
      </c>
      <c r="F128" s="93" t="s">
        <v>865</v>
      </c>
      <c r="G128" s="93" t="s">
        <v>193</v>
      </c>
      <c r="H128" s="90" t="s">
        <v>150</v>
      </c>
      <c r="I128" s="96" t="s">
        <v>151</v>
      </c>
      <c r="J128" s="96" t="s">
        <v>203</v>
      </c>
      <c r="K128" s="96" t="s">
        <v>208</v>
      </c>
      <c r="L128" s="96">
        <v>2090333.0</v>
      </c>
      <c r="M128" s="96" t="s">
        <v>1021</v>
      </c>
      <c r="N128" s="96" t="s">
        <v>208</v>
      </c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</row>
    <row r="129" ht="36.75" customHeight="1">
      <c r="A129" s="90" t="s">
        <v>150</v>
      </c>
      <c r="B129" s="93" t="s">
        <v>151</v>
      </c>
      <c r="C129" s="93" t="s">
        <v>189</v>
      </c>
      <c r="D129" s="93" t="s">
        <v>191</v>
      </c>
      <c r="E129" s="93">
        <v>2748223.0</v>
      </c>
      <c r="F129" s="93" t="s">
        <v>865</v>
      </c>
      <c r="G129" s="93" t="s">
        <v>193</v>
      </c>
      <c r="H129" s="90" t="s">
        <v>150</v>
      </c>
      <c r="I129" s="96" t="s">
        <v>151</v>
      </c>
      <c r="J129" s="96" t="s">
        <v>203</v>
      </c>
      <c r="K129" s="96" t="s">
        <v>209</v>
      </c>
      <c r="L129" s="96">
        <v>2751674.0</v>
      </c>
      <c r="M129" s="96" t="s">
        <v>1023</v>
      </c>
      <c r="N129" s="96" t="s">
        <v>213</v>
      </c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</row>
    <row r="130" ht="36.75" customHeight="1">
      <c r="A130" s="90" t="s">
        <v>150</v>
      </c>
      <c r="B130" s="93" t="s">
        <v>151</v>
      </c>
      <c r="C130" s="93" t="s">
        <v>189</v>
      </c>
      <c r="D130" s="93" t="s">
        <v>192</v>
      </c>
      <c r="E130" s="93">
        <v>2748223.0</v>
      </c>
      <c r="F130" s="93" t="s">
        <v>865</v>
      </c>
      <c r="G130" s="93" t="s">
        <v>193</v>
      </c>
      <c r="H130" s="90" t="s">
        <v>150</v>
      </c>
      <c r="I130" s="96" t="s">
        <v>151</v>
      </c>
      <c r="J130" s="96" t="s">
        <v>203</v>
      </c>
      <c r="K130" s="96" t="s">
        <v>210</v>
      </c>
      <c r="L130" s="96">
        <v>2092638.0</v>
      </c>
      <c r="M130" s="96" t="s">
        <v>1024</v>
      </c>
      <c r="N130" s="96" t="s">
        <v>210</v>
      </c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</row>
    <row r="131" ht="36.75" customHeight="1">
      <c r="A131" s="90" t="s">
        <v>150</v>
      </c>
      <c r="B131" s="93" t="s">
        <v>151</v>
      </c>
      <c r="C131" s="93" t="s">
        <v>189</v>
      </c>
      <c r="D131" s="93" t="s">
        <v>193</v>
      </c>
      <c r="E131" s="93">
        <v>2748223.0</v>
      </c>
      <c r="F131" s="93" t="s">
        <v>865</v>
      </c>
      <c r="G131" s="93" t="s">
        <v>193</v>
      </c>
      <c r="H131" s="90" t="s">
        <v>150</v>
      </c>
      <c r="I131" s="96" t="s">
        <v>151</v>
      </c>
      <c r="J131" s="96" t="s">
        <v>203</v>
      </c>
      <c r="K131" s="96" t="s">
        <v>211</v>
      </c>
      <c r="L131" s="96">
        <v>2090333.0</v>
      </c>
      <c r="M131" s="96" t="s">
        <v>1021</v>
      </c>
      <c r="N131" s="96" t="s">
        <v>208</v>
      </c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</row>
    <row r="132" ht="36.75" customHeight="1">
      <c r="A132" s="90" t="s">
        <v>150</v>
      </c>
      <c r="B132" s="93" t="s">
        <v>151</v>
      </c>
      <c r="C132" s="93" t="s">
        <v>189</v>
      </c>
      <c r="D132" s="93" t="s">
        <v>194</v>
      </c>
      <c r="E132" s="93">
        <v>2748223.0</v>
      </c>
      <c r="F132" s="93" t="s">
        <v>865</v>
      </c>
      <c r="G132" s="93" t="s">
        <v>193</v>
      </c>
      <c r="H132" s="90" t="s">
        <v>150</v>
      </c>
      <c r="I132" s="96" t="s">
        <v>151</v>
      </c>
      <c r="J132" s="96" t="s">
        <v>203</v>
      </c>
      <c r="K132" s="96" t="s">
        <v>212</v>
      </c>
      <c r="L132" s="96">
        <v>2093227.0</v>
      </c>
      <c r="M132" s="96" t="s">
        <v>1025</v>
      </c>
      <c r="N132" s="96" t="s">
        <v>212</v>
      </c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</row>
    <row r="133" ht="36.75" customHeight="1">
      <c r="A133" s="90" t="s">
        <v>150</v>
      </c>
      <c r="B133" s="93" t="s">
        <v>151</v>
      </c>
      <c r="C133" s="93" t="s">
        <v>189</v>
      </c>
      <c r="D133" s="93" t="s">
        <v>195</v>
      </c>
      <c r="E133" s="93">
        <v>2748223.0</v>
      </c>
      <c r="F133" s="93" t="s">
        <v>865</v>
      </c>
      <c r="G133" s="93" t="s">
        <v>193</v>
      </c>
      <c r="H133" s="90" t="s">
        <v>150</v>
      </c>
      <c r="I133" s="96" t="s">
        <v>151</v>
      </c>
      <c r="J133" s="96" t="s">
        <v>203</v>
      </c>
      <c r="K133" s="96" t="s">
        <v>213</v>
      </c>
      <c r="L133" s="96">
        <v>2751674.0</v>
      </c>
      <c r="M133" s="96" t="s">
        <v>1023</v>
      </c>
      <c r="N133" s="96" t="s">
        <v>213</v>
      </c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</row>
    <row r="134" ht="36.75" customHeight="1">
      <c r="A134" s="90" t="s">
        <v>150</v>
      </c>
      <c r="B134" s="93" t="s">
        <v>151</v>
      </c>
      <c r="C134" s="93" t="s">
        <v>189</v>
      </c>
      <c r="D134" s="93" t="s">
        <v>196</v>
      </c>
      <c r="E134" s="93">
        <v>2748223.0</v>
      </c>
      <c r="F134" s="93" t="s">
        <v>865</v>
      </c>
      <c r="G134" s="93" t="s">
        <v>193</v>
      </c>
      <c r="H134" s="90" t="s">
        <v>150</v>
      </c>
      <c r="I134" s="96" t="s">
        <v>151</v>
      </c>
      <c r="J134" s="96" t="s">
        <v>203</v>
      </c>
      <c r="K134" s="96" t="s">
        <v>214</v>
      </c>
      <c r="L134" s="96">
        <v>2090333.0</v>
      </c>
      <c r="M134" s="96" t="s">
        <v>1021</v>
      </c>
      <c r="N134" s="96" t="s">
        <v>208</v>
      </c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</row>
    <row r="135" ht="36.75" customHeight="1">
      <c r="A135" s="90" t="s">
        <v>150</v>
      </c>
      <c r="B135" s="93" t="s">
        <v>151</v>
      </c>
      <c r="C135" s="93" t="s">
        <v>189</v>
      </c>
      <c r="D135" s="93" t="s">
        <v>197</v>
      </c>
      <c r="E135" s="93">
        <v>2748223.0</v>
      </c>
      <c r="F135" s="93" t="s">
        <v>865</v>
      </c>
      <c r="G135" s="93" t="s">
        <v>193</v>
      </c>
      <c r="H135" s="90" t="s">
        <v>150</v>
      </c>
      <c r="I135" s="96" t="s">
        <v>151</v>
      </c>
      <c r="J135" s="96" t="s">
        <v>203</v>
      </c>
      <c r="K135" s="96" t="s">
        <v>215</v>
      </c>
      <c r="L135" s="96">
        <v>6603378.0</v>
      </c>
      <c r="M135" s="96" t="s">
        <v>1026</v>
      </c>
      <c r="N135" s="96" t="s">
        <v>215</v>
      </c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</row>
    <row r="136" ht="36.75" customHeight="1">
      <c r="A136" s="90" t="s">
        <v>150</v>
      </c>
      <c r="B136" s="93" t="s">
        <v>151</v>
      </c>
      <c r="C136" s="93" t="s">
        <v>189</v>
      </c>
      <c r="D136" s="93" t="s">
        <v>198</v>
      </c>
      <c r="E136" s="93">
        <v>2748223.0</v>
      </c>
      <c r="F136" s="93" t="s">
        <v>865</v>
      </c>
      <c r="G136" s="93" t="s">
        <v>193</v>
      </c>
      <c r="H136" s="90" t="s">
        <v>150</v>
      </c>
      <c r="I136" s="96" t="s">
        <v>151</v>
      </c>
      <c r="J136" s="96" t="s">
        <v>203</v>
      </c>
      <c r="K136" s="96" t="s">
        <v>216</v>
      </c>
      <c r="L136" s="96">
        <v>2081350.0</v>
      </c>
      <c r="M136" s="96" t="s">
        <v>1027</v>
      </c>
      <c r="N136" s="96" t="s">
        <v>216</v>
      </c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</row>
    <row r="137" ht="36.75" customHeight="1">
      <c r="A137" s="90" t="s">
        <v>150</v>
      </c>
      <c r="B137" s="93" t="s">
        <v>151</v>
      </c>
      <c r="C137" s="93" t="s">
        <v>189</v>
      </c>
      <c r="D137" s="93" t="s">
        <v>199</v>
      </c>
      <c r="E137" s="93">
        <v>2748223.0</v>
      </c>
      <c r="F137" s="93" t="s">
        <v>865</v>
      </c>
      <c r="G137" s="93" t="s">
        <v>193</v>
      </c>
      <c r="H137" s="90" t="s">
        <v>150</v>
      </c>
      <c r="I137" s="96" t="s">
        <v>151</v>
      </c>
      <c r="J137" s="96" t="s">
        <v>203</v>
      </c>
      <c r="K137" s="96" t="s">
        <v>217</v>
      </c>
      <c r="L137" s="96">
        <v>2081350.0</v>
      </c>
      <c r="M137" s="96" t="s">
        <v>1027</v>
      </c>
      <c r="N137" s="96" t="s">
        <v>216</v>
      </c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</row>
    <row r="138" ht="36.75" customHeight="1">
      <c r="A138" s="90" t="s">
        <v>150</v>
      </c>
      <c r="B138" s="93" t="s">
        <v>151</v>
      </c>
      <c r="C138" s="93" t="s">
        <v>189</v>
      </c>
      <c r="D138" s="93" t="s">
        <v>200</v>
      </c>
      <c r="E138" s="93">
        <v>2748223.0</v>
      </c>
      <c r="F138" s="93" t="s">
        <v>865</v>
      </c>
      <c r="G138" s="93" t="s">
        <v>193</v>
      </c>
      <c r="H138" s="90" t="s">
        <v>150</v>
      </c>
      <c r="I138" s="96" t="s">
        <v>151</v>
      </c>
      <c r="J138" s="96" t="s">
        <v>203</v>
      </c>
      <c r="K138" s="96" t="s">
        <v>218</v>
      </c>
      <c r="L138" s="96">
        <v>2082934.0</v>
      </c>
      <c r="M138" s="96" t="s">
        <v>1028</v>
      </c>
      <c r="N138" s="96" t="s">
        <v>218</v>
      </c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</row>
    <row r="139" ht="36.75" customHeight="1">
      <c r="A139" s="90" t="s">
        <v>150</v>
      </c>
      <c r="B139" s="93" t="s">
        <v>151</v>
      </c>
      <c r="C139" s="93" t="s">
        <v>189</v>
      </c>
      <c r="D139" s="93" t="s">
        <v>201</v>
      </c>
      <c r="E139" s="93">
        <v>2748223.0</v>
      </c>
      <c r="F139" s="93" t="s">
        <v>865</v>
      </c>
      <c r="G139" s="93" t="s">
        <v>193</v>
      </c>
      <c r="H139" s="90" t="s">
        <v>150</v>
      </c>
      <c r="I139" s="96" t="s">
        <v>151</v>
      </c>
      <c r="J139" s="96" t="s">
        <v>203</v>
      </c>
      <c r="K139" s="96" t="s">
        <v>219</v>
      </c>
      <c r="L139" s="96">
        <v>2079879.0</v>
      </c>
      <c r="M139" s="96" t="s">
        <v>1029</v>
      </c>
      <c r="N139" s="96" t="s">
        <v>219</v>
      </c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</row>
    <row r="140" ht="36.75" customHeight="1">
      <c r="A140" s="90" t="s">
        <v>150</v>
      </c>
      <c r="B140" s="93" t="s">
        <v>151</v>
      </c>
      <c r="C140" s="93" t="s">
        <v>189</v>
      </c>
      <c r="D140" s="93" t="s">
        <v>202</v>
      </c>
      <c r="E140" s="93">
        <v>2748223.0</v>
      </c>
      <c r="F140" s="93" t="s">
        <v>865</v>
      </c>
      <c r="G140" s="93" t="s">
        <v>193</v>
      </c>
      <c r="H140" s="90" t="s">
        <v>150</v>
      </c>
      <c r="I140" s="96" t="s">
        <v>151</v>
      </c>
      <c r="J140" s="96" t="s">
        <v>203</v>
      </c>
      <c r="K140" s="96" t="s">
        <v>220</v>
      </c>
      <c r="L140" s="96">
        <v>2081350.0</v>
      </c>
      <c r="M140" s="96" t="s">
        <v>1027</v>
      </c>
      <c r="N140" s="96" t="s">
        <v>216</v>
      </c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</row>
    <row r="141" ht="36.75" customHeight="1">
      <c r="A141" s="90" t="s">
        <v>150</v>
      </c>
      <c r="B141" s="93" t="s">
        <v>151</v>
      </c>
      <c r="C141" s="93" t="s">
        <v>203</v>
      </c>
      <c r="D141" s="93" t="s">
        <v>204</v>
      </c>
      <c r="E141" s="93" t="s">
        <v>866</v>
      </c>
      <c r="F141" s="93" t="s">
        <v>865</v>
      </c>
      <c r="G141" s="93" t="s">
        <v>867</v>
      </c>
      <c r="H141" s="90" t="s">
        <v>221</v>
      </c>
      <c r="I141" s="96" t="s">
        <v>222</v>
      </c>
      <c r="J141" s="96" t="s">
        <v>223</v>
      </c>
      <c r="K141" s="96" t="s">
        <v>223</v>
      </c>
      <c r="L141" s="96">
        <v>2077647.0</v>
      </c>
      <c r="M141" s="96" t="s">
        <v>1030</v>
      </c>
      <c r="N141" s="96" t="s">
        <v>223</v>
      </c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</row>
    <row r="142" ht="36.75" customHeight="1">
      <c r="A142" s="90" t="s">
        <v>150</v>
      </c>
      <c r="B142" s="93" t="s">
        <v>151</v>
      </c>
      <c r="C142" s="93" t="s">
        <v>203</v>
      </c>
      <c r="D142" s="93" t="s">
        <v>204</v>
      </c>
      <c r="E142" s="93">
        <v>2831503.0</v>
      </c>
      <c r="F142" s="93" t="s">
        <v>868</v>
      </c>
      <c r="G142" s="93" t="s">
        <v>867</v>
      </c>
      <c r="H142" s="90" t="s">
        <v>221</v>
      </c>
      <c r="I142" s="96" t="s">
        <v>222</v>
      </c>
      <c r="J142" s="96" t="s">
        <v>223</v>
      </c>
      <c r="K142" s="96" t="s">
        <v>224</v>
      </c>
      <c r="L142" s="96">
        <v>2745402.0</v>
      </c>
      <c r="M142" s="96" t="s">
        <v>1031</v>
      </c>
      <c r="N142" s="96" t="s">
        <v>224</v>
      </c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</row>
    <row r="143" ht="36.75" customHeight="1">
      <c r="A143" s="90" t="s">
        <v>150</v>
      </c>
      <c r="B143" s="93" t="s">
        <v>151</v>
      </c>
      <c r="C143" s="93" t="s">
        <v>203</v>
      </c>
      <c r="D143" s="93" t="s">
        <v>205</v>
      </c>
      <c r="E143" s="93" t="s">
        <v>866</v>
      </c>
      <c r="F143" s="93" t="s">
        <v>865</v>
      </c>
      <c r="G143" s="93" t="s">
        <v>867</v>
      </c>
      <c r="H143" s="90" t="s">
        <v>221</v>
      </c>
      <c r="I143" s="96" t="s">
        <v>222</v>
      </c>
      <c r="J143" s="96" t="s">
        <v>223</v>
      </c>
      <c r="K143" s="96" t="s">
        <v>225</v>
      </c>
      <c r="L143" s="96">
        <v>2077647.0</v>
      </c>
      <c r="M143" s="96" t="s">
        <v>1030</v>
      </c>
      <c r="N143" s="96" t="s">
        <v>223</v>
      </c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</row>
    <row r="144" ht="36.75" customHeight="1">
      <c r="A144" s="90" t="s">
        <v>150</v>
      </c>
      <c r="B144" s="93" t="s">
        <v>151</v>
      </c>
      <c r="C144" s="93" t="s">
        <v>203</v>
      </c>
      <c r="D144" s="93" t="s">
        <v>205</v>
      </c>
      <c r="E144" s="93">
        <v>2831503.0</v>
      </c>
      <c r="F144" s="93" t="s">
        <v>868</v>
      </c>
      <c r="G144" s="93" t="s">
        <v>867</v>
      </c>
      <c r="H144" s="90" t="s">
        <v>221</v>
      </c>
      <c r="I144" s="96" t="s">
        <v>222</v>
      </c>
      <c r="J144" s="96" t="s">
        <v>223</v>
      </c>
      <c r="K144" s="96" t="s">
        <v>226</v>
      </c>
      <c r="L144" s="96">
        <v>2077647.0</v>
      </c>
      <c r="M144" s="96" t="s">
        <v>1030</v>
      </c>
      <c r="N144" s="96" t="s">
        <v>223</v>
      </c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</row>
    <row r="145" ht="36.75" customHeight="1">
      <c r="A145" s="90" t="s">
        <v>150</v>
      </c>
      <c r="B145" s="93" t="s">
        <v>151</v>
      </c>
      <c r="C145" s="93" t="s">
        <v>203</v>
      </c>
      <c r="D145" s="93" t="s">
        <v>206</v>
      </c>
      <c r="E145" s="93" t="s">
        <v>866</v>
      </c>
      <c r="F145" s="93" t="s">
        <v>865</v>
      </c>
      <c r="G145" s="93" t="s">
        <v>867</v>
      </c>
      <c r="H145" s="90" t="s">
        <v>221</v>
      </c>
      <c r="I145" s="96" t="s">
        <v>222</v>
      </c>
      <c r="J145" s="96" t="s">
        <v>223</v>
      </c>
      <c r="K145" s="96" t="s">
        <v>227</v>
      </c>
      <c r="L145" s="96">
        <v>2077647.0</v>
      </c>
      <c r="M145" s="96" t="s">
        <v>1030</v>
      </c>
      <c r="N145" s="96" t="s">
        <v>223</v>
      </c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</row>
    <row r="146" ht="36.75" customHeight="1">
      <c r="A146" s="90" t="s">
        <v>150</v>
      </c>
      <c r="B146" s="93" t="s">
        <v>151</v>
      </c>
      <c r="C146" s="93" t="s">
        <v>203</v>
      </c>
      <c r="D146" s="93" t="s">
        <v>206</v>
      </c>
      <c r="E146" s="93">
        <v>2831503.0</v>
      </c>
      <c r="F146" s="93" t="s">
        <v>868</v>
      </c>
      <c r="G146" s="93" t="s">
        <v>867</v>
      </c>
      <c r="H146" s="90" t="s">
        <v>221</v>
      </c>
      <c r="I146" s="96" t="s">
        <v>222</v>
      </c>
      <c r="J146" s="96" t="s">
        <v>223</v>
      </c>
      <c r="K146" s="96" t="s">
        <v>228</v>
      </c>
      <c r="L146" s="96">
        <v>2082586.0</v>
      </c>
      <c r="M146" s="96" t="s">
        <v>1032</v>
      </c>
      <c r="N146" s="96" t="s">
        <v>228</v>
      </c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</row>
    <row r="147" ht="36.75" customHeight="1">
      <c r="A147" s="90" t="s">
        <v>150</v>
      </c>
      <c r="B147" s="93" t="s">
        <v>151</v>
      </c>
      <c r="C147" s="93" t="s">
        <v>203</v>
      </c>
      <c r="D147" s="93" t="s">
        <v>207</v>
      </c>
      <c r="E147" s="93" t="s">
        <v>866</v>
      </c>
      <c r="F147" s="93" t="s">
        <v>865</v>
      </c>
      <c r="G147" s="93" t="s">
        <v>193</v>
      </c>
      <c r="H147" s="90" t="s">
        <v>221</v>
      </c>
      <c r="I147" s="96" t="s">
        <v>222</v>
      </c>
      <c r="J147" s="96" t="s">
        <v>223</v>
      </c>
      <c r="K147" s="96" t="s">
        <v>229</v>
      </c>
      <c r="L147" s="96">
        <v>2077647.0</v>
      </c>
      <c r="M147" s="96" t="s">
        <v>1030</v>
      </c>
      <c r="N147" s="96" t="s">
        <v>223</v>
      </c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</row>
    <row r="148" ht="36.75" customHeight="1">
      <c r="A148" s="90" t="s">
        <v>150</v>
      </c>
      <c r="B148" s="93" t="s">
        <v>151</v>
      </c>
      <c r="C148" s="93" t="s">
        <v>203</v>
      </c>
      <c r="D148" s="93" t="s">
        <v>208</v>
      </c>
      <c r="E148" s="93" t="s">
        <v>866</v>
      </c>
      <c r="F148" s="93" t="s">
        <v>865</v>
      </c>
      <c r="G148" s="93" t="s">
        <v>867</v>
      </c>
      <c r="H148" s="90" t="s">
        <v>221</v>
      </c>
      <c r="I148" s="96" t="s">
        <v>222</v>
      </c>
      <c r="J148" s="96" t="s">
        <v>223</v>
      </c>
      <c r="K148" s="96" t="s">
        <v>230</v>
      </c>
      <c r="L148" s="96">
        <v>2077647.0</v>
      </c>
      <c r="M148" s="96" t="s">
        <v>1030</v>
      </c>
      <c r="N148" s="96" t="s">
        <v>223</v>
      </c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</row>
    <row r="149" ht="36.75" customHeight="1">
      <c r="A149" s="90" t="s">
        <v>150</v>
      </c>
      <c r="B149" s="93" t="s">
        <v>151</v>
      </c>
      <c r="C149" s="93" t="s">
        <v>203</v>
      </c>
      <c r="D149" s="93" t="s">
        <v>208</v>
      </c>
      <c r="E149" s="93">
        <v>2831503.0</v>
      </c>
      <c r="F149" s="93" t="s">
        <v>868</v>
      </c>
      <c r="G149" s="93" t="s">
        <v>867</v>
      </c>
      <c r="H149" s="90" t="s">
        <v>221</v>
      </c>
      <c r="I149" s="96" t="s">
        <v>222</v>
      </c>
      <c r="J149" s="96" t="s">
        <v>223</v>
      </c>
      <c r="K149" s="96" t="s">
        <v>231</v>
      </c>
      <c r="L149" s="96">
        <v>2082586.0</v>
      </c>
      <c r="M149" s="96" t="s">
        <v>1032</v>
      </c>
      <c r="N149" s="96" t="s">
        <v>228</v>
      </c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</row>
    <row r="150" ht="36.75" customHeight="1">
      <c r="A150" s="90" t="s">
        <v>150</v>
      </c>
      <c r="B150" s="93" t="s">
        <v>151</v>
      </c>
      <c r="C150" s="93" t="s">
        <v>203</v>
      </c>
      <c r="D150" s="93" t="s">
        <v>209</v>
      </c>
      <c r="E150" s="93" t="s">
        <v>866</v>
      </c>
      <c r="F150" s="93" t="s">
        <v>865</v>
      </c>
      <c r="G150" s="93" t="s">
        <v>867</v>
      </c>
      <c r="H150" s="90" t="s">
        <v>221</v>
      </c>
      <c r="I150" s="96" t="s">
        <v>222</v>
      </c>
      <c r="J150" s="96" t="s">
        <v>223</v>
      </c>
      <c r="K150" s="96" t="s">
        <v>232</v>
      </c>
      <c r="L150" s="96">
        <v>2082586.0</v>
      </c>
      <c r="M150" s="96" t="s">
        <v>1032</v>
      </c>
      <c r="N150" s="96" t="s">
        <v>228</v>
      </c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</row>
    <row r="151" ht="36.75" customHeight="1">
      <c r="A151" s="90" t="s">
        <v>150</v>
      </c>
      <c r="B151" s="93" t="s">
        <v>151</v>
      </c>
      <c r="C151" s="93" t="s">
        <v>203</v>
      </c>
      <c r="D151" s="93" t="s">
        <v>209</v>
      </c>
      <c r="E151" s="93">
        <v>2831503.0</v>
      </c>
      <c r="F151" s="93" t="s">
        <v>868</v>
      </c>
      <c r="G151" s="93" t="s">
        <v>867</v>
      </c>
      <c r="H151" s="90" t="s">
        <v>221</v>
      </c>
      <c r="I151" s="96" t="s">
        <v>222</v>
      </c>
      <c r="J151" s="96" t="s">
        <v>233</v>
      </c>
      <c r="K151" s="96" t="s">
        <v>233</v>
      </c>
      <c r="L151" s="96">
        <v>2081083.0</v>
      </c>
      <c r="M151" s="96" t="s">
        <v>1033</v>
      </c>
      <c r="N151" s="96" t="s">
        <v>233</v>
      </c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</row>
    <row r="152" ht="36.75" customHeight="1">
      <c r="A152" s="90" t="s">
        <v>150</v>
      </c>
      <c r="B152" s="93" t="s">
        <v>151</v>
      </c>
      <c r="C152" s="93" t="s">
        <v>203</v>
      </c>
      <c r="D152" s="93" t="s">
        <v>210</v>
      </c>
      <c r="E152" s="93" t="s">
        <v>866</v>
      </c>
      <c r="F152" s="93" t="s">
        <v>865</v>
      </c>
      <c r="G152" s="93" t="s">
        <v>867</v>
      </c>
      <c r="H152" s="90" t="s">
        <v>221</v>
      </c>
      <c r="I152" s="96" t="s">
        <v>222</v>
      </c>
      <c r="J152" s="96" t="s">
        <v>233</v>
      </c>
      <c r="K152" s="96" t="s">
        <v>234</v>
      </c>
      <c r="L152" s="96">
        <v>2082519.0</v>
      </c>
      <c r="M152" s="96" t="s">
        <v>1034</v>
      </c>
      <c r="N152" s="96" t="s">
        <v>241</v>
      </c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</row>
    <row r="153" ht="36.75" customHeight="1">
      <c r="A153" s="90" t="s">
        <v>150</v>
      </c>
      <c r="B153" s="93" t="s">
        <v>151</v>
      </c>
      <c r="C153" s="93" t="s">
        <v>203</v>
      </c>
      <c r="D153" s="93" t="s">
        <v>210</v>
      </c>
      <c r="E153" s="93">
        <v>2831503.0</v>
      </c>
      <c r="F153" s="93" t="s">
        <v>868</v>
      </c>
      <c r="G153" s="93" t="s">
        <v>867</v>
      </c>
      <c r="H153" s="90" t="s">
        <v>221</v>
      </c>
      <c r="I153" s="96" t="s">
        <v>222</v>
      </c>
      <c r="J153" s="96" t="s">
        <v>233</v>
      </c>
      <c r="K153" s="96" t="s">
        <v>235</v>
      </c>
      <c r="L153" s="96">
        <v>2080842.0</v>
      </c>
      <c r="M153" s="96" t="s">
        <v>1035</v>
      </c>
      <c r="N153" s="96" t="s">
        <v>235</v>
      </c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</row>
    <row r="154" ht="36.75" customHeight="1">
      <c r="A154" s="90" t="s">
        <v>150</v>
      </c>
      <c r="B154" s="93" t="s">
        <v>151</v>
      </c>
      <c r="C154" s="93" t="s">
        <v>203</v>
      </c>
      <c r="D154" s="93" t="s">
        <v>211</v>
      </c>
      <c r="E154" s="93" t="s">
        <v>866</v>
      </c>
      <c r="F154" s="93" t="s">
        <v>865</v>
      </c>
      <c r="G154" s="93" t="s">
        <v>867</v>
      </c>
      <c r="H154" s="90" t="s">
        <v>221</v>
      </c>
      <c r="I154" s="96" t="s">
        <v>222</v>
      </c>
      <c r="J154" s="96" t="s">
        <v>233</v>
      </c>
      <c r="K154" s="96" t="s">
        <v>236</v>
      </c>
      <c r="L154" s="96">
        <v>2081083.0</v>
      </c>
      <c r="M154" s="96" t="s">
        <v>1033</v>
      </c>
      <c r="N154" s="96" t="s">
        <v>233</v>
      </c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</row>
    <row r="155" ht="36.75" customHeight="1">
      <c r="A155" s="90" t="s">
        <v>150</v>
      </c>
      <c r="B155" s="93" t="s">
        <v>151</v>
      </c>
      <c r="C155" s="93" t="s">
        <v>203</v>
      </c>
      <c r="D155" s="93" t="s">
        <v>211</v>
      </c>
      <c r="E155" s="93">
        <v>2831503.0</v>
      </c>
      <c r="F155" s="93" t="s">
        <v>868</v>
      </c>
      <c r="G155" s="93" t="s">
        <v>867</v>
      </c>
      <c r="H155" s="90" t="s">
        <v>221</v>
      </c>
      <c r="I155" s="96" t="s">
        <v>222</v>
      </c>
      <c r="J155" s="96" t="s">
        <v>233</v>
      </c>
      <c r="K155" s="96" t="s">
        <v>237</v>
      </c>
      <c r="L155" s="96">
        <v>2081083.0</v>
      </c>
      <c r="M155" s="96" t="s">
        <v>1033</v>
      </c>
      <c r="N155" s="96" t="s">
        <v>233</v>
      </c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</row>
    <row r="156" ht="36.75" customHeight="1">
      <c r="A156" s="90" t="s">
        <v>150</v>
      </c>
      <c r="B156" s="93" t="s">
        <v>151</v>
      </c>
      <c r="C156" s="93" t="s">
        <v>203</v>
      </c>
      <c r="D156" s="93" t="s">
        <v>212</v>
      </c>
      <c r="E156" s="93" t="s">
        <v>866</v>
      </c>
      <c r="F156" s="93" t="s">
        <v>865</v>
      </c>
      <c r="G156" s="93" t="s">
        <v>867</v>
      </c>
      <c r="H156" s="90" t="s">
        <v>221</v>
      </c>
      <c r="I156" s="96" t="s">
        <v>222</v>
      </c>
      <c r="J156" s="96" t="s">
        <v>233</v>
      </c>
      <c r="K156" s="96" t="s">
        <v>238</v>
      </c>
      <c r="L156" s="96">
        <v>2082519.0</v>
      </c>
      <c r="M156" s="96" t="s">
        <v>1034</v>
      </c>
      <c r="N156" s="96" t="s">
        <v>241</v>
      </c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</row>
    <row r="157" ht="36.75" customHeight="1">
      <c r="A157" s="90" t="s">
        <v>150</v>
      </c>
      <c r="B157" s="93" t="s">
        <v>151</v>
      </c>
      <c r="C157" s="93" t="s">
        <v>203</v>
      </c>
      <c r="D157" s="93" t="s">
        <v>212</v>
      </c>
      <c r="E157" s="93">
        <v>2831503.0</v>
      </c>
      <c r="F157" s="93" t="s">
        <v>868</v>
      </c>
      <c r="G157" s="93" t="s">
        <v>867</v>
      </c>
      <c r="H157" s="90" t="s">
        <v>221</v>
      </c>
      <c r="I157" s="96" t="s">
        <v>222</v>
      </c>
      <c r="J157" s="96" t="s">
        <v>233</v>
      </c>
      <c r="K157" s="96" t="s">
        <v>239</v>
      </c>
      <c r="L157" s="96">
        <v>2081083.0</v>
      </c>
      <c r="M157" s="96" t="s">
        <v>1033</v>
      </c>
      <c r="N157" s="96" t="s">
        <v>233</v>
      </c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</row>
    <row r="158" ht="36.75" customHeight="1">
      <c r="A158" s="90" t="s">
        <v>150</v>
      </c>
      <c r="B158" s="93" t="s">
        <v>151</v>
      </c>
      <c r="C158" s="93" t="s">
        <v>203</v>
      </c>
      <c r="D158" s="93" t="s">
        <v>213</v>
      </c>
      <c r="E158" s="93" t="s">
        <v>866</v>
      </c>
      <c r="F158" s="93" t="s">
        <v>865</v>
      </c>
      <c r="G158" s="93" t="s">
        <v>867</v>
      </c>
      <c r="H158" s="90" t="s">
        <v>221</v>
      </c>
      <c r="I158" s="96" t="s">
        <v>222</v>
      </c>
      <c r="J158" s="96" t="s">
        <v>233</v>
      </c>
      <c r="K158" s="96" t="s">
        <v>240</v>
      </c>
      <c r="L158" s="96">
        <v>2080958.0</v>
      </c>
      <c r="M158" s="96" t="s">
        <v>1036</v>
      </c>
      <c r="N158" s="96" t="s">
        <v>240</v>
      </c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</row>
    <row r="159" ht="36.75" customHeight="1">
      <c r="A159" s="90" t="s">
        <v>150</v>
      </c>
      <c r="B159" s="93" t="s">
        <v>151</v>
      </c>
      <c r="C159" s="93" t="s">
        <v>203</v>
      </c>
      <c r="D159" s="93" t="s">
        <v>213</v>
      </c>
      <c r="E159" s="93">
        <v>2831503.0</v>
      </c>
      <c r="F159" s="93" t="s">
        <v>868</v>
      </c>
      <c r="G159" s="93" t="s">
        <v>867</v>
      </c>
      <c r="H159" s="90" t="s">
        <v>221</v>
      </c>
      <c r="I159" s="96" t="s">
        <v>222</v>
      </c>
      <c r="J159" s="96" t="s">
        <v>233</v>
      </c>
      <c r="K159" s="96" t="s">
        <v>241</v>
      </c>
      <c r="L159" s="96">
        <v>2082519.0</v>
      </c>
      <c r="M159" s="96" t="s">
        <v>1034</v>
      </c>
      <c r="N159" s="96" t="s">
        <v>241</v>
      </c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</row>
    <row r="160" ht="36.75" customHeight="1">
      <c r="A160" s="90" t="s">
        <v>150</v>
      </c>
      <c r="B160" s="93" t="s">
        <v>151</v>
      </c>
      <c r="C160" s="93" t="s">
        <v>203</v>
      </c>
      <c r="D160" s="93" t="s">
        <v>214</v>
      </c>
      <c r="E160" s="93" t="s">
        <v>866</v>
      </c>
      <c r="F160" s="93" t="s">
        <v>865</v>
      </c>
      <c r="G160" s="93" t="s">
        <v>867</v>
      </c>
      <c r="H160" s="90" t="s">
        <v>221</v>
      </c>
      <c r="I160" s="96" t="s">
        <v>222</v>
      </c>
      <c r="J160" s="96" t="s">
        <v>233</v>
      </c>
      <c r="K160" s="96" t="s">
        <v>242</v>
      </c>
      <c r="L160" s="96">
        <v>2081083.0</v>
      </c>
      <c r="M160" s="96" t="s">
        <v>1033</v>
      </c>
      <c r="N160" s="96" t="s">
        <v>233</v>
      </c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</row>
    <row r="161" ht="36.75" customHeight="1">
      <c r="A161" s="90" t="s">
        <v>150</v>
      </c>
      <c r="B161" s="93" t="s">
        <v>151</v>
      </c>
      <c r="C161" s="93" t="s">
        <v>203</v>
      </c>
      <c r="D161" s="93" t="s">
        <v>214</v>
      </c>
      <c r="E161" s="93">
        <v>2831503.0</v>
      </c>
      <c r="F161" s="93" t="s">
        <v>868</v>
      </c>
      <c r="G161" s="93" t="s">
        <v>867</v>
      </c>
      <c r="H161" s="90" t="s">
        <v>221</v>
      </c>
      <c r="I161" s="96" t="s">
        <v>222</v>
      </c>
      <c r="J161" s="96" t="s">
        <v>233</v>
      </c>
      <c r="K161" s="96" t="s">
        <v>243</v>
      </c>
      <c r="L161" s="96">
        <v>2081083.0</v>
      </c>
      <c r="M161" s="96" t="s">
        <v>1033</v>
      </c>
      <c r="N161" s="96" t="s">
        <v>233</v>
      </c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</row>
    <row r="162" ht="36.75" customHeight="1">
      <c r="A162" s="90" t="s">
        <v>150</v>
      </c>
      <c r="B162" s="93" t="s">
        <v>151</v>
      </c>
      <c r="C162" s="93" t="s">
        <v>203</v>
      </c>
      <c r="D162" s="93" t="s">
        <v>215</v>
      </c>
      <c r="E162" s="93" t="s">
        <v>866</v>
      </c>
      <c r="F162" s="93" t="s">
        <v>865</v>
      </c>
      <c r="G162" s="93" t="s">
        <v>867</v>
      </c>
      <c r="H162" s="90" t="s">
        <v>221</v>
      </c>
      <c r="I162" s="96" t="s">
        <v>222</v>
      </c>
      <c r="J162" s="96" t="s">
        <v>233</v>
      </c>
      <c r="K162" s="96" t="s">
        <v>244</v>
      </c>
      <c r="L162" s="96">
        <v>2081083.0</v>
      </c>
      <c r="M162" s="96" t="s">
        <v>1033</v>
      </c>
      <c r="N162" s="96" t="s">
        <v>233</v>
      </c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</row>
    <row r="163" ht="36.75" customHeight="1">
      <c r="A163" s="90" t="s">
        <v>150</v>
      </c>
      <c r="B163" s="93" t="s">
        <v>151</v>
      </c>
      <c r="C163" s="93" t="s">
        <v>203</v>
      </c>
      <c r="D163" s="93" t="s">
        <v>215</v>
      </c>
      <c r="E163" s="93">
        <v>2831503.0</v>
      </c>
      <c r="F163" s="93" t="s">
        <v>868</v>
      </c>
      <c r="G163" s="93" t="s">
        <v>867</v>
      </c>
      <c r="H163" s="90" t="s">
        <v>221</v>
      </c>
      <c r="I163" s="96" t="s">
        <v>222</v>
      </c>
      <c r="J163" s="96" t="s">
        <v>222</v>
      </c>
      <c r="K163" s="96" t="s">
        <v>245</v>
      </c>
      <c r="L163" s="96">
        <v>9680500.0</v>
      </c>
      <c r="M163" s="96" t="s">
        <v>1037</v>
      </c>
      <c r="N163" s="96" t="s">
        <v>251</v>
      </c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</row>
    <row r="164" ht="36.75" customHeight="1">
      <c r="A164" s="90" t="s">
        <v>150</v>
      </c>
      <c r="B164" s="93" t="s">
        <v>151</v>
      </c>
      <c r="C164" s="93" t="s">
        <v>203</v>
      </c>
      <c r="D164" s="93" t="s">
        <v>216</v>
      </c>
      <c r="E164" s="93" t="s">
        <v>866</v>
      </c>
      <c r="F164" s="93" t="s">
        <v>865</v>
      </c>
      <c r="G164" s="93" t="s">
        <v>867</v>
      </c>
      <c r="H164" s="90" t="s">
        <v>221</v>
      </c>
      <c r="I164" s="96" t="s">
        <v>222</v>
      </c>
      <c r="J164" s="96" t="s">
        <v>222</v>
      </c>
      <c r="K164" s="96" t="s">
        <v>246</v>
      </c>
      <c r="L164" s="96">
        <v>2086050.0</v>
      </c>
      <c r="M164" s="96" t="s">
        <v>1038</v>
      </c>
      <c r="N164" s="96" t="s">
        <v>222</v>
      </c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</row>
    <row r="165" ht="36.75" customHeight="1">
      <c r="A165" s="90" t="s">
        <v>150</v>
      </c>
      <c r="B165" s="93" t="s">
        <v>151</v>
      </c>
      <c r="C165" s="93" t="s">
        <v>203</v>
      </c>
      <c r="D165" s="93" t="s">
        <v>216</v>
      </c>
      <c r="E165" s="93">
        <v>2831503.0</v>
      </c>
      <c r="F165" s="93" t="s">
        <v>868</v>
      </c>
      <c r="G165" s="93" t="s">
        <v>867</v>
      </c>
      <c r="H165" s="90" t="s">
        <v>221</v>
      </c>
      <c r="I165" s="96" t="s">
        <v>222</v>
      </c>
      <c r="J165" s="96" t="s">
        <v>222</v>
      </c>
      <c r="K165" s="96" t="s">
        <v>247</v>
      </c>
      <c r="L165" s="96">
        <v>2086050.0</v>
      </c>
      <c r="M165" s="96" t="s">
        <v>1038</v>
      </c>
      <c r="N165" s="96" t="s">
        <v>222</v>
      </c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</row>
    <row r="166" ht="36.75" customHeight="1">
      <c r="A166" s="90" t="s">
        <v>150</v>
      </c>
      <c r="B166" s="93" t="s">
        <v>151</v>
      </c>
      <c r="C166" s="93" t="s">
        <v>203</v>
      </c>
      <c r="D166" s="93" t="s">
        <v>217</v>
      </c>
      <c r="E166" s="93" t="s">
        <v>866</v>
      </c>
      <c r="F166" s="93" t="s">
        <v>865</v>
      </c>
      <c r="G166" s="93" t="s">
        <v>867</v>
      </c>
      <c r="H166" s="90" t="s">
        <v>221</v>
      </c>
      <c r="I166" s="96" t="s">
        <v>222</v>
      </c>
      <c r="J166" s="96" t="s">
        <v>222</v>
      </c>
      <c r="K166" s="96" t="s">
        <v>248</v>
      </c>
      <c r="L166" s="96">
        <v>2086050.0</v>
      </c>
      <c r="M166" s="96" t="s">
        <v>1038</v>
      </c>
      <c r="N166" s="96" t="s">
        <v>222</v>
      </c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</row>
    <row r="167" ht="36.75" customHeight="1">
      <c r="A167" s="90" t="s">
        <v>150</v>
      </c>
      <c r="B167" s="93" t="s">
        <v>151</v>
      </c>
      <c r="C167" s="93" t="s">
        <v>203</v>
      </c>
      <c r="D167" s="93" t="s">
        <v>217</v>
      </c>
      <c r="E167" s="93">
        <v>2831503.0</v>
      </c>
      <c r="F167" s="93" t="s">
        <v>868</v>
      </c>
      <c r="G167" s="93" t="s">
        <v>867</v>
      </c>
      <c r="H167" s="90" t="s">
        <v>221</v>
      </c>
      <c r="I167" s="96" t="s">
        <v>222</v>
      </c>
      <c r="J167" s="96" t="s">
        <v>222</v>
      </c>
      <c r="K167" s="96" t="s">
        <v>249</v>
      </c>
      <c r="L167" s="96">
        <v>2086050.0</v>
      </c>
      <c r="M167" s="96" t="s">
        <v>1038</v>
      </c>
      <c r="N167" s="96" t="s">
        <v>222</v>
      </c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</row>
    <row r="168" ht="36.75" customHeight="1">
      <c r="A168" s="90" t="s">
        <v>150</v>
      </c>
      <c r="B168" s="93" t="s">
        <v>151</v>
      </c>
      <c r="C168" s="93" t="s">
        <v>203</v>
      </c>
      <c r="D168" s="93" t="s">
        <v>218</v>
      </c>
      <c r="E168" s="93" t="s">
        <v>866</v>
      </c>
      <c r="F168" s="93" t="s">
        <v>865</v>
      </c>
      <c r="G168" s="93" t="s">
        <v>867</v>
      </c>
      <c r="H168" s="90" t="s">
        <v>221</v>
      </c>
      <c r="I168" s="96" t="s">
        <v>222</v>
      </c>
      <c r="J168" s="96" t="s">
        <v>222</v>
      </c>
      <c r="K168" s="96" t="s">
        <v>250</v>
      </c>
      <c r="L168" s="96">
        <v>9680500.0</v>
      </c>
      <c r="M168" s="96" t="s">
        <v>1037</v>
      </c>
      <c r="N168" s="96" t="s">
        <v>251</v>
      </c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</row>
    <row r="169" ht="36.75" customHeight="1">
      <c r="A169" s="90" t="s">
        <v>150</v>
      </c>
      <c r="B169" s="93" t="s">
        <v>151</v>
      </c>
      <c r="C169" s="93" t="s">
        <v>203</v>
      </c>
      <c r="D169" s="93" t="s">
        <v>218</v>
      </c>
      <c r="E169" s="93">
        <v>2831503.0</v>
      </c>
      <c r="F169" s="93" t="s">
        <v>868</v>
      </c>
      <c r="G169" s="93" t="s">
        <v>867</v>
      </c>
      <c r="H169" s="90" t="s">
        <v>221</v>
      </c>
      <c r="I169" s="96" t="s">
        <v>222</v>
      </c>
      <c r="J169" s="96" t="s">
        <v>222</v>
      </c>
      <c r="K169" s="96" t="s">
        <v>251</v>
      </c>
      <c r="L169" s="96">
        <v>9680500.0</v>
      </c>
      <c r="M169" s="96" t="s">
        <v>1037</v>
      </c>
      <c r="N169" s="96" t="s">
        <v>251</v>
      </c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</row>
    <row r="170" ht="36.75" customHeight="1">
      <c r="A170" s="90" t="s">
        <v>150</v>
      </c>
      <c r="B170" s="93" t="s">
        <v>151</v>
      </c>
      <c r="C170" s="93" t="s">
        <v>203</v>
      </c>
      <c r="D170" s="93" t="s">
        <v>219</v>
      </c>
      <c r="E170" s="93" t="s">
        <v>866</v>
      </c>
      <c r="F170" s="93" t="s">
        <v>865</v>
      </c>
      <c r="G170" s="93" t="s">
        <v>867</v>
      </c>
      <c r="H170" s="90" t="s">
        <v>221</v>
      </c>
      <c r="I170" s="96" t="s">
        <v>222</v>
      </c>
      <c r="J170" s="96" t="s">
        <v>222</v>
      </c>
      <c r="K170" s="96" t="s">
        <v>252</v>
      </c>
      <c r="L170" s="96">
        <v>2086050.0</v>
      </c>
      <c r="M170" s="96" t="s">
        <v>1038</v>
      </c>
      <c r="N170" s="96" t="s">
        <v>222</v>
      </c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</row>
    <row r="171" ht="36.75" customHeight="1">
      <c r="A171" s="90" t="s">
        <v>150</v>
      </c>
      <c r="B171" s="93" t="s">
        <v>151</v>
      </c>
      <c r="C171" s="93" t="s">
        <v>203</v>
      </c>
      <c r="D171" s="93" t="s">
        <v>219</v>
      </c>
      <c r="E171" s="93">
        <v>2831503.0</v>
      </c>
      <c r="F171" s="93" t="s">
        <v>868</v>
      </c>
      <c r="G171" s="93" t="s">
        <v>867</v>
      </c>
      <c r="H171" s="90" t="s">
        <v>221</v>
      </c>
      <c r="I171" s="96" t="s">
        <v>222</v>
      </c>
      <c r="J171" s="96" t="s">
        <v>222</v>
      </c>
      <c r="K171" s="96" t="s">
        <v>253</v>
      </c>
      <c r="L171" s="96">
        <v>2086050.0</v>
      </c>
      <c r="M171" s="96" t="s">
        <v>1038</v>
      </c>
      <c r="N171" s="96" t="s">
        <v>222</v>
      </c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</row>
    <row r="172" ht="36.75" customHeight="1">
      <c r="A172" s="90" t="s">
        <v>150</v>
      </c>
      <c r="B172" s="93" t="s">
        <v>151</v>
      </c>
      <c r="C172" s="93" t="s">
        <v>203</v>
      </c>
      <c r="D172" s="93" t="s">
        <v>220</v>
      </c>
      <c r="E172" s="93" t="s">
        <v>866</v>
      </c>
      <c r="F172" s="93" t="s">
        <v>865</v>
      </c>
      <c r="G172" s="93" t="s">
        <v>867</v>
      </c>
      <c r="H172" s="90" t="s">
        <v>221</v>
      </c>
      <c r="I172" s="96" t="s">
        <v>222</v>
      </c>
      <c r="J172" s="96" t="s">
        <v>222</v>
      </c>
      <c r="K172" s="96" t="s">
        <v>254</v>
      </c>
      <c r="L172" s="96">
        <v>2086050.0</v>
      </c>
      <c r="M172" s="96" t="s">
        <v>1038</v>
      </c>
      <c r="N172" s="96" t="s">
        <v>222</v>
      </c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</row>
    <row r="173" ht="36.75" customHeight="1">
      <c r="A173" s="90" t="s">
        <v>150</v>
      </c>
      <c r="B173" s="93" t="s">
        <v>151</v>
      </c>
      <c r="C173" s="93" t="s">
        <v>203</v>
      </c>
      <c r="D173" s="93" t="s">
        <v>220</v>
      </c>
      <c r="E173" s="93">
        <v>2831503.0</v>
      </c>
      <c r="F173" s="93" t="s">
        <v>868</v>
      </c>
      <c r="G173" s="93" t="s">
        <v>867</v>
      </c>
      <c r="H173" s="90" t="s">
        <v>221</v>
      </c>
      <c r="I173" s="96" t="s">
        <v>222</v>
      </c>
      <c r="J173" s="96" t="s">
        <v>222</v>
      </c>
      <c r="K173" s="96" t="s">
        <v>255</v>
      </c>
      <c r="L173" s="96">
        <v>2086050.0</v>
      </c>
      <c r="M173" s="96" t="s">
        <v>1038</v>
      </c>
      <c r="N173" s="96" t="s">
        <v>222</v>
      </c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</row>
    <row r="174" ht="36.75" customHeight="1">
      <c r="A174" s="90" t="s">
        <v>221</v>
      </c>
      <c r="B174" s="93" t="s">
        <v>222</v>
      </c>
      <c r="C174" s="93" t="s">
        <v>223</v>
      </c>
      <c r="D174" s="93" t="s">
        <v>223</v>
      </c>
      <c r="E174" s="93">
        <v>2025507.0</v>
      </c>
      <c r="F174" s="93" t="s">
        <v>869</v>
      </c>
      <c r="G174" s="93" t="s">
        <v>222</v>
      </c>
      <c r="H174" s="90" t="s">
        <v>221</v>
      </c>
      <c r="I174" s="96" t="s">
        <v>222</v>
      </c>
      <c r="J174" s="96" t="s">
        <v>222</v>
      </c>
      <c r="K174" s="96" t="s">
        <v>222</v>
      </c>
      <c r="L174" s="96">
        <v>2086050.0</v>
      </c>
      <c r="M174" s="96" t="s">
        <v>1038</v>
      </c>
      <c r="N174" s="96" t="s">
        <v>222</v>
      </c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</row>
    <row r="175" ht="36.75" customHeight="1">
      <c r="A175" s="90" t="s">
        <v>221</v>
      </c>
      <c r="B175" s="93" t="s">
        <v>222</v>
      </c>
      <c r="C175" s="93" t="s">
        <v>223</v>
      </c>
      <c r="D175" s="93" t="s">
        <v>224</v>
      </c>
      <c r="E175" s="93">
        <v>2025507.0</v>
      </c>
      <c r="F175" s="93" t="s">
        <v>869</v>
      </c>
      <c r="G175" s="93" t="s">
        <v>222</v>
      </c>
      <c r="H175" s="90" t="s">
        <v>221</v>
      </c>
      <c r="I175" s="96" t="s">
        <v>222</v>
      </c>
      <c r="J175" s="96" t="s">
        <v>222</v>
      </c>
      <c r="K175" s="96" t="s">
        <v>256</v>
      </c>
      <c r="L175" s="96">
        <v>2086050.0</v>
      </c>
      <c r="M175" s="96" t="s">
        <v>1038</v>
      </c>
      <c r="N175" s="96" t="s">
        <v>222</v>
      </c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</row>
    <row r="176" ht="36.75" customHeight="1">
      <c r="A176" s="90" t="s">
        <v>221</v>
      </c>
      <c r="B176" s="93" t="s">
        <v>222</v>
      </c>
      <c r="C176" s="93" t="s">
        <v>223</v>
      </c>
      <c r="D176" s="93" t="s">
        <v>225</v>
      </c>
      <c r="E176" s="93">
        <v>2025507.0</v>
      </c>
      <c r="F176" s="93" t="s">
        <v>869</v>
      </c>
      <c r="G176" s="93" t="s">
        <v>222</v>
      </c>
      <c r="H176" s="90" t="s">
        <v>221</v>
      </c>
      <c r="I176" s="96" t="s">
        <v>222</v>
      </c>
      <c r="J176" s="96" t="s">
        <v>222</v>
      </c>
      <c r="K176" s="96" t="s">
        <v>257</v>
      </c>
      <c r="L176" s="96">
        <v>2086050.0</v>
      </c>
      <c r="M176" s="96" t="s">
        <v>1038</v>
      </c>
      <c r="N176" s="96" t="s">
        <v>222</v>
      </c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</row>
    <row r="177" ht="36.75" customHeight="1">
      <c r="A177" s="90" t="s">
        <v>221</v>
      </c>
      <c r="B177" s="93" t="s">
        <v>222</v>
      </c>
      <c r="C177" s="93" t="s">
        <v>223</v>
      </c>
      <c r="D177" s="93" t="s">
        <v>226</v>
      </c>
      <c r="E177" s="93">
        <v>2025507.0</v>
      </c>
      <c r="F177" s="93" t="s">
        <v>869</v>
      </c>
      <c r="G177" s="93" t="s">
        <v>222</v>
      </c>
      <c r="H177" s="90" t="s">
        <v>221</v>
      </c>
      <c r="I177" s="96" t="s">
        <v>222</v>
      </c>
      <c r="J177" s="96" t="s">
        <v>222</v>
      </c>
      <c r="K177" s="96" t="s">
        <v>258</v>
      </c>
      <c r="L177" s="96">
        <v>2086050.0</v>
      </c>
      <c r="M177" s="96" t="s">
        <v>1038</v>
      </c>
      <c r="N177" s="96" t="s">
        <v>222</v>
      </c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</row>
    <row r="178" ht="36.75" customHeight="1">
      <c r="A178" s="90" t="s">
        <v>221</v>
      </c>
      <c r="B178" s="93" t="s">
        <v>222</v>
      </c>
      <c r="C178" s="93" t="s">
        <v>223</v>
      </c>
      <c r="D178" s="93" t="s">
        <v>227</v>
      </c>
      <c r="E178" s="93">
        <v>2025507.0</v>
      </c>
      <c r="F178" s="93" t="s">
        <v>869</v>
      </c>
      <c r="G178" s="93" t="s">
        <v>222</v>
      </c>
      <c r="H178" s="90" t="s">
        <v>221</v>
      </c>
      <c r="I178" s="96" t="s">
        <v>222</v>
      </c>
      <c r="J178" s="96" t="s">
        <v>222</v>
      </c>
      <c r="K178" s="96" t="s">
        <v>259</v>
      </c>
      <c r="L178" s="96">
        <v>2086050.0</v>
      </c>
      <c r="M178" s="96" t="s">
        <v>1038</v>
      </c>
      <c r="N178" s="96" t="s">
        <v>222</v>
      </c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</row>
    <row r="179" ht="36.75" customHeight="1">
      <c r="A179" s="90" t="s">
        <v>221</v>
      </c>
      <c r="B179" s="93" t="s">
        <v>222</v>
      </c>
      <c r="C179" s="93" t="s">
        <v>223</v>
      </c>
      <c r="D179" s="93" t="s">
        <v>228</v>
      </c>
      <c r="E179" s="93">
        <v>2025507.0</v>
      </c>
      <c r="F179" s="93" t="s">
        <v>869</v>
      </c>
      <c r="G179" s="93" t="s">
        <v>222</v>
      </c>
      <c r="H179" s="90" t="s">
        <v>221</v>
      </c>
      <c r="I179" s="96" t="s">
        <v>222</v>
      </c>
      <c r="J179" s="96" t="s">
        <v>222</v>
      </c>
      <c r="K179" s="96" t="s">
        <v>260</v>
      </c>
      <c r="L179" s="96">
        <v>2086050.0</v>
      </c>
      <c r="M179" s="96" t="s">
        <v>1038</v>
      </c>
      <c r="N179" s="96" t="s">
        <v>222</v>
      </c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</row>
    <row r="180" ht="36.75" customHeight="1">
      <c r="A180" s="90" t="s">
        <v>221</v>
      </c>
      <c r="B180" s="93" t="s">
        <v>222</v>
      </c>
      <c r="C180" s="93" t="s">
        <v>223</v>
      </c>
      <c r="D180" s="93" t="s">
        <v>229</v>
      </c>
      <c r="E180" s="93">
        <v>2025507.0</v>
      </c>
      <c r="F180" s="93" t="s">
        <v>869</v>
      </c>
      <c r="G180" s="93" t="s">
        <v>222</v>
      </c>
      <c r="H180" s="90" t="s">
        <v>221</v>
      </c>
      <c r="I180" s="96" t="s">
        <v>222</v>
      </c>
      <c r="J180" s="96" t="s">
        <v>222</v>
      </c>
      <c r="K180" s="96" t="s">
        <v>261</v>
      </c>
      <c r="L180" s="96">
        <v>2086050.0</v>
      </c>
      <c r="M180" s="96" t="s">
        <v>1038</v>
      </c>
      <c r="N180" s="96" t="s">
        <v>222</v>
      </c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</row>
    <row r="181" ht="36.75" customHeight="1">
      <c r="A181" s="90" t="s">
        <v>221</v>
      </c>
      <c r="B181" s="93" t="s">
        <v>222</v>
      </c>
      <c r="C181" s="93" t="s">
        <v>223</v>
      </c>
      <c r="D181" s="93" t="s">
        <v>230</v>
      </c>
      <c r="E181" s="93">
        <v>2025507.0</v>
      </c>
      <c r="F181" s="93" t="s">
        <v>869</v>
      </c>
      <c r="G181" s="93" t="s">
        <v>222</v>
      </c>
      <c r="H181" s="90" t="s">
        <v>221</v>
      </c>
      <c r="I181" s="96" t="s">
        <v>222</v>
      </c>
      <c r="J181" s="96" t="s">
        <v>222</v>
      </c>
      <c r="K181" s="96" t="s">
        <v>262</v>
      </c>
      <c r="L181" s="96">
        <v>2086050.0</v>
      </c>
      <c r="M181" s="96" t="s">
        <v>1038</v>
      </c>
      <c r="N181" s="96" t="s">
        <v>222</v>
      </c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</row>
    <row r="182" ht="36.75" customHeight="1">
      <c r="A182" s="90" t="s">
        <v>221</v>
      </c>
      <c r="B182" s="93" t="s">
        <v>222</v>
      </c>
      <c r="C182" s="93" t="s">
        <v>223</v>
      </c>
      <c r="D182" s="93" t="s">
        <v>231</v>
      </c>
      <c r="E182" s="93">
        <v>2025507.0</v>
      </c>
      <c r="F182" s="93" t="s">
        <v>869</v>
      </c>
      <c r="G182" s="93" t="s">
        <v>222</v>
      </c>
      <c r="H182" s="90" t="s">
        <v>221</v>
      </c>
      <c r="I182" s="96" t="s">
        <v>222</v>
      </c>
      <c r="J182" s="96" t="s">
        <v>263</v>
      </c>
      <c r="K182" s="96" t="s">
        <v>264</v>
      </c>
      <c r="L182" s="96">
        <v>2084058.0</v>
      </c>
      <c r="M182" s="96" t="s">
        <v>1039</v>
      </c>
      <c r="N182" s="96" t="s">
        <v>263</v>
      </c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</row>
    <row r="183" ht="36.75" customHeight="1">
      <c r="A183" s="90" t="s">
        <v>221</v>
      </c>
      <c r="B183" s="93" t="s">
        <v>222</v>
      </c>
      <c r="C183" s="93" t="s">
        <v>223</v>
      </c>
      <c r="D183" s="93" t="s">
        <v>232</v>
      </c>
      <c r="E183" s="93">
        <v>2025507.0</v>
      </c>
      <c r="F183" s="93" t="s">
        <v>869</v>
      </c>
      <c r="G183" s="93" t="s">
        <v>222</v>
      </c>
      <c r="H183" s="90" t="s">
        <v>221</v>
      </c>
      <c r="I183" s="96" t="s">
        <v>222</v>
      </c>
      <c r="J183" s="96" t="s">
        <v>263</v>
      </c>
      <c r="K183" s="96" t="s">
        <v>265</v>
      </c>
      <c r="L183" s="96">
        <v>3586812.0</v>
      </c>
      <c r="M183" s="96" t="s">
        <v>1040</v>
      </c>
      <c r="N183" s="96" t="s">
        <v>263</v>
      </c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</row>
    <row r="184" ht="36.75" customHeight="1">
      <c r="A184" s="90" t="s">
        <v>221</v>
      </c>
      <c r="B184" s="93" t="s">
        <v>222</v>
      </c>
      <c r="C184" s="93" t="s">
        <v>233</v>
      </c>
      <c r="D184" s="93" t="s">
        <v>233</v>
      </c>
      <c r="E184" s="93">
        <v>2083094.0</v>
      </c>
      <c r="F184" s="93" t="s">
        <v>870</v>
      </c>
      <c r="G184" s="93" t="s">
        <v>233</v>
      </c>
      <c r="H184" s="90" t="s">
        <v>221</v>
      </c>
      <c r="I184" s="96" t="s">
        <v>222</v>
      </c>
      <c r="J184" s="96" t="s">
        <v>263</v>
      </c>
      <c r="K184" s="96" t="s">
        <v>266</v>
      </c>
      <c r="L184" s="96">
        <v>2082438.0</v>
      </c>
      <c r="M184" s="96" t="s">
        <v>1041</v>
      </c>
      <c r="N184" s="96" t="s">
        <v>266</v>
      </c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</row>
    <row r="185" ht="36.75" customHeight="1">
      <c r="A185" s="90" t="s">
        <v>221</v>
      </c>
      <c r="B185" s="93" t="s">
        <v>222</v>
      </c>
      <c r="C185" s="93" t="s">
        <v>233</v>
      </c>
      <c r="D185" s="93" t="s">
        <v>234</v>
      </c>
      <c r="E185" s="93">
        <v>2083094.0</v>
      </c>
      <c r="F185" s="93" t="s">
        <v>870</v>
      </c>
      <c r="G185" s="93" t="s">
        <v>233</v>
      </c>
      <c r="H185" s="90" t="s">
        <v>221</v>
      </c>
      <c r="I185" s="96" t="s">
        <v>222</v>
      </c>
      <c r="J185" s="96" t="s">
        <v>263</v>
      </c>
      <c r="K185" s="96" t="s">
        <v>267</v>
      </c>
      <c r="L185" s="96">
        <v>2084058.0</v>
      </c>
      <c r="M185" s="96" t="s">
        <v>1039</v>
      </c>
      <c r="N185" s="96" t="s">
        <v>263</v>
      </c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</row>
    <row r="186" ht="36.75" customHeight="1">
      <c r="A186" s="90" t="s">
        <v>221</v>
      </c>
      <c r="B186" s="93" t="s">
        <v>222</v>
      </c>
      <c r="C186" s="93" t="s">
        <v>233</v>
      </c>
      <c r="D186" s="93" t="s">
        <v>235</v>
      </c>
      <c r="E186" s="93">
        <v>2083094.0</v>
      </c>
      <c r="F186" s="93" t="s">
        <v>870</v>
      </c>
      <c r="G186" s="93" t="s">
        <v>233</v>
      </c>
      <c r="H186" s="90" t="s">
        <v>221</v>
      </c>
      <c r="I186" s="96" t="s">
        <v>222</v>
      </c>
      <c r="J186" s="96" t="s">
        <v>263</v>
      </c>
      <c r="K186" s="96" t="s">
        <v>268</v>
      </c>
      <c r="L186" s="96">
        <v>3586812.0</v>
      </c>
      <c r="M186" s="96" t="s">
        <v>1040</v>
      </c>
      <c r="N186" s="96" t="s">
        <v>263</v>
      </c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</row>
    <row r="187" ht="36.75" customHeight="1">
      <c r="A187" s="90" t="s">
        <v>221</v>
      </c>
      <c r="B187" s="93" t="s">
        <v>222</v>
      </c>
      <c r="C187" s="93" t="s">
        <v>233</v>
      </c>
      <c r="D187" s="93" t="s">
        <v>236</v>
      </c>
      <c r="E187" s="93">
        <v>2083094.0</v>
      </c>
      <c r="F187" s="93" t="s">
        <v>870</v>
      </c>
      <c r="G187" s="93" t="s">
        <v>233</v>
      </c>
      <c r="H187" s="90" t="s">
        <v>221</v>
      </c>
      <c r="I187" s="96" t="s">
        <v>222</v>
      </c>
      <c r="J187" s="96" t="s">
        <v>263</v>
      </c>
      <c r="K187" s="96" t="s">
        <v>269</v>
      </c>
      <c r="L187" s="96">
        <v>2081660.0</v>
      </c>
      <c r="M187" s="96" t="s">
        <v>1042</v>
      </c>
      <c r="N187" s="96" t="s">
        <v>263</v>
      </c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</row>
    <row r="188" ht="36.75" customHeight="1">
      <c r="A188" s="90" t="s">
        <v>221</v>
      </c>
      <c r="B188" s="93" t="s">
        <v>222</v>
      </c>
      <c r="C188" s="93" t="s">
        <v>233</v>
      </c>
      <c r="D188" s="93" t="s">
        <v>237</v>
      </c>
      <c r="E188" s="93">
        <v>2083094.0</v>
      </c>
      <c r="F188" s="93" t="s">
        <v>870</v>
      </c>
      <c r="G188" s="93" t="s">
        <v>233</v>
      </c>
      <c r="H188" s="90" t="s">
        <v>221</v>
      </c>
      <c r="I188" s="96" t="s">
        <v>222</v>
      </c>
      <c r="J188" s="96" t="s">
        <v>263</v>
      </c>
      <c r="K188" s="96" t="s">
        <v>270</v>
      </c>
      <c r="L188" s="96">
        <v>3586812.0</v>
      </c>
      <c r="M188" s="96" t="s">
        <v>1040</v>
      </c>
      <c r="N188" s="96" t="s">
        <v>263</v>
      </c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</row>
    <row r="189" ht="36.75" customHeight="1">
      <c r="A189" s="90" t="s">
        <v>221</v>
      </c>
      <c r="B189" s="93" t="s">
        <v>222</v>
      </c>
      <c r="C189" s="93" t="s">
        <v>233</v>
      </c>
      <c r="D189" s="93" t="s">
        <v>238</v>
      </c>
      <c r="E189" s="93">
        <v>2083094.0</v>
      </c>
      <c r="F189" s="93" t="s">
        <v>870</v>
      </c>
      <c r="G189" s="93" t="s">
        <v>233</v>
      </c>
      <c r="H189" s="90" t="s">
        <v>221</v>
      </c>
      <c r="I189" s="96" t="s">
        <v>222</v>
      </c>
      <c r="J189" s="96" t="s">
        <v>263</v>
      </c>
      <c r="K189" s="96" t="s">
        <v>263</v>
      </c>
      <c r="L189" s="96">
        <v>3586812.0</v>
      </c>
      <c r="M189" s="96" t="s">
        <v>1040</v>
      </c>
      <c r="N189" s="96" t="s">
        <v>263</v>
      </c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</row>
    <row r="190" ht="36.75" customHeight="1">
      <c r="A190" s="90" t="s">
        <v>221</v>
      </c>
      <c r="B190" s="93" t="s">
        <v>222</v>
      </c>
      <c r="C190" s="93" t="s">
        <v>233</v>
      </c>
      <c r="D190" s="93" t="s">
        <v>239</v>
      </c>
      <c r="E190" s="93">
        <v>2083094.0</v>
      </c>
      <c r="F190" s="93" t="s">
        <v>870</v>
      </c>
      <c r="G190" s="93" t="s">
        <v>233</v>
      </c>
      <c r="H190" s="90" t="s">
        <v>221</v>
      </c>
      <c r="I190" s="96" t="s">
        <v>222</v>
      </c>
      <c r="J190" s="96" t="s">
        <v>263</v>
      </c>
      <c r="K190" s="96" t="s">
        <v>271</v>
      </c>
      <c r="L190" s="96">
        <v>3586812.0</v>
      </c>
      <c r="M190" s="96" t="s">
        <v>1040</v>
      </c>
      <c r="N190" s="96" t="s">
        <v>263</v>
      </c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</row>
    <row r="191" ht="36.75" customHeight="1">
      <c r="A191" s="90" t="s">
        <v>221</v>
      </c>
      <c r="B191" s="93" t="s">
        <v>222</v>
      </c>
      <c r="C191" s="93" t="s">
        <v>233</v>
      </c>
      <c r="D191" s="93" t="s">
        <v>240</v>
      </c>
      <c r="E191" s="93">
        <v>2083094.0</v>
      </c>
      <c r="F191" s="93" t="s">
        <v>870</v>
      </c>
      <c r="G191" s="93" t="s">
        <v>233</v>
      </c>
      <c r="H191" s="90" t="s">
        <v>221</v>
      </c>
      <c r="I191" s="96" t="s">
        <v>222</v>
      </c>
      <c r="J191" s="96" t="s">
        <v>263</v>
      </c>
      <c r="K191" s="96" t="s">
        <v>272</v>
      </c>
      <c r="L191" s="96">
        <v>3586812.0</v>
      </c>
      <c r="M191" s="96" t="s">
        <v>1040</v>
      </c>
      <c r="N191" s="96" t="s">
        <v>263</v>
      </c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</row>
    <row r="192" ht="36.75" customHeight="1">
      <c r="A192" s="90" t="s">
        <v>221</v>
      </c>
      <c r="B192" s="93" t="s">
        <v>222</v>
      </c>
      <c r="C192" s="93" t="s">
        <v>233</v>
      </c>
      <c r="D192" s="93" t="s">
        <v>241</v>
      </c>
      <c r="E192" s="93">
        <v>2083094.0</v>
      </c>
      <c r="F192" s="93" t="s">
        <v>870</v>
      </c>
      <c r="G192" s="93" t="s">
        <v>233</v>
      </c>
      <c r="H192" s="90" t="s">
        <v>221</v>
      </c>
      <c r="I192" s="96" t="s">
        <v>222</v>
      </c>
      <c r="J192" s="96" t="s">
        <v>263</v>
      </c>
      <c r="K192" s="96" t="s">
        <v>273</v>
      </c>
      <c r="L192" s="96">
        <v>2084058.0</v>
      </c>
      <c r="M192" s="96" t="s">
        <v>1039</v>
      </c>
      <c r="N192" s="96" t="s">
        <v>263</v>
      </c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</row>
    <row r="193" ht="36.75" customHeight="1">
      <c r="A193" s="90" t="s">
        <v>221</v>
      </c>
      <c r="B193" s="93" t="s">
        <v>222</v>
      </c>
      <c r="C193" s="93" t="s">
        <v>233</v>
      </c>
      <c r="D193" s="93" t="s">
        <v>242</v>
      </c>
      <c r="E193" s="93">
        <v>2083094.0</v>
      </c>
      <c r="F193" s="93" t="s">
        <v>870</v>
      </c>
      <c r="G193" s="93" t="s">
        <v>233</v>
      </c>
      <c r="H193" s="90" t="s">
        <v>221</v>
      </c>
      <c r="I193" s="96" t="s">
        <v>222</v>
      </c>
      <c r="J193" s="96" t="s">
        <v>263</v>
      </c>
      <c r="K193" s="96" t="s">
        <v>274</v>
      </c>
      <c r="L193" s="96">
        <v>3586812.0</v>
      </c>
      <c r="M193" s="96" t="s">
        <v>1040</v>
      </c>
      <c r="N193" s="96" t="s">
        <v>263</v>
      </c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</row>
    <row r="194" ht="36.75" customHeight="1">
      <c r="A194" s="90" t="s">
        <v>221</v>
      </c>
      <c r="B194" s="93" t="s">
        <v>222</v>
      </c>
      <c r="C194" s="93" t="s">
        <v>233</v>
      </c>
      <c r="D194" s="93" t="s">
        <v>243</v>
      </c>
      <c r="E194" s="93">
        <v>2083094.0</v>
      </c>
      <c r="F194" s="93" t="s">
        <v>870</v>
      </c>
      <c r="G194" s="93" t="s">
        <v>233</v>
      </c>
      <c r="H194" s="90" t="s">
        <v>221</v>
      </c>
      <c r="I194" s="96" t="s">
        <v>222</v>
      </c>
      <c r="J194" s="96" t="s">
        <v>263</v>
      </c>
      <c r="K194" s="96" t="s">
        <v>275</v>
      </c>
      <c r="L194" s="96">
        <v>3586812.0</v>
      </c>
      <c r="M194" s="96" t="s">
        <v>1040</v>
      </c>
      <c r="N194" s="96" t="s">
        <v>263</v>
      </c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</row>
    <row r="195" ht="36.75" customHeight="1">
      <c r="A195" s="90" t="s">
        <v>221</v>
      </c>
      <c r="B195" s="93" t="s">
        <v>222</v>
      </c>
      <c r="C195" s="93" t="s">
        <v>233</v>
      </c>
      <c r="D195" s="93" t="s">
        <v>244</v>
      </c>
      <c r="E195" s="93">
        <v>2083094.0</v>
      </c>
      <c r="F195" s="93" t="s">
        <v>870</v>
      </c>
      <c r="G195" s="93" t="s">
        <v>233</v>
      </c>
      <c r="H195" s="90" t="s">
        <v>221</v>
      </c>
      <c r="I195" s="96" t="s">
        <v>222</v>
      </c>
      <c r="J195" s="96" t="s">
        <v>276</v>
      </c>
      <c r="K195" s="96" t="s">
        <v>277</v>
      </c>
      <c r="L195" s="96">
        <v>2080664.0</v>
      </c>
      <c r="M195" s="96" t="s">
        <v>1043</v>
      </c>
      <c r="N195" s="96" t="s">
        <v>276</v>
      </c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</row>
    <row r="196" ht="36.75" customHeight="1">
      <c r="A196" s="90" t="s">
        <v>221</v>
      </c>
      <c r="B196" s="93" t="s">
        <v>222</v>
      </c>
      <c r="C196" s="93" t="s">
        <v>222</v>
      </c>
      <c r="D196" s="93" t="s">
        <v>245</v>
      </c>
      <c r="E196" s="93">
        <v>2025507.0</v>
      </c>
      <c r="F196" s="93" t="s">
        <v>869</v>
      </c>
      <c r="G196" s="93" t="s">
        <v>222</v>
      </c>
      <c r="H196" s="90" t="s">
        <v>221</v>
      </c>
      <c r="I196" s="96" t="s">
        <v>222</v>
      </c>
      <c r="J196" s="96" t="s">
        <v>276</v>
      </c>
      <c r="K196" s="96" t="s">
        <v>278</v>
      </c>
      <c r="L196" s="96">
        <v>2080664.0</v>
      </c>
      <c r="M196" s="96" t="s">
        <v>1043</v>
      </c>
      <c r="N196" s="96" t="s">
        <v>276</v>
      </c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</row>
    <row r="197" ht="36.75" customHeight="1">
      <c r="A197" s="90" t="s">
        <v>221</v>
      </c>
      <c r="B197" s="93" t="s">
        <v>222</v>
      </c>
      <c r="C197" s="93" t="s">
        <v>222</v>
      </c>
      <c r="D197" s="93" t="s">
        <v>246</v>
      </c>
      <c r="E197" s="93">
        <v>2025507.0</v>
      </c>
      <c r="F197" s="93" t="s">
        <v>869</v>
      </c>
      <c r="G197" s="93" t="s">
        <v>222</v>
      </c>
      <c r="H197" s="90" t="s">
        <v>221</v>
      </c>
      <c r="I197" s="96" t="s">
        <v>222</v>
      </c>
      <c r="J197" s="96" t="s">
        <v>276</v>
      </c>
      <c r="K197" s="96" t="s">
        <v>279</v>
      </c>
      <c r="L197" s="96">
        <v>2080664.0</v>
      </c>
      <c r="M197" s="96" t="s">
        <v>1043</v>
      </c>
      <c r="N197" s="96" t="s">
        <v>276</v>
      </c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</row>
    <row r="198" ht="36.75" customHeight="1">
      <c r="A198" s="90" t="s">
        <v>221</v>
      </c>
      <c r="B198" s="93" t="s">
        <v>222</v>
      </c>
      <c r="C198" s="93" t="s">
        <v>222</v>
      </c>
      <c r="D198" s="93" t="s">
        <v>247</v>
      </c>
      <c r="E198" s="93">
        <v>2025507.0</v>
      </c>
      <c r="F198" s="93" t="s">
        <v>869</v>
      </c>
      <c r="G198" s="93" t="s">
        <v>222</v>
      </c>
      <c r="H198" s="90" t="s">
        <v>221</v>
      </c>
      <c r="I198" s="96" t="s">
        <v>222</v>
      </c>
      <c r="J198" s="96" t="s">
        <v>276</v>
      </c>
      <c r="K198" s="96" t="s">
        <v>280</v>
      </c>
      <c r="L198" s="96">
        <v>2080664.0</v>
      </c>
      <c r="M198" s="96" t="s">
        <v>1043</v>
      </c>
      <c r="N198" s="96" t="s">
        <v>276</v>
      </c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</row>
    <row r="199" ht="36.75" customHeight="1">
      <c r="A199" s="90" t="s">
        <v>221</v>
      </c>
      <c r="B199" s="93" t="s">
        <v>222</v>
      </c>
      <c r="C199" s="93" t="s">
        <v>222</v>
      </c>
      <c r="D199" s="93" t="s">
        <v>248</v>
      </c>
      <c r="E199" s="93">
        <v>2025507.0</v>
      </c>
      <c r="F199" s="93" t="s">
        <v>869</v>
      </c>
      <c r="G199" s="93" t="s">
        <v>222</v>
      </c>
      <c r="H199" s="90" t="s">
        <v>221</v>
      </c>
      <c r="I199" s="96" t="s">
        <v>222</v>
      </c>
      <c r="J199" s="96" t="s">
        <v>276</v>
      </c>
      <c r="K199" s="96" t="s">
        <v>281</v>
      </c>
      <c r="L199" s="96">
        <v>2080664.0</v>
      </c>
      <c r="M199" s="96" t="s">
        <v>1043</v>
      </c>
      <c r="N199" s="96" t="s">
        <v>276</v>
      </c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</row>
    <row r="200" ht="36.75" customHeight="1">
      <c r="A200" s="90" t="s">
        <v>221</v>
      </c>
      <c r="B200" s="93" t="s">
        <v>222</v>
      </c>
      <c r="C200" s="93" t="s">
        <v>222</v>
      </c>
      <c r="D200" s="93" t="s">
        <v>249</v>
      </c>
      <c r="E200" s="93">
        <v>2025507.0</v>
      </c>
      <c r="F200" s="93" t="s">
        <v>869</v>
      </c>
      <c r="G200" s="93" t="s">
        <v>222</v>
      </c>
      <c r="H200" s="90" t="s">
        <v>221</v>
      </c>
      <c r="I200" s="96" t="s">
        <v>222</v>
      </c>
      <c r="J200" s="96" t="s">
        <v>276</v>
      </c>
      <c r="K200" s="96" t="s">
        <v>282</v>
      </c>
      <c r="L200" s="96">
        <v>2080664.0</v>
      </c>
      <c r="M200" s="96" t="s">
        <v>1043</v>
      </c>
      <c r="N200" s="96" t="s">
        <v>276</v>
      </c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</row>
    <row r="201" ht="36.75" customHeight="1">
      <c r="A201" s="90" t="s">
        <v>221</v>
      </c>
      <c r="B201" s="93" t="s">
        <v>222</v>
      </c>
      <c r="C201" s="93" t="s">
        <v>222</v>
      </c>
      <c r="D201" s="93" t="s">
        <v>250</v>
      </c>
      <c r="E201" s="93">
        <v>2025507.0</v>
      </c>
      <c r="F201" s="93" t="s">
        <v>869</v>
      </c>
      <c r="G201" s="93" t="s">
        <v>222</v>
      </c>
      <c r="H201" s="90" t="s">
        <v>221</v>
      </c>
      <c r="I201" s="96" t="s">
        <v>222</v>
      </c>
      <c r="J201" s="96" t="s">
        <v>276</v>
      </c>
      <c r="K201" s="96" t="s">
        <v>283</v>
      </c>
      <c r="L201" s="96">
        <v>2080664.0</v>
      </c>
      <c r="M201" s="96" t="s">
        <v>1043</v>
      </c>
      <c r="N201" s="96" t="s">
        <v>276</v>
      </c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</row>
    <row r="202" ht="36.75" customHeight="1">
      <c r="A202" s="90" t="s">
        <v>221</v>
      </c>
      <c r="B202" s="93" t="s">
        <v>222</v>
      </c>
      <c r="C202" s="93" t="s">
        <v>222</v>
      </c>
      <c r="D202" s="93" t="s">
        <v>251</v>
      </c>
      <c r="E202" s="93">
        <v>2025507.0</v>
      </c>
      <c r="F202" s="93" t="s">
        <v>869</v>
      </c>
      <c r="G202" s="93" t="s">
        <v>222</v>
      </c>
      <c r="H202" s="90" t="s">
        <v>221</v>
      </c>
      <c r="I202" s="96" t="s">
        <v>222</v>
      </c>
      <c r="J202" s="96" t="s">
        <v>276</v>
      </c>
      <c r="K202" s="96" t="s">
        <v>276</v>
      </c>
      <c r="L202" s="96">
        <v>2080664.0</v>
      </c>
      <c r="M202" s="96" t="s">
        <v>1043</v>
      </c>
      <c r="N202" s="96" t="s">
        <v>276</v>
      </c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</row>
    <row r="203" ht="36.75" customHeight="1">
      <c r="A203" s="90" t="s">
        <v>221</v>
      </c>
      <c r="B203" s="93" t="s">
        <v>222</v>
      </c>
      <c r="C203" s="93" t="s">
        <v>222</v>
      </c>
      <c r="D203" s="93" t="s">
        <v>252</v>
      </c>
      <c r="E203" s="93">
        <v>2025507.0</v>
      </c>
      <c r="F203" s="93" t="s">
        <v>869</v>
      </c>
      <c r="G203" s="93" t="s">
        <v>222</v>
      </c>
      <c r="H203" s="90" t="s">
        <v>284</v>
      </c>
      <c r="I203" s="82" t="s">
        <v>285</v>
      </c>
      <c r="J203" s="82" t="s">
        <v>286</v>
      </c>
      <c r="K203" s="82" t="s">
        <v>287</v>
      </c>
      <c r="L203" s="82">
        <v>2750988.0</v>
      </c>
      <c r="M203" s="82" t="s">
        <v>1044</v>
      </c>
      <c r="N203" s="82" t="s">
        <v>287</v>
      </c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</row>
    <row r="204" ht="36.75" customHeight="1">
      <c r="A204" s="90" t="s">
        <v>221</v>
      </c>
      <c r="B204" s="93" t="s">
        <v>222</v>
      </c>
      <c r="C204" s="93" t="s">
        <v>222</v>
      </c>
      <c r="D204" s="93" t="s">
        <v>253</v>
      </c>
      <c r="E204" s="93">
        <v>2025507.0</v>
      </c>
      <c r="F204" s="93" t="s">
        <v>869</v>
      </c>
      <c r="G204" s="93" t="s">
        <v>222</v>
      </c>
      <c r="H204" s="90" t="s">
        <v>284</v>
      </c>
      <c r="I204" s="82" t="s">
        <v>285</v>
      </c>
      <c r="J204" s="82" t="s">
        <v>286</v>
      </c>
      <c r="K204" s="82" t="s">
        <v>288</v>
      </c>
      <c r="L204" s="82">
        <v>2751003.0</v>
      </c>
      <c r="M204" s="82" t="s">
        <v>1045</v>
      </c>
      <c r="N204" s="82" t="s">
        <v>290</v>
      </c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</row>
    <row r="205" ht="36.75" customHeight="1">
      <c r="A205" s="90" t="s">
        <v>221</v>
      </c>
      <c r="B205" s="93" t="s">
        <v>222</v>
      </c>
      <c r="C205" s="93" t="s">
        <v>222</v>
      </c>
      <c r="D205" s="93" t="s">
        <v>254</v>
      </c>
      <c r="E205" s="93">
        <v>2025507.0</v>
      </c>
      <c r="F205" s="93" t="s">
        <v>869</v>
      </c>
      <c r="G205" s="93" t="s">
        <v>222</v>
      </c>
      <c r="H205" s="90" t="s">
        <v>284</v>
      </c>
      <c r="I205" s="82" t="s">
        <v>285</v>
      </c>
      <c r="J205" s="82" t="s">
        <v>286</v>
      </c>
      <c r="K205" s="82" t="s">
        <v>289</v>
      </c>
      <c r="L205" s="82">
        <v>2751003.0</v>
      </c>
      <c r="M205" s="82" t="s">
        <v>1045</v>
      </c>
      <c r="N205" s="82" t="s">
        <v>290</v>
      </c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</row>
    <row r="206" ht="36.75" customHeight="1">
      <c r="A206" s="90" t="s">
        <v>221</v>
      </c>
      <c r="B206" s="93" t="s">
        <v>222</v>
      </c>
      <c r="C206" s="93" t="s">
        <v>222</v>
      </c>
      <c r="D206" s="93" t="s">
        <v>255</v>
      </c>
      <c r="E206" s="93">
        <v>2025507.0</v>
      </c>
      <c r="F206" s="93" t="s">
        <v>869</v>
      </c>
      <c r="G206" s="93" t="s">
        <v>222</v>
      </c>
      <c r="H206" s="90" t="s">
        <v>284</v>
      </c>
      <c r="I206" s="82" t="s">
        <v>285</v>
      </c>
      <c r="J206" s="82" t="s">
        <v>286</v>
      </c>
      <c r="K206" s="82" t="s">
        <v>290</v>
      </c>
      <c r="L206" s="82">
        <v>2751003.0</v>
      </c>
      <c r="M206" s="82" t="s">
        <v>1045</v>
      </c>
      <c r="N206" s="82" t="s">
        <v>290</v>
      </c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</row>
    <row r="207" ht="36.75" customHeight="1">
      <c r="A207" s="90" t="s">
        <v>221</v>
      </c>
      <c r="B207" s="93" t="s">
        <v>222</v>
      </c>
      <c r="C207" s="93" t="s">
        <v>222</v>
      </c>
      <c r="D207" s="93" t="s">
        <v>222</v>
      </c>
      <c r="E207" s="93">
        <v>2025507.0</v>
      </c>
      <c r="F207" s="93" t="s">
        <v>869</v>
      </c>
      <c r="G207" s="93" t="s">
        <v>222</v>
      </c>
      <c r="H207" s="90" t="s">
        <v>284</v>
      </c>
      <c r="I207" s="82" t="s">
        <v>285</v>
      </c>
      <c r="J207" s="82" t="s">
        <v>286</v>
      </c>
      <c r="K207" s="82" t="s">
        <v>291</v>
      </c>
      <c r="L207" s="104">
        <v>2081385.0</v>
      </c>
      <c r="M207" s="104" t="s">
        <v>1046</v>
      </c>
      <c r="N207" s="82" t="s">
        <v>298</v>
      </c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</row>
    <row r="208" ht="36.75" customHeight="1">
      <c r="A208" s="90" t="s">
        <v>221</v>
      </c>
      <c r="B208" s="93" t="s">
        <v>222</v>
      </c>
      <c r="C208" s="93" t="s">
        <v>222</v>
      </c>
      <c r="D208" s="93" t="s">
        <v>256</v>
      </c>
      <c r="E208" s="93">
        <v>2025507.0</v>
      </c>
      <c r="F208" s="93" t="s">
        <v>869</v>
      </c>
      <c r="G208" s="93" t="s">
        <v>222</v>
      </c>
      <c r="H208" s="90" t="s">
        <v>284</v>
      </c>
      <c r="I208" s="82" t="s">
        <v>285</v>
      </c>
      <c r="J208" s="82" t="s">
        <v>286</v>
      </c>
      <c r="K208" s="82" t="s">
        <v>292</v>
      </c>
      <c r="L208" s="104">
        <v>2081385.0</v>
      </c>
      <c r="M208" s="104" t="s">
        <v>1046</v>
      </c>
      <c r="N208" s="82" t="s">
        <v>298</v>
      </c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</row>
    <row r="209" ht="36.75" customHeight="1">
      <c r="A209" s="90" t="s">
        <v>221</v>
      </c>
      <c r="B209" s="93" t="s">
        <v>222</v>
      </c>
      <c r="C209" s="93" t="s">
        <v>222</v>
      </c>
      <c r="D209" s="93" t="s">
        <v>257</v>
      </c>
      <c r="E209" s="93">
        <v>2025507.0</v>
      </c>
      <c r="F209" s="93" t="s">
        <v>869</v>
      </c>
      <c r="G209" s="93" t="s">
        <v>222</v>
      </c>
      <c r="H209" s="90" t="s">
        <v>284</v>
      </c>
      <c r="I209" s="82" t="s">
        <v>285</v>
      </c>
      <c r="J209" s="82" t="s">
        <v>286</v>
      </c>
      <c r="K209" s="82" t="s">
        <v>293</v>
      </c>
      <c r="L209" s="82">
        <v>2750988.0</v>
      </c>
      <c r="M209" s="82" t="s">
        <v>1044</v>
      </c>
      <c r="N209" s="82" t="s">
        <v>287</v>
      </c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</row>
    <row r="210" ht="36.75" customHeight="1">
      <c r="A210" s="90" t="s">
        <v>221</v>
      </c>
      <c r="B210" s="93" t="s">
        <v>222</v>
      </c>
      <c r="C210" s="93" t="s">
        <v>222</v>
      </c>
      <c r="D210" s="93" t="s">
        <v>258</v>
      </c>
      <c r="E210" s="93">
        <v>2025507.0</v>
      </c>
      <c r="F210" s="93" t="s">
        <v>869</v>
      </c>
      <c r="G210" s="93" t="s">
        <v>222</v>
      </c>
      <c r="H210" s="90" t="s">
        <v>284</v>
      </c>
      <c r="I210" s="82" t="s">
        <v>285</v>
      </c>
      <c r="J210" s="82" t="s">
        <v>286</v>
      </c>
      <c r="K210" s="82" t="s">
        <v>294</v>
      </c>
      <c r="L210" s="82">
        <v>2750988.0</v>
      </c>
      <c r="M210" s="82" t="s">
        <v>1044</v>
      </c>
      <c r="N210" s="82" t="s">
        <v>287</v>
      </c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</row>
    <row r="211" ht="36.75" customHeight="1">
      <c r="A211" s="90" t="s">
        <v>221</v>
      </c>
      <c r="B211" s="93" t="s">
        <v>222</v>
      </c>
      <c r="C211" s="93" t="s">
        <v>222</v>
      </c>
      <c r="D211" s="93" t="s">
        <v>259</v>
      </c>
      <c r="E211" s="93">
        <v>2025507.0</v>
      </c>
      <c r="F211" s="93" t="s">
        <v>869</v>
      </c>
      <c r="G211" s="93" t="s">
        <v>222</v>
      </c>
      <c r="H211" s="90" t="s">
        <v>284</v>
      </c>
      <c r="I211" s="82" t="s">
        <v>285</v>
      </c>
      <c r="J211" s="82" t="s">
        <v>286</v>
      </c>
      <c r="K211" s="82" t="s">
        <v>295</v>
      </c>
      <c r="L211" s="82">
        <v>2751003.0</v>
      </c>
      <c r="M211" s="82" t="s">
        <v>1045</v>
      </c>
      <c r="N211" s="82" t="s">
        <v>1047</v>
      </c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</row>
    <row r="212" ht="36.75" customHeight="1">
      <c r="A212" s="90" t="s">
        <v>221</v>
      </c>
      <c r="B212" s="93" t="s">
        <v>222</v>
      </c>
      <c r="C212" s="93" t="s">
        <v>222</v>
      </c>
      <c r="D212" s="93" t="s">
        <v>260</v>
      </c>
      <c r="E212" s="93">
        <v>2025507.0</v>
      </c>
      <c r="F212" s="93" t="s">
        <v>869</v>
      </c>
      <c r="G212" s="93" t="s">
        <v>222</v>
      </c>
      <c r="H212" s="90" t="s">
        <v>284</v>
      </c>
      <c r="I212" s="82" t="s">
        <v>285</v>
      </c>
      <c r="J212" s="82" t="s">
        <v>286</v>
      </c>
      <c r="K212" s="82" t="s">
        <v>296</v>
      </c>
      <c r="L212" s="104">
        <v>2081385.0</v>
      </c>
      <c r="M212" s="104" t="s">
        <v>1046</v>
      </c>
      <c r="N212" s="82" t="s">
        <v>298</v>
      </c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</row>
    <row r="213" ht="36.75" customHeight="1">
      <c r="A213" s="90" t="s">
        <v>221</v>
      </c>
      <c r="B213" s="93" t="s">
        <v>222</v>
      </c>
      <c r="C213" s="93" t="s">
        <v>222</v>
      </c>
      <c r="D213" s="93" t="s">
        <v>261</v>
      </c>
      <c r="E213" s="93">
        <v>2025507.0</v>
      </c>
      <c r="F213" s="93" t="s">
        <v>869</v>
      </c>
      <c r="G213" s="93" t="s">
        <v>222</v>
      </c>
      <c r="H213" s="90" t="s">
        <v>284</v>
      </c>
      <c r="I213" s="82" t="s">
        <v>285</v>
      </c>
      <c r="J213" s="82" t="s">
        <v>286</v>
      </c>
      <c r="K213" s="82" t="s">
        <v>297</v>
      </c>
      <c r="L213" s="104">
        <v>2081385.0</v>
      </c>
      <c r="M213" s="104" t="s">
        <v>1046</v>
      </c>
      <c r="N213" s="82" t="s">
        <v>298</v>
      </c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</row>
    <row r="214" ht="36.75" customHeight="1">
      <c r="A214" s="90" t="s">
        <v>221</v>
      </c>
      <c r="B214" s="93" t="s">
        <v>222</v>
      </c>
      <c r="C214" s="93" t="s">
        <v>222</v>
      </c>
      <c r="D214" s="93" t="s">
        <v>262</v>
      </c>
      <c r="E214" s="93">
        <v>2025507.0</v>
      </c>
      <c r="F214" s="93" t="s">
        <v>869</v>
      </c>
      <c r="G214" s="93" t="s">
        <v>222</v>
      </c>
      <c r="H214" s="90" t="s">
        <v>284</v>
      </c>
      <c r="I214" s="82" t="s">
        <v>285</v>
      </c>
      <c r="J214" s="82" t="s">
        <v>286</v>
      </c>
      <c r="K214" s="82" t="s">
        <v>298</v>
      </c>
      <c r="L214" s="104">
        <v>2081385.0</v>
      </c>
      <c r="M214" s="104" t="s">
        <v>1046</v>
      </c>
      <c r="N214" s="82" t="s">
        <v>298</v>
      </c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</row>
    <row r="215" ht="36.75" customHeight="1">
      <c r="A215" s="90" t="s">
        <v>221</v>
      </c>
      <c r="B215" s="93" t="s">
        <v>222</v>
      </c>
      <c r="C215" s="93" t="s">
        <v>263</v>
      </c>
      <c r="D215" s="93" t="s">
        <v>264</v>
      </c>
      <c r="E215" s="93">
        <v>2083094.0</v>
      </c>
      <c r="F215" s="93" t="s">
        <v>870</v>
      </c>
      <c r="G215" s="93" t="s">
        <v>233</v>
      </c>
      <c r="H215" s="90" t="s">
        <v>284</v>
      </c>
      <c r="I215" s="82" t="s">
        <v>285</v>
      </c>
      <c r="J215" s="82" t="s">
        <v>299</v>
      </c>
      <c r="K215" s="82" t="s">
        <v>300</v>
      </c>
      <c r="L215" s="82">
        <v>2750511.0</v>
      </c>
      <c r="M215" s="82" t="s">
        <v>872</v>
      </c>
      <c r="N215" s="82" t="s">
        <v>285</v>
      </c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</row>
    <row r="216" ht="36.75" customHeight="1">
      <c r="A216" s="90" t="s">
        <v>221</v>
      </c>
      <c r="B216" s="93" t="s">
        <v>222</v>
      </c>
      <c r="C216" s="93" t="s">
        <v>263</v>
      </c>
      <c r="D216" s="93" t="s">
        <v>265</v>
      </c>
      <c r="E216" s="93">
        <v>2083094.0</v>
      </c>
      <c r="F216" s="93" t="s">
        <v>870</v>
      </c>
      <c r="G216" s="93" t="s">
        <v>233</v>
      </c>
      <c r="H216" s="90" t="s">
        <v>284</v>
      </c>
      <c r="I216" s="82" t="s">
        <v>285</v>
      </c>
      <c r="J216" s="82" t="s">
        <v>299</v>
      </c>
      <c r="K216" s="82" t="s">
        <v>301</v>
      </c>
      <c r="L216" s="82">
        <v>2750511.0</v>
      </c>
      <c r="M216" s="82" t="s">
        <v>872</v>
      </c>
      <c r="N216" s="82" t="s">
        <v>285</v>
      </c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</row>
    <row r="217" ht="36.75" customHeight="1">
      <c r="A217" s="90" t="s">
        <v>221</v>
      </c>
      <c r="B217" s="93" t="s">
        <v>222</v>
      </c>
      <c r="C217" s="93" t="s">
        <v>263</v>
      </c>
      <c r="D217" s="93" t="s">
        <v>266</v>
      </c>
      <c r="E217" s="93">
        <v>2083094.0</v>
      </c>
      <c r="F217" s="93" t="s">
        <v>870</v>
      </c>
      <c r="G217" s="93" t="s">
        <v>233</v>
      </c>
      <c r="H217" s="90" t="s">
        <v>284</v>
      </c>
      <c r="I217" s="82" t="s">
        <v>285</v>
      </c>
      <c r="J217" s="82" t="s">
        <v>299</v>
      </c>
      <c r="K217" s="82" t="s">
        <v>302</v>
      </c>
      <c r="L217" s="82">
        <v>2750511.0</v>
      </c>
      <c r="M217" s="82" t="s">
        <v>872</v>
      </c>
      <c r="N217" s="82" t="s">
        <v>285</v>
      </c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</row>
    <row r="218" ht="36.75" customHeight="1">
      <c r="A218" s="90" t="s">
        <v>221</v>
      </c>
      <c r="B218" s="93" t="s">
        <v>222</v>
      </c>
      <c r="C218" s="93" t="s">
        <v>263</v>
      </c>
      <c r="D218" s="93" t="s">
        <v>267</v>
      </c>
      <c r="E218" s="93">
        <v>2083094.0</v>
      </c>
      <c r="F218" s="93" t="s">
        <v>870</v>
      </c>
      <c r="G218" s="93" t="s">
        <v>233</v>
      </c>
      <c r="H218" s="90" t="s">
        <v>284</v>
      </c>
      <c r="I218" s="82" t="s">
        <v>285</v>
      </c>
      <c r="J218" s="82" t="s">
        <v>299</v>
      </c>
      <c r="K218" s="82" t="s">
        <v>303</v>
      </c>
      <c r="L218" s="82">
        <v>2751011.0</v>
      </c>
      <c r="M218" s="82" t="s">
        <v>1048</v>
      </c>
      <c r="N218" s="82" t="s">
        <v>307</v>
      </c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</row>
    <row r="219" ht="36.75" customHeight="1">
      <c r="A219" s="90" t="s">
        <v>221</v>
      </c>
      <c r="B219" s="93" t="s">
        <v>222</v>
      </c>
      <c r="C219" s="93" t="s">
        <v>263</v>
      </c>
      <c r="D219" s="93" t="s">
        <v>268</v>
      </c>
      <c r="E219" s="93">
        <v>2083094.0</v>
      </c>
      <c r="F219" s="93" t="s">
        <v>870</v>
      </c>
      <c r="G219" s="93" t="s">
        <v>233</v>
      </c>
      <c r="H219" s="90" t="s">
        <v>284</v>
      </c>
      <c r="I219" s="82" t="s">
        <v>285</v>
      </c>
      <c r="J219" s="82" t="s">
        <v>299</v>
      </c>
      <c r="K219" s="82" t="s">
        <v>304</v>
      </c>
      <c r="L219" s="82">
        <v>2750511.0</v>
      </c>
      <c r="M219" s="82" t="s">
        <v>872</v>
      </c>
      <c r="N219" s="82" t="s">
        <v>285</v>
      </c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</row>
    <row r="220" ht="36.75" customHeight="1">
      <c r="A220" s="90" t="s">
        <v>221</v>
      </c>
      <c r="B220" s="93" t="s">
        <v>222</v>
      </c>
      <c r="C220" s="93" t="s">
        <v>263</v>
      </c>
      <c r="D220" s="93" t="s">
        <v>269</v>
      </c>
      <c r="E220" s="93">
        <v>2083094.0</v>
      </c>
      <c r="F220" s="93" t="s">
        <v>870</v>
      </c>
      <c r="G220" s="93" t="s">
        <v>233</v>
      </c>
      <c r="H220" s="90" t="s">
        <v>284</v>
      </c>
      <c r="I220" s="82" t="s">
        <v>285</v>
      </c>
      <c r="J220" s="82" t="s">
        <v>299</v>
      </c>
      <c r="K220" s="82" t="s">
        <v>305</v>
      </c>
      <c r="L220" s="82">
        <v>2750511.0</v>
      </c>
      <c r="M220" s="82" t="s">
        <v>872</v>
      </c>
      <c r="N220" s="82" t="s">
        <v>285</v>
      </c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</row>
    <row r="221" ht="36.75" customHeight="1">
      <c r="A221" s="90" t="s">
        <v>221</v>
      </c>
      <c r="B221" s="93" t="s">
        <v>222</v>
      </c>
      <c r="C221" s="93" t="s">
        <v>263</v>
      </c>
      <c r="D221" s="93" t="s">
        <v>270</v>
      </c>
      <c r="E221" s="93">
        <v>2083094.0</v>
      </c>
      <c r="F221" s="93" t="s">
        <v>870</v>
      </c>
      <c r="G221" s="93" t="s">
        <v>233</v>
      </c>
      <c r="H221" s="90" t="s">
        <v>284</v>
      </c>
      <c r="I221" s="82" t="s">
        <v>285</v>
      </c>
      <c r="J221" s="82" t="s">
        <v>299</v>
      </c>
      <c r="K221" s="82" t="s">
        <v>306</v>
      </c>
      <c r="L221" s="82">
        <v>2751011.0</v>
      </c>
      <c r="M221" s="82" t="s">
        <v>1048</v>
      </c>
      <c r="N221" s="82" t="s">
        <v>307</v>
      </c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</row>
    <row r="222" ht="36.75" customHeight="1">
      <c r="A222" s="90" t="s">
        <v>221</v>
      </c>
      <c r="B222" s="93" t="s">
        <v>222</v>
      </c>
      <c r="C222" s="93" t="s">
        <v>263</v>
      </c>
      <c r="D222" s="93" t="s">
        <v>263</v>
      </c>
      <c r="E222" s="93">
        <v>2083094.0</v>
      </c>
      <c r="F222" s="93" t="s">
        <v>870</v>
      </c>
      <c r="G222" s="93" t="s">
        <v>233</v>
      </c>
      <c r="H222" s="90" t="s">
        <v>284</v>
      </c>
      <c r="I222" s="82" t="s">
        <v>285</v>
      </c>
      <c r="J222" s="82" t="s">
        <v>299</v>
      </c>
      <c r="K222" s="82" t="s">
        <v>307</v>
      </c>
      <c r="L222" s="82">
        <v>2751011.0</v>
      </c>
      <c r="M222" s="82" t="s">
        <v>1048</v>
      </c>
      <c r="N222" s="82" t="s">
        <v>307</v>
      </c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  <c r="AA222" s="80"/>
    </row>
    <row r="223" ht="36.75" customHeight="1">
      <c r="A223" s="90" t="s">
        <v>221</v>
      </c>
      <c r="B223" s="93" t="s">
        <v>222</v>
      </c>
      <c r="C223" s="93" t="s">
        <v>263</v>
      </c>
      <c r="D223" s="93" t="s">
        <v>271</v>
      </c>
      <c r="E223" s="93">
        <v>2083094.0</v>
      </c>
      <c r="F223" s="93" t="s">
        <v>870</v>
      </c>
      <c r="G223" s="93" t="s">
        <v>233</v>
      </c>
      <c r="H223" s="90" t="s">
        <v>284</v>
      </c>
      <c r="I223" s="82" t="s">
        <v>285</v>
      </c>
      <c r="J223" s="82" t="s">
        <v>299</v>
      </c>
      <c r="K223" s="82" t="s">
        <v>308</v>
      </c>
      <c r="L223" s="82">
        <v>2750511.0</v>
      </c>
      <c r="M223" s="82" t="s">
        <v>872</v>
      </c>
      <c r="N223" s="82" t="s">
        <v>285</v>
      </c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  <c r="AA223" s="80"/>
    </row>
    <row r="224" ht="36.75" customHeight="1">
      <c r="A224" s="90" t="s">
        <v>221</v>
      </c>
      <c r="B224" s="93" t="s">
        <v>222</v>
      </c>
      <c r="C224" s="93" t="s">
        <v>263</v>
      </c>
      <c r="D224" s="93" t="s">
        <v>272</v>
      </c>
      <c r="E224" s="93">
        <v>2083094.0</v>
      </c>
      <c r="F224" s="93" t="s">
        <v>870</v>
      </c>
      <c r="G224" s="93" t="s">
        <v>233</v>
      </c>
      <c r="H224" s="90" t="s">
        <v>284</v>
      </c>
      <c r="I224" s="82" t="s">
        <v>285</v>
      </c>
      <c r="J224" s="82" t="s">
        <v>299</v>
      </c>
      <c r="K224" s="82" t="s">
        <v>309</v>
      </c>
      <c r="L224" s="82">
        <v>2750511.0</v>
      </c>
      <c r="M224" s="82" t="s">
        <v>872</v>
      </c>
      <c r="N224" s="82" t="s">
        <v>285</v>
      </c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</row>
    <row r="225" ht="36.75" customHeight="1">
      <c r="A225" s="90" t="s">
        <v>221</v>
      </c>
      <c r="B225" s="93" t="s">
        <v>222</v>
      </c>
      <c r="C225" s="93" t="s">
        <v>263</v>
      </c>
      <c r="D225" s="93" t="s">
        <v>273</v>
      </c>
      <c r="E225" s="93">
        <v>2083094.0</v>
      </c>
      <c r="F225" s="93" t="s">
        <v>870</v>
      </c>
      <c r="G225" s="93" t="s">
        <v>233</v>
      </c>
      <c r="H225" s="90" t="s">
        <v>284</v>
      </c>
      <c r="I225" s="82" t="s">
        <v>285</v>
      </c>
      <c r="J225" s="82" t="s">
        <v>299</v>
      </c>
      <c r="K225" s="82" t="s">
        <v>310</v>
      </c>
      <c r="L225" s="82">
        <v>2750511.0</v>
      </c>
      <c r="M225" s="82" t="s">
        <v>872</v>
      </c>
      <c r="N225" s="82" t="s">
        <v>285</v>
      </c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  <c r="AA225" s="80"/>
    </row>
    <row r="226" ht="36.75" customHeight="1">
      <c r="A226" s="90" t="s">
        <v>221</v>
      </c>
      <c r="B226" s="93" t="s">
        <v>222</v>
      </c>
      <c r="C226" s="93" t="s">
        <v>263</v>
      </c>
      <c r="D226" s="93" t="s">
        <v>274</v>
      </c>
      <c r="E226" s="93">
        <v>2083094.0</v>
      </c>
      <c r="F226" s="93" t="s">
        <v>870</v>
      </c>
      <c r="G226" s="93" t="s">
        <v>233</v>
      </c>
      <c r="H226" s="90" t="s">
        <v>284</v>
      </c>
      <c r="I226" s="82" t="s">
        <v>285</v>
      </c>
      <c r="J226" s="82" t="s">
        <v>299</v>
      </c>
      <c r="K226" s="82" t="s">
        <v>285</v>
      </c>
      <c r="L226" s="82">
        <v>2750511.0</v>
      </c>
      <c r="M226" s="82" t="s">
        <v>872</v>
      </c>
      <c r="N226" s="82" t="s">
        <v>285</v>
      </c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  <c r="AA226" s="80"/>
    </row>
    <row r="227" ht="36.75" customHeight="1">
      <c r="A227" s="90" t="s">
        <v>221</v>
      </c>
      <c r="B227" s="93" t="s">
        <v>222</v>
      </c>
      <c r="C227" s="93" t="s">
        <v>263</v>
      </c>
      <c r="D227" s="93" t="s">
        <v>275</v>
      </c>
      <c r="E227" s="93">
        <v>2083094.0</v>
      </c>
      <c r="F227" s="93" t="s">
        <v>870</v>
      </c>
      <c r="G227" s="93" t="s">
        <v>233</v>
      </c>
      <c r="H227" s="90" t="s">
        <v>284</v>
      </c>
      <c r="I227" s="82" t="s">
        <v>285</v>
      </c>
      <c r="J227" s="82" t="s">
        <v>299</v>
      </c>
      <c r="K227" s="82" t="s">
        <v>311</v>
      </c>
      <c r="L227" s="82">
        <v>2750511.0</v>
      </c>
      <c r="M227" s="82" t="s">
        <v>872</v>
      </c>
      <c r="N227" s="82" t="s">
        <v>285</v>
      </c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  <c r="AA227" s="80"/>
    </row>
    <row r="228" ht="36.75" customHeight="1">
      <c r="A228" s="90" t="s">
        <v>221</v>
      </c>
      <c r="B228" s="93" t="s">
        <v>222</v>
      </c>
      <c r="C228" s="93" t="s">
        <v>276</v>
      </c>
      <c r="D228" s="93" t="s">
        <v>277</v>
      </c>
      <c r="E228" s="93">
        <v>2025507.0</v>
      </c>
      <c r="F228" s="93" t="s">
        <v>869</v>
      </c>
      <c r="G228" s="93" t="s">
        <v>222</v>
      </c>
      <c r="H228" s="90" t="s">
        <v>284</v>
      </c>
      <c r="I228" s="82" t="s">
        <v>285</v>
      </c>
      <c r="J228" s="82" t="s">
        <v>299</v>
      </c>
      <c r="K228" s="82" t="s">
        <v>312</v>
      </c>
      <c r="L228" s="82">
        <v>2751046.0</v>
      </c>
      <c r="M228" s="82" t="s">
        <v>1049</v>
      </c>
      <c r="N228" s="82" t="s">
        <v>314</v>
      </c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  <c r="AA228" s="80"/>
    </row>
    <row r="229" ht="36.75" customHeight="1">
      <c r="A229" s="90" t="s">
        <v>221</v>
      </c>
      <c r="B229" s="93" t="s">
        <v>222</v>
      </c>
      <c r="C229" s="93" t="s">
        <v>276</v>
      </c>
      <c r="D229" s="93" t="s">
        <v>278</v>
      </c>
      <c r="E229" s="93">
        <v>2025507.0</v>
      </c>
      <c r="F229" s="93" t="s">
        <v>869</v>
      </c>
      <c r="G229" s="93" t="s">
        <v>222</v>
      </c>
      <c r="H229" s="90" t="s">
        <v>284</v>
      </c>
      <c r="I229" s="82" t="s">
        <v>285</v>
      </c>
      <c r="J229" s="82" t="s">
        <v>299</v>
      </c>
      <c r="K229" s="82" t="s">
        <v>313</v>
      </c>
      <c r="L229" s="82">
        <v>2750511.0</v>
      </c>
      <c r="M229" s="82" t="s">
        <v>872</v>
      </c>
      <c r="N229" s="82" t="s">
        <v>285</v>
      </c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  <c r="AA229" s="80"/>
    </row>
    <row r="230" ht="36.75" customHeight="1">
      <c r="A230" s="90" t="s">
        <v>221</v>
      </c>
      <c r="B230" s="93" t="s">
        <v>222</v>
      </c>
      <c r="C230" s="93" t="s">
        <v>276</v>
      </c>
      <c r="D230" s="93" t="s">
        <v>279</v>
      </c>
      <c r="E230" s="93">
        <v>2025507.0</v>
      </c>
      <c r="F230" s="93" t="s">
        <v>869</v>
      </c>
      <c r="G230" s="93" t="s">
        <v>222</v>
      </c>
      <c r="H230" s="90" t="s">
        <v>284</v>
      </c>
      <c r="I230" s="82" t="s">
        <v>285</v>
      </c>
      <c r="J230" s="82" t="s">
        <v>299</v>
      </c>
      <c r="K230" s="82" t="s">
        <v>314</v>
      </c>
      <c r="L230" s="82">
        <v>2751046.0</v>
      </c>
      <c r="M230" s="82" t="s">
        <v>1049</v>
      </c>
      <c r="N230" s="82" t="s">
        <v>314</v>
      </c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  <c r="AA230" s="80"/>
    </row>
    <row r="231" ht="36.75" customHeight="1">
      <c r="A231" s="90" t="s">
        <v>221</v>
      </c>
      <c r="B231" s="93" t="s">
        <v>222</v>
      </c>
      <c r="C231" s="93" t="s">
        <v>276</v>
      </c>
      <c r="D231" s="93" t="s">
        <v>280</v>
      </c>
      <c r="E231" s="93">
        <v>2025507.0</v>
      </c>
      <c r="F231" s="93" t="s">
        <v>869</v>
      </c>
      <c r="G231" s="93" t="s">
        <v>222</v>
      </c>
      <c r="H231" s="90" t="s">
        <v>284</v>
      </c>
      <c r="I231" s="82" t="s">
        <v>285</v>
      </c>
      <c r="J231" s="82" t="s">
        <v>299</v>
      </c>
      <c r="K231" s="82" t="s">
        <v>315</v>
      </c>
      <c r="L231" s="82">
        <v>2750511.0</v>
      </c>
      <c r="M231" s="82" t="s">
        <v>872</v>
      </c>
      <c r="N231" s="82" t="s">
        <v>285</v>
      </c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  <c r="AA231" s="80"/>
    </row>
    <row r="232" ht="36.75" customHeight="1">
      <c r="A232" s="90" t="s">
        <v>221</v>
      </c>
      <c r="B232" s="93" t="s">
        <v>222</v>
      </c>
      <c r="C232" s="93" t="s">
        <v>276</v>
      </c>
      <c r="D232" s="93" t="s">
        <v>281</v>
      </c>
      <c r="E232" s="93">
        <v>2025507.0</v>
      </c>
      <c r="F232" s="93" t="s">
        <v>869</v>
      </c>
      <c r="G232" s="93" t="s">
        <v>222</v>
      </c>
      <c r="H232" s="90" t="s">
        <v>284</v>
      </c>
      <c r="I232" s="82" t="s">
        <v>285</v>
      </c>
      <c r="J232" s="82" t="s">
        <v>299</v>
      </c>
      <c r="K232" s="82" t="s">
        <v>316</v>
      </c>
      <c r="L232" s="82">
        <v>2750511.0</v>
      </c>
      <c r="M232" s="82" t="s">
        <v>872</v>
      </c>
      <c r="N232" s="82" t="s">
        <v>285</v>
      </c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  <c r="AA232" s="80"/>
    </row>
    <row r="233" ht="36.75" customHeight="1">
      <c r="A233" s="90" t="s">
        <v>221</v>
      </c>
      <c r="B233" s="93" t="s">
        <v>222</v>
      </c>
      <c r="C233" s="93" t="s">
        <v>276</v>
      </c>
      <c r="D233" s="93" t="s">
        <v>282</v>
      </c>
      <c r="E233" s="93">
        <v>2025507.0</v>
      </c>
      <c r="F233" s="93" t="s">
        <v>869</v>
      </c>
      <c r="G233" s="93" t="s">
        <v>222</v>
      </c>
      <c r="H233" s="90" t="s">
        <v>284</v>
      </c>
      <c r="I233" s="82" t="s">
        <v>285</v>
      </c>
      <c r="J233" s="82" t="s">
        <v>299</v>
      </c>
      <c r="K233" s="82" t="s">
        <v>317</v>
      </c>
      <c r="L233" s="82">
        <v>2750511.0</v>
      </c>
      <c r="M233" s="82" t="s">
        <v>872</v>
      </c>
      <c r="N233" s="82" t="s">
        <v>285</v>
      </c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  <c r="AA233" s="80"/>
    </row>
    <row r="234" ht="36.75" customHeight="1">
      <c r="A234" s="90" t="s">
        <v>221</v>
      </c>
      <c r="B234" s="93" t="s">
        <v>222</v>
      </c>
      <c r="C234" s="93" t="s">
        <v>276</v>
      </c>
      <c r="D234" s="93" t="s">
        <v>283</v>
      </c>
      <c r="E234" s="93">
        <v>2025507.0</v>
      </c>
      <c r="F234" s="93" t="s">
        <v>869</v>
      </c>
      <c r="G234" s="93" t="s">
        <v>222</v>
      </c>
      <c r="H234" s="90" t="s">
        <v>284</v>
      </c>
      <c r="I234" s="82" t="s">
        <v>285</v>
      </c>
      <c r="J234" s="82" t="s">
        <v>318</v>
      </c>
      <c r="K234" s="82" t="s">
        <v>319</v>
      </c>
      <c r="L234" s="82">
        <v>2081873.0</v>
      </c>
      <c r="M234" s="82" t="s">
        <v>1050</v>
      </c>
      <c r="N234" s="82" t="s">
        <v>323</v>
      </c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  <c r="AA234" s="80"/>
    </row>
    <row r="235" ht="36.75" customHeight="1">
      <c r="A235" s="90" t="s">
        <v>221</v>
      </c>
      <c r="B235" s="93" t="s">
        <v>222</v>
      </c>
      <c r="C235" s="93" t="s">
        <v>276</v>
      </c>
      <c r="D235" s="93" t="s">
        <v>276</v>
      </c>
      <c r="E235" s="93">
        <v>2025507.0</v>
      </c>
      <c r="F235" s="93" t="s">
        <v>869</v>
      </c>
      <c r="G235" s="93" t="s">
        <v>222</v>
      </c>
      <c r="H235" s="90" t="s">
        <v>284</v>
      </c>
      <c r="I235" s="82" t="s">
        <v>285</v>
      </c>
      <c r="J235" s="82" t="s">
        <v>318</v>
      </c>
      <c r="K235" s="82" t="s">
        <v>320</v>
      </c>
      <c r="L235" s="82">
        <v>2081873.0</v>
      </c>
      <c r="M235" s="82" t="s">
        <v>1050</v>
      </c>
      <c r="N235" s="82" t="s">
        <v>323</v>
      </c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  <c r="AA235" s="80"/>
    </row>
    <row r="236" ht="36.75" customHeight="1">
      <c r="A236" s="90" t="s">
        <v>284</v>
      </c>
      <c r="B236" s="42" t="s">
        <v>285</v>
      </c>
      <c r="C236" s="42" t="s">
        <v>286</v>
      </c>
      <c r="D236" s="42" t="s">
        <v>287</v>
      </c>
      <c r="E236" s="42">
        <v>6335497.0</v>
      </c>
      <c r="F236" s="42" t="s">
        <v>871</v>
      </c>
      <c r="G236" s="42" t="s">
        <v>287</v>
      </c>
      <c r="H236" s="90" t="s">
        <v>284</v>
      </c>
      <c r="I236" s="82" t="s">
        <v>285</v>
      </c>
      <c r="J236" s="82" t="s">
        <v>318</v>
      </c>
      <c r="K236" s="82" t="s">
        <v>321</v>
      </c>
      <c r="L236" s="82">
        <v>2081873.0</v>
      </c>
      <c r="M236" s="82" t="s">
        <v>1050</v>
      </c>
      <c r="N236" s="82" t="s">
        <v>323</v>
      </c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0"/>
    </row>
    <row r="237" ht="36.75" customHeight="1">
      <c r="A237" s="90" t="s">
        <v>284</v>
      </c>
      <c r="B237" s="42" t="s">
        <v>285</v>
      </c>
      <c r="C237" s="42" t="s">
        <v>286</v>
      </c>
      <c r="D237" s="42" t="s">
        <v>288</v>
      </c>
      <c r="E237" s="42">
        <v>6335497.0</v>
      </c>
      <c r="F237" s="42" t="s">
        <v>871</v>
      </c>
      <c r="G237" s="42" t="s">
        <v>287</v>
      </c>
      <c r="H237" s="90" t="s">
        <v>284</v>
      </c>
      <c r="I237" s="82" t="s">
        <v>285</v>
      </c>
      <c r="J237" s="82" t="s">
        <v>318</v>
      </c>
      <c r="K237" s="82" t="s">
        <v>322</v>
      </c>
      <c r="L237" s="82">
        <v>2081873.0</v>
      </c>
      <c r="M237" s="82" t="s">
        <v>1050</v>
      </c>
      <c r="N237" s="82" t="s">
        <v>323</v>
      </c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  <c r="AA237" s="80"/>
    </row>
    <row r="238" ht="36.75" customHeight="1">
      <c r="A238" s="90" t="s">
        <v>284</v>
      </c>
      <c r="B238" s="42" t="s">
        <v>285</v>
      </c>
      <c r="C238" s="42" t="s">
        <v>286</v>
      </c>
      <c r="D238" s="42" t="s">
        <v>289</v>
      </c>
      <c r="E238" s="42">
        <v>6335497.0</v>
      </c>
      <c r="F238" s="42" t="s">
        <v>871</v>
      </c>
      <c r="G238" s="42" t="s">
        <v>287</v>
      </c>
      <c r="H238" s="90" t="s">
        <v>284</v>
      </c>
      <c r="I238" s="82" t="s">
        <v>285</v>
      </c>
      <c r="J238" s="82" t="s">
        <v>318</v>
      </c>
      <c r="K238" s="82" t="s">
        <v>323</v>
      </c>
      <c r="L238" s="82">
        <v>2081873.0</v>
      </c>
      <c r="M238" s="82" t="s">
        <v>1050</v>
      </c>
      <c r="N238" s="82" t="s">
        <v>323</v>
      </c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  <c r="AA238" s="80"/>
    </row>
    <row r="239" ht="36.75" customHeight="1">
      <c r="A239" s="90" t="s">
        <v>284</v>
      </c>
      <c r="B239" s="42" t="s">
        <v>285</v>
      </c>
      <c r="C239" s="42" t="s">
        <v>286</v>
      </c>
      <c r="D239" s="42" t="s">
        <v>290</v>
      </c>
      <c r="E239" s="42">
        <v>6335497.0</v>
      </c>
      <c r="F239" s="42" t="s">
        <v>871</v>
      </c>
      <c r="G239" s="42" t="s">
        <v>287</v>
      </c>
      <c r="H239" s="90" t="s">
        <v>284</v>
      </c>
      <c r="I239" s="82" t="s">
        <v>285</v>
      </c>
      <c r="J239" s="82" t="s">
        <v>324</v>
      </c>
      <c r="K239" s="82" t="s">
        <v>325</v>
      </c>
      <c r="L239" s="82">
        <v>2078139.0</v>
      </c>
      <c r="M239" s="82" t="s">
        <v>1051</v>
      </c>
      <c r="N239" s="82" t="s">
        <v>329</v>
      </c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  <c r="AA239" s="80"/>
    </row>
    <row r="240" ht="36.75" customHeight="1">
      <c r="A240" s="90" t="s">
        <v>284</v>
      </c>
      <c r="B240" s="42" t="s">
        <v>285</v>
      </c>
      <c r="C240" s="42" t="s">
        <v>286</v>
      </c>
      <c r="D240" s="42" t="s">
        <v>291</v>
      </c>
      <c r="E240" s="42">
        <v>6335497.0</v>
      </c>
      <c r="F240" s="42" t="s">
        <v>871</v>
      </c>
      <c r="G240" s="42" t="s">
        <v>287</v>
      </c>
      <c r="H240" s="90" t="s">
        <v>284</v>
      </c>
      <c r="I240" s="82" t="s">
        <v>285</v>
      </c>
      <c r="J240" s="82" t="s">
        <v>324</v>
      </c>
      <c r="K240" s="82" t="s">
        <v>326</v>
      </c>
      <c r="L240" s="82">
        <v>2078139.0</v>
      </c>
      <c r="M240" s="82" t="s">
        <v>1051</v>
      </c>
      <c r="N240" s="82" t="s">
        <v>329</v>
      </c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  <c r="AA240" s="80"/>
    </row>
    <row r="241" ht="36.75" customHeight="1">
      <c r="A241" s="90" t="s">
        <v>284</v>
      </c>
      <c r="B241" s="42" t="s">
        <v>285</v>
      </c>
      <c r="C241" s="42" t="s">
        <v>286</v>
      </c>
      <c r="D241" s="42" t="s">
        <v>292</v>
      </c>
      <c r="E241" s="42">
        <v>6335497.0</v>
      </c>
      <c r="F241" s="42" t="s">
        <v>871</v>
      </c>
      <c r="G241" s="42" t="s">
        <v>287</v>
      </c>
      <c r="H241" s="90" t="s">
        <v>284</v>
      </c>
      <c r="I241" s="82" t="s">
        <v>285</v>
      </c>
      <c r="J241" s="82" t="s">
        <v>324</v>
      </c>
      <c r="K241" s="82" t="s">
        <v>327</v>
      </c>
      <c r="L241" s="82">
        <v>2078139.0</v>
      </c>
      <c r="M241" s="82" t="s">
        <v>1051</v>
      </c>
      <c r="N241" s="82" t="s">
        <v>329</v>
      </c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  <c r="AA241" s="80"/>
    </row>
    <row r="242" ht="36.75" customHeight="1">
      <c r="A242" s="90" t="s">
        <v>284</v>
      </c>
      <c r="B242" s="42" t="s">
        <v>285</v>
      </c>
      <c r="C242" s="42" t="s">
        <v>286</v>
      </c>
      <c r="D242" s="42" t="s">
        <v>293</v>
      </c>
      <c r="E242" s="42">
        <v>6335497.0</v>
      </c>
      <c r="F242" s="42" t="s">
        <v>871</v>
      </c>
      <c r="G242" s="42" t="s">
        <v>287</v>
      </c>
      <c r="H242" s="90" t="s">
        <v>284</v>
      </c>
      <c r="I242" s="82" t="s">
        <v>285</v>
      </c>
      <c r="J242" s="82" t="s">
        <v>324</v>
      </c>
      <c r="K242" s="82" t="s">
        <v>328</v>
      </c>
      <c r="L242" s="82">
        <v>2751038.0</v>
      </c>
      <c r="M242" s="82" t="s">
        <v>1052</v>
      </c>
      <c r="N242" s="82" t="s">
        <v>328</v>
      </c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  <c r="AA242" s="80"/>
    </row>
    <row r="243" ht="36.75" customHeight="1">
      <c r="A243" s="90" t="s">
        <v>284</v>
      </c>
      <c r="B243" s="42" t="s">
        <v>285</v>
      </c>
      <c r="C243" s="42" t="s">
        <v>286</v>
      </c>
      <c r="D243" s="42" t="s">
        <v>294</v>
      </c>
      <c r="E243" s="42">
        <v>6335497.0</v>
      </c>
      <c r="F243" s="42" t="s">
        <v>871</v>
      </c>
      <c r="G243" s="42" t="s">
        <v>287</v>
      </c>
      <c r="H243" s="90" t="s">
        <v>284</v>
      </c>
      <c r="I243" s="82" t="s">
        <v>285</v>
      </c>
      <c r="J243" s="82" t="s">
        <v>324</v>
      </c>
      <c r="K243" s="82" t="s">
        <v>329</v>
      </c>
      <c r="L243" s="82">
        <v>2078139.0</v>
      </c>
      <c r="M243" s="82" t="s">
        <v>1051</v>
      </c>
      <c r="N243" s="82" t="s">
        <v>329</v>
      </c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</row>
    <row r="244" ht="36.75" customHeight="1">
      <c r="A244" s="90" t="s">
        <v>284</v>
      </c>
      <c r="B244" s="42" t="s">
        <v>285</v>
      </c>
      <c r="C244" s="42" t="s">
        <v>286</v>
      </c>
      <c r="D244" s="42" t="s">
        <v>295</v>
      </c>
      <c r="E244" s="42">
        <v>6335497.0</v>
      </c>
      <c r="F244" s="42" t="s">
        <v>871</v>
      </c>
      <c r="G244" s="42" t="s">
        <v>287</v>
      </c>
      <c r="H244" s="90" t="s">
        <v>284</v>
      </c>
      <c r="I244" s="82" t="s">
        <v>285</v>
      </c>
      <c r="J244" s="82" t="s">
        <v>330</v>
      </c>
      <c r="K244" s="82" t="s">
        <v>331</v>
      </c>
      <c r="L244" s="82">
        <v>2750546.0</v>
      </c>
      <c r="M244" s="82" t="s">
        <v>1053</v>
      </c>
      <c r="N244" s="82" t="s">
        <v>333</v>
      </c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  <c r="AA244" s="80"/>
    </row>
    <row r="245" ht="36.75" customHeight="1">
      <c r="A245" s="90" t="s">
        <v>284</v>
      </c>
      <c r="B245" s="42" t="s">
        <v>285</v>
      </c>
      <c r="C245" s="42" t="s">
        <v>286</v>
      </c>
      <c r="D245" s="42" t="s">
        <v>296</v>
      </c>
      <c r="E245" s="42">
        <v>6335497.0</v>
      </c>
      <c r="F245" s="42" t="s">
        <v>871</v>
      </c>
      <c r="G245" s="42" t="s">
        <v>287</v>
      </c>
      <c r="H245" s="90" t="s">
        <v>284</v>
      </c>
      <c r="I245" s="82" t="s">
        <v>285</v>
      </c>
      <c r="J245" s="82" t="s">
        <v>330</v>
      </c>
      <c r="K245" s="82" t="s">
        <v>332</v>
      </c>
      <c r="L245" s="82">
        <v>2750511.0</v>
      </c>
      <c r="M245" s="82" t="s">
        <v>872</v>
      </c>
      <c r="N245" s="82" t="s">
        <v>285</v>
      </c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  <c r="AA245" s="80"/>
    </row>
    <row r="246" ht="36.75" customHeight="1">
      <c r="A246" s="90" t="s">
        <v>284</v>
      </c>
      <c r="B246" s="42" t="s">
        <v>285</v>
      </c>
      <c r="C246" s="42" t="s">
        <v>286</v>
      </c>
      <c r="D246" s="42" t="s">
        <v>297</v>
      </c>
      <c r="E246" s="42">
        <v>6335497.0</v>
      </c>
      <c r="F246" s="42" t="s">
        <v>871</v>
      </c>
      <c r="G246" s="42" t="s">
        <v>287</v>
      </c>
      <c r="H246" s="90" t="s">
        <v>284</v>
      </c>
      <c r="I246" s="82" t="s">
        <v>285</v>
      </c>
      <c r="J246" s="82" t="s">
        <v>330</v>
      </c>
      <c r="K246" s="82" t="s">
        <v>333</v>
      </c>
      <c r="L246" s="82">
        <v>2750546.0</v>
      </c>
      <c r="M246" s="82" t="s">
        <v>1053</v>
      </c>
      <c r="N246" s="82" t="s">
        <v>333</v>
      </c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  <c r="AA246" s="80"/>
    </row>
    <row r="247" ht="36.75" customHeight="1">
      <c r="A247" s="90" t="s">
        <v>284</v>
      </c>
      <c r="B247" s="42" t="s">
        <v>285</v>
      </c>
      <c r="C247" s="42" t="s">
        <v>286</v>
      </c>
      <c r="D247" s="42" t="s">
        <v>298</v>
      </c>
      <c r="E247" s="42">
        <v>6335497.0</v>
      </c>
      <c r="F247" s="42" t="s">
        <v>871</v>
      </c>
      <c r="G247" s="42" t="s">
        <v>287</v>
      </c>
      <c r="H247" s="90" t="s">
        <v>284</v>
      </c>
      <c r="I247" s="82" t="s">
        <v>285</v>
      </c>
      <c r="J247" s="82" t="s">
        <v>330</v>
      </c>
      <c r="K247" s="82" t="s">
        <v>334</v>
      </c>
      <c r="L247" s="82">
        <v>2028239.0</v>
      </c>
      <c r="M247" s="82" t="s">
        <v>1054</v>
      </c>
      <c r="N247" s="82" t="s">
        <v>334</v>
      </c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  <c r="AA247" s="80"/>
    </row>
    <row r="248" ht="36.75" customHeight="1">
      <c r="A248" s="90" t="s">
        <v>284</v>
      </c>
      <c r="B248" s="42" t="s">
        <v>285</v>
      </c>
      <c r="C248" s="42" t="s">
        <v>299</v>
      </c>
      <c r="D248" s="42" t="s">
        <v>300</v>
      </c>
      <c r="E248" s="42">
        <v>2750511.0</v>
      </c>
      <c r="F248" s="42" t="s">
        <v>872</v>
      </c>
      <c r="G248" s="42" t="s">
        <v>285</v>
      </c>
      <c r="H248" s="90" t="s">
        <v>335</v>
      </c>
      <c r="I248" s="82" t="s">
        <v>336</v>
      </c>
      <c r="J248" s="82" t="s">
        <v>337</v>
      </c>
      <c r="K248" s="82" t="s">
        <v>336</v>
      </c>
      <c r="L248" s="82">
        <v>2078775.0</v>
      </c>
      <c r="M248" s="82" t="s">
        <v>1055</v>
      </c>
      <c r="N248" s="82" t="s">
        <v>336</v>
      </c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  <c r="AA248" s="80"/>
    </row>
    <row r="249" ht="36.75" customHeight="1">
      <c r="A249" s="90" t="s">
        <v>284</v>
      </c>
      <c r="B249" s="42" t="s">
        <v>285</v>
      </c>
      <c r="C249" s="42" t="s">
        <v>299</v>
      </c>
      <c r="D249" s="42" t="s">
        <v>301</v>
      </c>
      <c r="E249" s="42">
        <v>2750511.0</v>
      </c>
      <c r="F249" s="42" t="s">
        <v>872</v>
      </c>
      <c r="G249" s="42" t="s">
        <v>285</v>
      </c>
      <c r="H249" s="90" t="s">
        <v>335</v>
      </c>
      <c r="I249" s="82" t="s">
        <v>336</v>
      </c>
      <c r="J249" s="82" t="s">
        <v>337</v>
      </c>
      <c r="K249" s="82" t="s">
        <v>338</v>
      </c>
      <c r="L249" s="82">
        <v>2081768.0</v>
      </c>
      <c r="M249" s="82" t="s">
        <v>1056</v>
      </c>
      <c r="N249" s="82" t="s">
        <v>338</v>
      </c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  <c r="AA249" s="80"/>
    </row>
    <row r="250" ht="36.75" customHeight="1">
      <c r="A250" s="90" t="s">
        <v>284</v>
      </c>
      <c r="B250" s="42" t="s">
        <v>285</v>
      </c>
      <c r="C250" s="42" t="s">
        <v>299</v>
      </c>
      <c r="D250" s="42" t="s">
        <v>302</v>
      </c>
      <c r="E250" s="42">
        <v>2750511.0</v>
      </c>
      <c r="F250" s="42" t="s">
        <v>872</v>
      </c>
      <c r="G250" s="42" t="s">
        <v>285</v>
      </c>
      <c r="H250" s="90" t="s">
        <v>335</v>
      </c>
      <c r="I250" s="82" t="s">
        <v>336</v>
      </c>
      <c r="J250" s="82" t="s">
        <v>337</v>
      </c>
      <c r="K250" s="82" t="s">
        <v>339</v>
      </c>
      <c r="L250" s="82">
        <v>2081105.0</v>
      </c>
      <c r="M250" s="82" t="s">
        <v>1057</v>
      </c>
      <c r="N250" s="82" t="s">
        <v>347</v>
      </c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  <c r="AA250" s="80"/>
    </row>
    <row r="251" ht="36.75" customHeight="1">
      <c r="A251" s="90" t="s">
        <v>284</v>
      </c>
      <c r="B251" s="42" t="s">
        <v>285</v>
      </c>
      <c r="C251" s="42" t="s">
        <v>299</v>
      </c>
      <c r="D251" s="42" t="s">
        <v>303</v>
      </c>
      <c r="E251" s="42">
        <v>2750511.0</v>
      </c>
      <c r="F251" s="42" t="s">
        <v>872</v>
      </c>
      <c r="G251" s="42" t="s">
        <v>285</v>
      </c>
      <c r="H251" s="90" t="s">
        <v>335</v>
      </c>
      <c r="I251" s="82" t="s">
        <v>336</v>
      </c>
      <c r="J251" s="82" t="s">
        <v>337</v>
      </c>
      <c r="K251" s="82" t="s">
        <v>340</v>
      </c>
      <c r="L251" s="82">
        <v>2078775.0</v>
      </c>
      <c r="M251" s="82" t="s">
        <v>1055</v>
      </c>
      <c r="N251" s="82" t="s">
        <v>336</v>
      </c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  <c r="AA251" s="80"/>
    </row>
    <row r="252" ht="36.75" customHeight="1">
      <c r="A252" s="90" t="s">
        <v>284</v>
      </c>
      <c r="B252" s="42" t="s">
        <v>285</v>
      </c>
      <c r="C252" s="42" t="s">
        <v>299</v>
      </c>
      <c r="D252" s="42" t="s">
        <v>304</v>
      </c>
      <c r="E252" s="42">
        <v>2750511.0</v>
      </c>
      <c r="F252" s="42" t="s">
        <v>872</v>
      </c>
      <c r="G252" s="42" t="s">
        <v>285</v>
      </c>
      <c r="H252" s="90" t="s">
        <v>335</v>
      </c>
      <c r="I252" s="82" t="s">
        <v>336</v>
      </c>
      <c r="J252" s="82" t="s">
        <v>337</v>
      </c>
      <c r="K252" s="82" t="s">
        <v>341</v>
      </c>
      <c r="L252" s="82">
        <v>2081814.0</v>
      </c>
      <c r="M252" s="82" t="s">
        <v>1058</v>
      </c>
      <c r="N252" s="82" t="s">
        <v>341</v>
      </c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  <c r="AA252" s="80"/>
    </row>
    <row r="253" ht="36.75" customHeight="1">
      <c r="A253" s="90" t="s">
        <v>284</v>
      </c>
      <c r="B253" s="42" t="s">
        <v>285</v>
      </c>
      <c r="C253" s="42" t="s">
        <v>299</v>
      </c>
      <c r="D253" s="42" t="s">
        <v>305</v>
      </c>
      <c r="E253" s="42">
        <v>2750511.0</v>
      </c>
      <c r="F253" s="42" t="s">
        <v>872</v>
      </c>
      <c r="G253" s="42" t="s">
        <v>285</v>
      </c>
      <c r="H253" s="90" t="s">
        <v>335</v>
      </c>
      <c r="I253" s="82" t="s">
        <v>336</v>
      </c>
      <c r="J253" s="82" t="s">
        <v>337</v>
      </c>
      <c r="K253" s="82" t="s">
        <v>342</v>
      </c>
      <c r="L253" s="82">
        <v>2081768.0</v>
      </c>
      <c r="M253" s="82" t="s">
        <v>1056</v>
      </c>
      <c r="N253" s="82" t="s">
        <v>338</v>
      </c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  <c r="AA253" s="80"/>
    </row>
    <row r="254" ht="36.75" customHeight="1">
      <c r="A254" s="90" t="s">
        <v>284</v>
      </c>
      <c r="B254" s="42" t="s">
        <v>285</v>
      </c>
      <c r="C254" s="42" t="s">
        <v>299</v>
      </c>
      <c r="D254" s="42" t="s">
        <v>306</v>
      </c>
      <c r="E254" s="42">
        <v>2750511.0</v>
      </c>
      <c r="F254" s="42" t="s">
        <v>872</v>
      </c>
      <c r="G254" s="42" t="s">
        <v>285</v>
      </c>
      <c r="H254" s="90" t="s">
        <v>335</v>
      </c>
      <c r="I254" s="82" t="s">
        <v>336</v>
      </c>
      <c r="J254" s="82" t="s">
        <v>337</v>
      </c>
      <c r="K254" s="82" t="s">
        <v>343</v>
      </c>
      <c r="L254" s="82">
        <v>2081768.0</v>
      </c>
      <c r="M254" s="82" t="s">
        <v>1056</v>
      </c>
      <c r="N254" s="82" t="s">
        <v>338</v>
      </c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  <c r="AA254" s="80"/>
    </row>
    <row r="255" ht="36.75" customHeight="1">
      <c r="A255" s="90" t="s">
        <v>284</v>
      </c>
      <c r="B255" s="42" t="s">
        <v>285</v>
      </c>
      <c r="C255" s="42" t="s">
        <v>299</v>
      </c>
      <c r="D255" s="42" t="s">
        <v>307</v>
      </c>
      <c r="E255" s="42">
        <v>2750511.0</v>
      </c>
      <c r="F255" s="42" t="s">
        <v>872</v>
      </c>
      <c r="G255" s="42" t="s">
        <v>285</v>
      </c>
      <c r="H255" s="90" t="s">
        <v>335</v>
      </c>
      <c r="I255" s="82" t="s">
        <v>336</v>
      </c>
      <c r="J255" s="82" t="s">
        <v>337</v>
      </c>
      <c r="K255" s="82" t="s">
        <v>344</v>
      </c>
      <c r="L255" s="82">
        <v>2078775.0</v>
      </c>
      <c r="M255" s="82" t="s">
        <v>1055</v>
      </c>
      <c r="N255" s="82" t="s">
        <v>336</v>
      </c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  <c r="AA255" s="80"/>
    </row>
    <row r="256" ht="36.75" customHeight="1">
      <c r="A256" s="90" t="s">
        <v>284</v>
      </c>
      <c r="B256" s="42" t="s">
        <v>285</v>
      </c>
      <c r="C256" s="42" t="s">
        <v>299</v>
      </c>
      <c r="D256" s="42" t="s">
        <v>308</v>
      </c>
      <c r="E256" s="42">
        <v>2750511.0</v>
      </c>
      <c r="F256" s="42" t="s">
        <v>872</v>
      </c>
      <c r="G256" s="42" t="s">
        <v>285</v>
      </c>
      <c r="H256" s="90" t="s">
        <v>335</v>
      </c>
      <c r="I256" s="82" t="s">
        <v>336</v>
      </c>
      <c r="J256" s="82" t="s">
        <v>337</v>
      </c>
      <c r="K256" s="82" t="s">
        <v>345</v>
      </c>
      <c r="L256" s="82">
        <v>2081814.0</v>
      </c>
      <c r="M256" s="82" t="s">
        <v>1058</v>
      </c>
      <c r="N256" s="82" t="s">
        <v>341</v>
      </c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  <c r="AA256" s="80"/>
    </row>
    <row r="257" ht="36.75" customHeight="1">
      <c r="A257" s="90" t="s">
        <v>284</v>
      </c>
      <c r="B257" s="42" t="s">
        <v>285</v>
      </c>
      <c r="C257" s="42" t="s">
        <v>299</v>
      </c>
      <c r="D257" s="42" t="s">
        <v>309</v>
      </c>
      <c r="E257" s="42">
        <v>2750511.0</v>
      </c>
      <c r="F257" s="42" t="s">
        <v>872</v>
      </c>
      <c r="G257" s="42" t="s">
        <v>285</v>
      </c>
      <c r="H257" s="90" t="s">
        <v>335</v>
      </c>
      <c r="I257" s="82" t="s">
        <v>336</v>
      </c>
      <c r="J257" s="82" t="s">
        <v>337</v>
      </c>
      <c r="K257" s="82" t="s">
        <v>346</v>
      </c>
      <c r="L257" s="82">
        <v>2078775.0</v>
      </c>
      <c r="M257" s="82" t="s">
        <v>1055</v>
      </c>
      <c r="N257" s="82" t="s">
        <v>336</v>
      </c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  <c r="AA257" s="80"/>
    </row>
    <row r="258" ht="36.75" customHeight="1">
      <c r="A258" s="90" t="s">
        <v>284</v>
      </c>
      <c r="B258" s="42" t="s">
        <v>285</v>
      </c>
      <c r="C258" s="42" t="s">
        <v>299</v>
      </c>
      <c r="D258" s="42" t="s">
        <v>310</v>
      </c>
      <c r="E258" s="42">
        <v>2750511.0</v>
      </c>
      <c r="F258" s="42" t="s">
        <v>872</v>
      </c>
      <c r="G258" s="42" t="s">
        <v>285</v>
      </c>
      <c r="H258" s="90" t="s">
        <v>335</v>
      </c>
      <c r="I258" s="82" t="s">
        <v>336</v>
      </c>
      <c r="J258" s="82" t="s">
        <v>337</v>
      </c>
      <c r="K258" s="82" t="s">
        <v>347</v>
      </c>
      <c r="L258" s="82">
        <v>2081105.0</v>
      </c>
      <c r="M258" s="82" t="s">
        <v>1057</v>
      </c>
      <c r="N258" s="82" t="s">
        <v>347</v>
      </c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  <c r="AA258" s="80"/>
    </row>
    <row r="259" ht="36.75" customHeight="1">
      <c r="A259" s="90" t="s">
        <v>284</v>
      </c>
      <c r="B259" s="42" t="s">
        <v>285</v>
      </c>
      <c r="C259" s="42" t="s">
        <v>299</v>
      </c>
      <c r="D259" s="42" t="s">
        <v>285</v>
      </c>
      <c r="E259" s="42">
        <v>2750511.0</v>
      </c>
      <c r="F259" s="42" t="s">
        <v>872</v>
      </c>
      <c r="G259" s="42" t="s">
        <v>285</v>
      </c>
      <c r="H259" s="90" t="s">
        <v>335</v>
      </c>
      <c r="I259" s="82" t="s">
        <v>336</v>
      </c>
      <c r="J259" s="82" t="s">
        <v>348</v>
      </c>
      <c r="K259" s="82" t="s">
        <v>349</v>
      </c>
      <c r="L259" s="82">
        <v>2082691.0</v>
      </c>
      <c r="M259" s="82" t="s">
        <v>1059</v>
      </c>
      <c r="N259" s="82" t="s">
        <v>349</v>
      </c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  <c r="AA259" s="80"/>
    </row>
    <row r="260" ht="36.75" customHeight="1">
      <c r="A260" s="90" t="s">
        <v>284</v>
      </c>
      <c r="B260" s="42" t="s">
        <v>285</v>
      </c>
      <c r="C260" s="42" t="s">
        <v>299</v>
      </c>
      <c r="D260" s="42" t="s">
        <v>311</v>
      </c>
      <c r="E260" s="42">
        <v>2750511.0</v>
      </c>
      <c r="F260" s="42" t="s">
        <v>872</v>
      </c>
      <c r="G260" s="42" t="s">
        <v>285</v>
      </c>
      <c r="H260" s="90" t="s">
        <v>335</v>
      </c>
      <c r="I260" s="82" t="s">
        <v>336</v>
      </c>
      <c r="J260" s="82" t="s">
        <v>348</v>
      </c>
      <c r="K260" s="82" t="s">
        <v>350</v>
      </c>
      <c r="L260" s="82">
        <v>2083019.0</v>
      </c>
      <c r="M260" s="82" t="s">
        <v>1060</v>
      </c>
      <c r="N260" s="82" t="s">
        <v>355</v>
      </c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  <c r="AA260" s="80"/>
    </row>
    <row r="261" ht="36.75" customHeight="1">
      <c r="A261" s="90" t="s">
        <v>284</v>
      </c>
      <c r="B261" s="42" t="s">
        <v>285</v>
      </c>
      <c r="C261" s="42" t="s">
        <v>299</v>
      </c>
      <c r="D261" s="42" t="s">
        <v>312</v>
      </c>
      <c r="E261" s="42">
        <v>2750511.0</v>
      </c>
      <c r="F261" s="42" t="s">
        <v>872</v>
      </c>
      <c r="G261" s="42" t="s">
        <v>285</v>
      </c>
      <c r="H261" s="90" t="s">
        <v>335</v>
      </c>
      <c r="I261" s="82" t="s">
        <v>336</v>
      </c>
      <c r="J261" s="82" t="s">
        <v>348</v>
      </c>
      <c r="K261" s="82" t="s">
        <v>351</v>
      </c>
      <c r="L261" s="82">
        <v>2083019.0</v>
      </c>
      <c r="M261" s="82" t="s">
        <v>1060</v>
      </c>
      <c r="N261" s="82" t="s">
        <v>355</v>
      </c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  <c r="AA261" s="80"/>
    </row>
    <row r="262" ht="36.75" customHeight="1">
      <c r="A262" s="90" t="s">
        <v>284</v>
      </c>
      <c r="B262" s="42" t="s">
        <v>285</v>
      </c>
      <c r="C262" s="42" t="s">
        <v>299</v>
      </c>
      <c r="D262" s="42" t="s">
        <v>313</v>
      </c>
      <c r="E262" s="42">
        <v>2750511.0</v>
      </c>
      <c r="F262" s="42" t="s">
        <v>872</v>
      </c>
      <c r="G262" s="42" t="s">
        <v>285</v>
      </c>
      <c r="H262" s="90" t="s">
        <v>335</v>
      </c>
      <c r="I262" s="82" t="s">
        <v>336</v>
      </c>
      <c r="J262" s="82" t="s">
        <v>348</v>
      </c>
      <c r="K262" s="82" t="s">
        <v>352</v>
      </c>
      <c r="L262" s="82">
        <v>2078511.0</v>
      </c>
      <c r="M262" s="82" t="s">
        <v>1061</v>
      </c>
      <c r="N262" s="82" t="s">
        <v>352</v>
      </c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  <c r="AA262" s="80"/>
    </row>
    <row r="263" ht="36.75" customHeight="1">
      <c r="A263" s="90" t="s">
        <v>284</v>
      </c>
      <c r="B263" s="42" t="s">
        <v>285</v>
      </c>
      <c r="C263" s="42" t="s">
        <v>299</v>
      </c>
      <c r="D263" s="42" t="s">
        <v>314</v>
      </c>
      <c r="E263" s="42">
        <v>2750511.0</v>
      </c>
      <c r="F263" s="42" t="s">
        <v>872</v>
      </c>
      <c r="G263" s="42" t="s">
        <v>285</v>
      </c>
      <c r="H263" s="90" t="s">
        <v>335</v>
      </c>
      <c r="I263" s="82" t="s">
        <v>336</v>
      </c>
      <c r="J263" s="82" t="s">
        <v>348</v>
      </c>
      <c r="K263" s="82" t="s">
        <v>353</v>
      </c>
      <c r="L263" s="82">
        <v>2078511.0</v>
      </c>
      <c r="M263" s="82" t="s">
        <v>1061</v>
      </c>
      <c r="N263" s="82" t="s">
        <v>352</v>
      </c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  <c r="AA263" s="80"/>
    </row>
    <row r="264" ht="36.75" customHeight="1">
      <c r="A264" s="90" t="s">
        <v>284</v>
      </c>
      <c r="B264" s="42" t="s">
        <v>285</v>
      </c>
      <c r="C264" s="42" t="s">
        <v>299</v>
      </c>
      <c r="D264" s="42" t="s">
        <v>315</v>
      </c>
      <c r="E264" s="42">
        <v>2750511.0</v>
      </c>
      <c r="F264" s="42" t="s">
        <v>872</v>
      </c>
      <c r="G264" s="42" t="s">
        <v>285</v>
      </c>
      <c r="H264" s="90" t="s">
        <v>335</v>
      </c>
      <c r="I264" s="82" t="s">
        <v>336</v>
      </c>
      <c r="J264" s="82" t="s">
        <v>348</v>
      </c>
      <c r="K264" s="82" t="s">
        <v>354</v>
      </c>
      <c r="L264" s="82">
        <v>2083019.0</v>
      </c>
      <c r="M264" s="82" t="s">
        <v>1060</v>
      </c>
      <c r="N264" s="82" t="s">
        <v>355</v>
      </c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  <c r="AA264" s="80"/>
    </row>
    <row r="265" ht="36.75" customHeight="1">
      <c r="A265" s="90" t="s">
        <v>284</v>
      </c>
      <c r="B265" s="42" t="s">
        <v>285</v>
      </c>
      <c r="C265" s="42" t="s">
        <v>299</v>
      </c>
      <c r="D265" s="42" t="s">
        <v>316</v>
      </c>
      <c r="E265" s="42">
        <v>2750511.0</v>
      </c>
      <c r="F265" s="42" t="s">
        <v>872</v>
      </c>
      <c r="G265" s="42" t="s">
        <v>285</v>
      </c>
      <c r="H265" s="90" t="s">
        <v>335</v>
      </c>
      <c r="I265" s="82" t="s">
        <v>336</v>
      </c>
      <c r="J265" s="82" t="s">
        <v>348</v>
      </c>
      <c r="K265" s="82" t="s">
        <v>355</v>
      </c>
      <c r="L265" s="82">
        <v>2083019.0</v>
      </c>
      <c r="M265" s="82" t="s">
        <v>1060</v>
      </c>
      <c r="N265" s="82" t="s">
        <v>355</v>
      </c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  <c r="AA265" s="80"/>
    </row>
    <row r="266" ht="36.75" customHeight="1">
      <c r="A266" s="90" t="s">
        <v>284</v>
      </c>
      <c r="B266" s="42" t="s">
        <v>285</v>
      </c>
      <c r="C266" s="42" t="s">
        <v>299</v>
      </c>
      <c r="D266" s="42" t="s">
        <v>317</v>
      </c>
      <c r="E266" s="42">
        <v>2750511.0</v>
      </c>
      <c r="F266" s="42" t="s">
        <v>872</v>
      </c>
      <c r="G266" s="42" t="s">
        <v>285</v>
      </c>
      <c r="H266" s="90" t="s">
        <v>335</v>
      </c>
      <c r="I266" s="82" t="s">
        <v>336</v>
      </c>
      <c r="J266" s="82" t="s">
        <v>348</v>
      </c>
      <c r="K266" s="82" t="s">
        <v>356</v>
      </c>
      <c r="L266" s="82">
        <v>2082691.0</v>
      </c>
      <c r="M266" s="82" t="s">
        <v>1059</v>
      </c>
      <c r="N266" s="82" t="s">
        <v>349</v>
      </c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  <c r="AA266" s="80"/>
    </row>
    <row r="267" ht="36.75" customHeight="1">
      <c r="A267" s="90" t="s">
        <v>284</v>
      </c>
      <c r="B267" s="42" t="s">
        <v>285</v>
      </c>
      <c r="C267" s="42" t="s">
        <v>318</v>
      </c>
      <c r="D267" s="42" t="s">
        <v>319</v>
      </c>
      <c r="E267" s="42">
        <v>2750511.0</v>
      </c>
      <c r="F267" s="42" t="s">
        <v>872</v>
      </c>
      <c r="G267" s="42" t="s">
        <v>285</v>
      </c>
      <c r="H267" s="90" t="s">
        <v>335</v>
      </c>
      <c r="I267" s="82" t="s">
        <v>336</v>
      </c>
      <c r="J267" s="82" t="s">
        <v>348</v>
      </c>
      <c r="K267" s="82" t="s">
        <v>357</v>
      </c>
      <c r="L267" s="82">
        <v>2082691.0</v>
      </c>
      <c r="M267" s="82" t="s">
        <v>1059</v>
      </c>
      <c r="N267" s="82" t="s">
        <v>349</v>
      </c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  <c r="AA267" s="80"/>
    </row>
    <row r="268" ht="36.75" customHeight="1">
      <c r="A268" s="90" t="s">
        <v>284</v>
      </c>
      <c r="B268" s="42" t="s">
        <v>285</v>
      </c>
      <c r="C268" s="42" t="s">
        <v>318</v>
      </c>
      <c r="D268" s="42" t="s">
        <v>320</v>
      </c>
      <c r="E268" s="42">
        <v>2750511.0</v>
      </c>
      <c r="F268" s="42" t="s">
        <v>872</v>
      </c>
      <c r="G268" s="42" t="s">
        <v>285</v>
      </c>
      <c r="H268" s="90" t="s">
        <v>335</v>
      </c>
      <c r="I268" s="82" t="s">
        <v>336</v>
      </c>
      <c r="J268" s="82" t="s">
        <v>348</v>
      </c>
      <c r="K268" s="82" t="s">
        <v>358</v>
      </c>
      <c r="L268" s="82">
        <v>2083027.0</v>
      </c>
      <c r="M268" s="82" t="s">
        <v>1062</v>
      </c>
      <c r="N268" s="82" t="s">
        <v>358</v>
      </c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  <c r="AA268" s="80"/>
    </row>
    <row r="269" ht="36.75" customHeight="1">
      <c r="A269" s="90" t="s">
        <v>284</v>
      </c>
      <c r="B269" s="42" t="s">
        <v>285</v>
      </c>
      <c r="C269" s="42" t="s">
        <v>318</v>
      </c>
      <c r="D269" s="42" t="s">
        <v>321</v>
      </c>
      <c r="E269" s="42">
        <v>2750511.0</v>
      </c>
      <c r="F269" s="42" t="s">
        <v>872</v>
      </c>
      <c r="G269" s="42" t="s">
        <v>285</v>
      </c>
      <c r="H269" s="90" t="s">
        <v>335</v>
      </c>
      <c r="I269" s="82" t="s">
        <v>336</v>
      </c>
      <c r="J269" s="82" t="s">
        <v>348</v>
      </c>
      <c r="K269" s="82" t="s">
        <v>359</v>
      </c>
      <c r="L269" s="82">
        <v>2081245.0</v>
      </c>
      <c r="M269" s="82" t="s">
        <v>1063</v>
      </c>
      <c r="N269" s="82" t="s">
        <v>1064</v>
      </c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  <c r="AA269" s="80"/>
    </row>
    <row r="270" ht="36.75" customHeight="1">
      <c r="A270" s="90" t="s">
        <v>284</v>
      </c>
      <c r="B270" s="42" t="s">
        <v>285</v>
      </c>
      <c r="C270" s="42" t="s">
        <v>318</v>
      </c>
      <c r="D270" s="42" t="s">
        <v>322</v>
      </c>
      <c r="E270" s="42">
        <v>2750511.0</v>
      </c>
      <c r="F270" s="42" t="s">
        <v>872</v>
      </c>
      <c r="G270" s="42" t="s">
        <v>285</v>
      </c>
      <c r="H270" s="90" t="s">
        <v>335</v>
      </c>
      <c r="I270" s="82" t="s">
        <v>336</v>
      </c>
      <c r="J270" s="82" t="s">
        <v>348</v>
      </c>
      <c r="K270" s="82" t="s">
        <v>360</v>
      </c>
      <c r="L270" s="82">
        <v>2078511.0</v>
      </c>
      <c r="M270" s="82" t="s">
        <v>1061</v>
      </c>
      <c r="N270" s="82" t="s">
        <v>352</v>
      </c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  <c r="AA270" s="80"/>
    </row>
    <row r="271" ht="36.75" customHeight="1">
      <c r="A271" s="90" t="s">
        <v>284</v>
      </c>
      <c r="B271" s="42" t="s">
        <v>285</v>
      </c>
      <c r="C271" s="42" t="s">
        <v>318</v>
      </c>
      <c r="D271" s="42" t="s">
        <v>323</v>
      </c>
      <c r="E271" s="42">
        <v>2750511.0</v>
      </c>
      <c r="F271" s="42" t="s">
        <v>872</v>
      </c>
      <c r="G271" s="42" t="s">
        <v>285</v>
      </c>
      <c r="H271" s="90" t="s">
        <v>335</v>
      </c>
      <c r="I271" s="82" t="s">
        <v>336</v>
      </c>
      <c r="J271" s="82" t="s">
        <v>361</v>
      </c>
      <c r="K271" s="82" t="s">
        <v>362</v>
      </c>
      <c r="L271" s="95">
        <v>2078503.0</v>
      </c>
      <c r="M271" s="95" t="s">
        <v>1065</v>
      </c>
      <c r="N271" s="82" t="s">
        <v>375</v>
      </c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  <c r="AA271" s="80"/>
    </row>
    <row r="272" ht="36.75" customHeight="1">
      <c r="A272" s="90" t="s">
        <v>284</v>
      </c>
      <c r="B272" s="42" t="s">
        <v>285</v>
      </c>
      <c r="C272" s="42" t="s">
        <v>324</v>
      </c>
      <c r="D272" s="42" t="s">
        <v>325</v>
      </c>
      <c r="E272" s="42">
        <v>2755130.0</v>
      </c>
      <c r="F272" s="42" t="s">
        <v>873</v>
      </c>
      <c r="G272" s="42" t="s">
        <v>285</v>
      </c>
      <c r="H272" s="90" t="s">
        <v>335</v>
      </c>
      <c r="I272" s="82" t="s">
        <v>336</v>
      </c>
      <c r="J272" s="82" t="s">
        <v>361</v>
      </c>
      <c r="K272" s="82" t="s">
        <v>363</v>
      </c>
      <c r="L272" s="95">
        <v>2078503.0</v>
      </c>
      <c r="M272" s="95" t="s">
        <v>1065</v>
      </c>
      <c r="N272" s="82" t="s">
        <v>375</v>
      </c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  <c r="AA272" s="80"/>
    </row>
    <row r="273" ht="36.75" customHeight="1">
      <c r="A273" s="90" t="s">
        <v>284</v>
      </c>
      <c r="B273" s="42" t="s">
        <v>285</v>
      </c>
      <c r="C273" s="42" t="s">
        <v>324</v>
      </c>
      <c r="D273" s="42" t="s">
        <v>326</v>
      </c>
      <c r="E273" s="42">
        <v>2755130.0</v>
      </c>
      <c r="F273" s="42" t="s">
        <v>873</v>
      </c>
      <c r="G273" s="42" t="s">
        <v>285</v>
      </c>
      <c r="H273" s="90" t="s">
        <v>335</v>
      </c>
      <c r="I273" s="82" t="s">
        <v>336</v>
      </c>
      <c r="J273" s="82" t="s">
        <v>361</v>
      </c>
      <c r="K273" s="82" t="s">
        <v>364</v>
      </c>
      <c r="L273" s="95">
        <v>2078503.0</v>
      </c>
      <c r="M273" s="95" t="s">
        <v>1065</v>
      </c>
      <c r="N273" s="82" t="s">
        <v>375</v>
      </c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  <c r="AA273" s="80"/>
    </row>
    <row r="274" ht="36.75" customHeight="1">
      <c r="A274" s="90" t="s">
        <v>284</v>
      </c>
      <c r="B274" s="42" t="s">
        <v>285</v>
      </c>
      <c r="C274" s="42" t="s">
        <v>324</v>
      </c>
      <c r="D274" s="42" t="s">
        <v>327</v>
      </c>
      <c r="E274" s="42">
        <v>2755130.0</v>
      </c>
      <c r="F274" s="42" t="s">
        <v>873</v>
      </c>
      <c r="G274" s="42" t="s">
        <v>285</v>
      </c>
      <c r="H274" s="90" t="s">
        <v>335</v>
      </c>
      <c r="I274" s="82" t="s">
        <v>336</v>
      </c>
      <c r="J274" s="82" t="s">
        <v>361</v>
      </c>
      <c r="K274" s="82" t="s">
        <v>365</v>
      </c>
      <c r="L274" s="95">
        <v>2078252.0</v>
      </c>
      <c r="M274" s="95" t="s">
        <v>1066</v>
      </c>
      <c r="N274" s="82" t="s">
        <v>365</v>
      </c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  <c r="AA274" s="80"/>
    </row>
    <row r="275" ht="36.75" customHeight="1">
      <c r="A275" s="90" t="s">
        <v>284</v>
      </c>
      <c r="B275" s="42" t="s">
        <v>285</v>
      </c>
      <c r="C275" s="42" t="s">
        <v>324</v>
      </c>
      <c r="D275" s="42" t="s">
        <v>328</v>
      </c>
      <c r="E275" s="42">
        <v>2755130.0</v>
      </c>
      <c r="F275" s="42" t="s">
        <v>873</v>
      </c>
      <c r="G275" s="42" t="s">
        <v>285</v>
      </c>
      <c r="H275" s="90" t="s">
        <v>335</v>
      </c>
      <c r="I275" s="82" t="s">
        <v>336</v>
      </c>
      <c r="J275" s="82" t="s">
        <v>361</v>
      </c>
      <c r="K275" s="82" t="s">
        <v>366</v>
      </c>
      <c r="L275" s="95">
        <v>2078503.0</v>
      </c>
      <c r="M275" s="95" t="s">
        <v>1065</v>
      </c>
      <c r="N275" s="82" t="s">
        <v>375</v>
      </c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  <c r="AA275" s="80"/>
    </row>
    <row r="276" ht="36.75" customHeight="1">
      <c r="A276" s="90" t="s">
        <v>284</v>
      </c>
      <c r="B276" s="42" t="s">
        <v>285</v>
      </c>
      <c r="C276" s="42" t="s">
        <v>324</v>
      </c>
      <c r="D276" s="42" t="s">
        <v>329</v>
      </c>
      <c r="E276" s="42">
        <v>2755130.0</v>
      </c>
      <c r="F276" s="42" t="s">
        <v>873</v>
      </c>
      <c r="G276" s="42" t="s">
        <v>285</v>
      </c>
      <c r="H276" s="90" t="s">
        <v>335</v>
      </c>
      <c r="I276" s="82" t="s">
        <v>336</v>
      </c>
      <c r="J276" s="82" t="s">
        <v>361</v>
      </c>
      <c r="K276" s="82" t="s">
        <v>367</v>
      </c>
      <c r="L276" s="95">
        <v>2079461.0</v>
      </c>
      <c r="M276" s="95" t="s">
        <v>1067</v>
      </c>
      <c r="N276" s="82" t="s">
        <v>368</v>
      </c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  <c r="AA276" s="80"/>
    </row>
    <row r="277" ht="36.75" customHeight="1">
      <c r="A277" s="90" t="s">
        <v>284</v>
      </c>
      <c r="B277" s="42" t="s">
        <v>285</v>
      </c>
      <c r="C277" s="42" t="s">
        <v>330</v>
      </c>
      <c r="D277" s="42" t="s">
        <v>331</v>
      </c>
      <c r="E277" s="42">
        <v>2755130.0</v>
      </c>
      <c r="F277" s="42" t="s">
        <v>873</v>
      </c>
      <c r="G277" s="42" t="s">
        <v>285</v>
      </c>
      <c r="H277" s="90" t="s">
        <v>335</v>
      </c>
      <c r="I277" s="82" t="s">
        <v>336</v>
      </c>
      <c r="J277" s="82" t="s">
        <v>361</v>
      </c>
      <c r="K277" s="82" t="s">
        <v>368</v>
      </c>
      <c r="L277" s="95">
        <v>2079461.0</v>
      </c>
      <c r="M277" s="95" t="s">
        <v>1067</v>
      </c>
      <c r="N277" s="82" t="s">
        <v>368</v>
      </c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  <c r="AA277" s="80"/>
    </row>
    <row r="278" ht="36.75" customHeight="1">
      <c r="A278" s="90" t="s">
        <v>284</v>
      </c>
      <c r="B278" s="42" t="s">
        <v>285</v>
      </c>
      <c r="C278" s="42" t="s">
        <v>330</v>
      </c>
      <c r="D278" s="42" t="s">
        <v>332</v>
      </c>
      <c r="E278" s="42">
        <v>2750511.0</v>
      </c>
      <c r="F278" s="42" t="s">
        <v>872</v>
      </c>
      <c r="G278" s="42" t="s">
        <v>285</v>
      </c>
      <c r="H278" s="90" t="s">
        <v>335</v>
      </c>
      <c r="I278" s="82" t="s">
        <v>336</v>
      </c>
      <c r="J278" s="82" t="s">
        <v>361</v>
      </c>
      <c r="K278" s="82" t="s">
        <v>369</v>
      </c>
      <c r="L278" s="95">
        <v>2078252.0</v>
      </c>
      <c r="M278" s="95" t="s">
        <v>1066</v>
      </c>
      <c r="N278" s="82" t="s">
        <v>365</v>
      </c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  <c r="AA278" s="80"/>
    </row>
    <row r="279" ht="36.75" customHeight="1">
      <c r="A279" s="90" t="s">
        <v>284</v>
      </c>
      <c r="B279" s="42" t="s">
        <v>285</v>
      </c>
      <c r="C279" s="42" t="s">
        <v>330</v>
      </c>
      <c r="D279" s="42" t="s">
        <v>333</v>
      </c>
      <c r="E279" s="42">
        <v>2755130.0</v>
      </c>
      <c r="F279" s="42" t="s">
        <v>873</v>
      </c>
      <c r="G279" s="42" t="s">
        <v>285</v>
      </c>
      <c r="H279" s="90" t="s">
        <v>335</v>
      </c>
      <c r="I279" s="82" t="s">
        <v>336</v>
      </c>
      <c r="J279" s="82" t="s">
        <v>361</v>
      </c>
      <c r="K279" s="82" t="s">
        <v>370</v>
      </c>
      <c r="L279" s="95">
        <v>2078252.0</v>
      </c>
      <c r="M279" s="95" t="s">
        <v>1066</v>
      </c>
      <c r="N279" s="82" t="s">
        <v>365</v>
      </c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  <c r="AA279" s="80"/>
    </row>
    <row r="280" ht="36.75" customHeight="1">
      <c r="A280" s="90" t="s">
        <v>284</v>
      </c>
      <c r="B280" s="42" t="s">
        <v>285</v>
      </c>
      <c r="C280" s="42" t="s">
        <v>330</v>
      </c>
      <c r="D280" s="42" t="s">
        <v>334</v>
      </c>
      <c r="E280" s="42">
        <v>2755130.0</v>
      </c>
      <c r="F280" s="42" t="s">
        <v>873</v>
      </c>
      <c r="G280" s="42" t="s">
        <v>285</v>
      </c>
      <c r="H280" s="90" t="s">
        <v>335</v>
      </c>
      <c r="I280" s="82" t="s">
        <v>336</v>
      </c>
      <c r="J280" s="82" t="s">
        <v>361</v>
      </c>
      <c r="K280" s="82" t="s">
        <v>371</v>
      </c>
      <c r="L280" s="95">
        <v>2078252.0</v>
      </c>
      <c r="M280" s="95" t="s">
        <v>1066</v>
      </c>
      <c r="N280" s="82" t="s">
        <v>365</v>
      </c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  <c r="AA280" s="80"/>
    </row>
    <row r="281" ht="36.75" customHeight="1">
      <c r="A281" s="90" t="s">
        <v>335</v>
      </c>
      <c r="B281" s="42" t="s">
        <v>336</v>
      </c>
      <c r="C281" s="42" t="s">
        <v>337</v>
      </c>
      <c r="D281" s="42" t="s">
        <v>336</v>
      </c>
      <c r="E281" s="94">
        <v>6572367.0</v>
      </c>
      <c r="F281" s="94" t="s">
        <v>874</v>
      </c>
      <c r="G281" s="94" t="s">
        <v>1284</v>
      </c>
      <c r="H281" s="90" t="s">
        <v>335</v>
      </c>
      <c r="I281" s="82" t="s">
        <v>336</v>
      </c>
      <c r="J281" s="82" t="s">
        <v>361</v>
      </c>
      <c r="K281" s="82" t="s">
        <v>372</v>
      </c>
      <c r="L281" s="95">
        <v>2078503.0</v>
      </c>
      <c r="M281" s="95" t="s">
        <v>1065</v>
      </c>
      <c r="N281" s="82" t="s">
        <v>375</v>
      </c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  <c r="AA281" s="80"/>
    </row>
    <row r="282" ht="36.75" customHeight="1">
      <c r="A282" s="90" t="s">
        <v>335</v>
      </c>
      <c r="B282" s="82" t="s">
        <v>336</v>
      </c>
      <c r="C282" s="82" t="s">
        <v>337</v>
      </c>
      <c r="D282" s="82" t="s">
        <v>338</v>
      </c>
      <c r="E282" s="95">
        <v>6572367.0</v>
      </c>
      <c r="F282" s="95" t="s">
        <v>874</v>
      </c>
      <c r="G282" s="95" t="s">
        <v>1285</v>
      </c>
      <c r="H282" s="90" t="s">
        <v>335</v>
      </c>
      <c r="I282" s="82" t="s">
        <v>336</v>
      </c>
      <c r="J282" s="82" t="s">
        <v>361</v>
      </c>
      <c r="K282" s="82" t="s">
        <v>373</v>
      </c>
      <c r="L282" s="95">
        <v>2078252.0</v>
      </c>
      <c r="M282" s="95" t="s">
        <v>1066</v>
      </c>
      <c r="N282" s="82" t="s">
        <v>365</v>
      </c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80"/>
    </row>
    <row r="283" ht="36.75" customHeight="1">
      <c r="A283" s="90" t="s">
        <v>335</v>
      </c>
      <c r="B283" s="82" t="s">
        <v>336</v>
      </c>
      <c r="C283" s="82" t="s">
        <v>337</v>
      </c>
      <c r="D283" s="82" t="s">
        <v>339</v>
      </c>
      <c r="E283" s="95">
        <v>6572367.0</v>
      </c>
      <c r="F283" s="95" t="s">
        <v>874</v>
      </c>
      <c r="G283" s="95" t="s">
        <v>1286</v>
      </c>
      <c r="H283" s="90" t="s">
        <v>335</v>
      </c>
      <c r="I283" s="82" t="s">
        <v>336</v>
      </c>
      <c r="J283" s="82" t="s">
        <v>361</v>
      </c>
      <c r="K283" s="82" t="s">
        <v>374</v>
      </c>
      <c r="L283" s="95">
        <v>2078503.0</v>
      </c>
      <c r="M283" s="95" t="s">
        <v>1065</v>
      </c>
      <c r="N283" s="82" t="s">
        <v>375</v>
      </c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</row>
    <row r="284" ht="36.75" customHeight="1">
      <c r="A284" s="90" t="s">
        <v>335</v>
      </c>
      <c r="B284" s="82" t="s">
        <v>336</v>
      </c>
      <c r="C284" s="82" t="s">
        <v>337</v>
      </c>
      <c r="D284" s="82" t="s">
        <v>340</v>
      </c>
      <c r="E284" s="95">
        <v>6572367.0</v>
      </c>
      <c r="F284" s="95" t="s">
        <v>874</v>
      </c>
      <c r="G284" s="95" t="s">
        <v>1287</v>
      </c>
      <c r="H284" s="90" t="s">
        <v>335</v>
      </c>
      <c r="I284" s="82" t="s">
        <v>336</v>
      </c>
      <c r="J284" s="82" t="s">
        <v>361</v>
      </c>
      <c r="K284" s="82" t="s">
        <v>375</v>
      </c>
      <c r="L284" s="95">
        <v>2078503.0</v>
      </c>
      <c r="M284" s="95" t="s">
        <v>1065</v>
      </c>
      <c r="N284" s="82" t="s">
        <v>375</v>
      </c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0"/>
    </row>
    <row r="285" ht="36.75" customHeight="1">
      <c r="A285" s="90" t="s">
        <v>335</v>
      </c>
      <c r="B285" s="82" t="s">
        <v>336</v>
      </c>
      <c r="C285" s="82" t="s">
        <v>337</v>
      </c>
      <c r="D285" s="82" t="s">
        <v>341</v>
      </c>
      <c r="E285" s="95">
        <v>6572367.0</v>
      </c>
      <c r="F285" s="95" t="s">
        <v>874</v>
      </c>
      <c r="G285" s="95" t="s">
        <v>1288</v>
      </c>
      <c r="H285" s="90" t="s">
        <v>335</v>
      </c>
      <c r="I285" s="82" t="s">
        <v>336</v>
      </c>
      <c r="J285" s="82" t="s">
        <v>361</v>
      </c>
      <c r="K285" s="82" t="s">
        <v>376</v>
      </c>
      <c r="L285" s="95">
        <v>2078252.0</v>
      </c>
      <c r="M285" s="95" t="s">
        <v>1066</v>
      </c>
      <c r="N285" s="82" t="s">
        <v>365</v>
      </c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0"/>
    </row>
    <row r="286" ht="36.75" customHeight="1">
      <c r="A286" s="90" t="s">
        <v>335</v>
      </c>
      <c r="B286" s="82" t="s">
        <v>336</v>
      </c>
      <c r="C286" s="82" t="s">
        <v>337</v>
      </c>
      <c r="D286" s="82" t="s">
        <v>342</v>
      </c>
      <c r="E286" s="95">
        <v>6572367.0</v>
      </c>
      <c r="F286" s="95" t="s">
        <v>874</v>
      </c>
      <c r="G286" s="95" t="s">
        <v>1289</v>
      </c>
      <c r="H286" s="90" t="s">
        <v>335</v>
      </c>
      <c r="I286" s="82" t="s">
        <v>336</v>
      </c>
      <c r="J286" s="82" t="s">
        <v>361</v>
      </c>
      <c r="K286" s="82" t="s">
        <v>377</v>
      </c>
      <c r="L286" s="95">
        <v>2078252.0</v>
      </c>
      <c r="M286" s="95" t="s">
        <v>1066</v>
      </c>
      <c r="N286" s="82" t="s">
        <v>365</v>
      </c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</row>
    <row r="287" ht="36.75" customHeight="1">
      <c r="A287" s="90" t="s">
        <v>335</v>
      </c>
      <c r="B287" s="82" t="s">
        <v>336</v>
      </c>
      <c r="C287" s="82" t="s">
        <v>337</v>
      </c>
      <c r="D287" s="82" t="s">
        <v>343</v>
      </c>
      <c r="E287" s="95">
        <v>6572367.0</v>
      </c>
      <c r="F287" s="95" t="s">
        <v>874</v>
      </c>
      <c r="G287" s="95" t="s">
        <v>1290</v>
      </c>
      <c r="H287" s="90" t="s">
        <v>335</v>
      </c>
      <c r="I287" s="82" t="s">
        <v>336</v>
      </c>
      <c r="J287" s="82" t="s">
        <v>361</v>
      </c>
      <c r="K287" s="82" t="s">
        <v>378</v>
      </c>
      <c r="L287" s="95">
        <v>2078252.0</v>
      </c>
      <c r="M287" s="95" t="s">
        <v>1066</v>
      </c>
      <c r="N287" s="82" t="s">
        <v>365</v>
      </c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</row>
    <row r="288" ht="36.75" customHeight="1">
      <c r="A288" s="90" t="s">
        <v>335</v>
      </c>
      <c r="B288" s="82" t="s">
        <v>336</v>
      </c>
      <c r="C288" s="82" t="s">
        <v>337</v>
      </c>
      <c r="D288" s="82" t="s">
        <v>344</v>
      </c>
      <c r="E288" s="95">
        <v>6572367.0</v>
      </c>
      <c r="F288" s="95" t="s">
        <v>874</v>
      </c>
      <c r="G288" s="95" t="s">
        <v>1291</v>
      </c>
      <c r="H288" s="90" t="s">
        <v>335</v>
      </c>
      <c r="I288" s="96" t="s">
        <v>379</v>
      </c>
      <c r="J288" s="97" t="s">
        <v>380</v>
      </c>
      <c r="K288" s="97" t="s">
        <v>381</v>
      </c>
      <c r="L288" s="97">
        <v>2089327.0</v>
      </c>
      <c r="M288" s="97" t="s">
        <v>904</v>
      </c>
      <c r="N288" s="97" t="s">
        <v>380</v>
      </c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0"/>
    </row>
    <row r="289" ht="36.75" customHeight="1">
      <c r="A289" s="90" t="s">
        <v>335</v>
      </c>
      <c r="B289" s="82" t="s">
        <v>336</v>
      </c>
      <c r="C289" s="82" t="s">
        <v>337</v>
      </c>
      <c r="D289" s="82" t="s">
        <v>345</v>
      </c>
      <c r="E289" s="95">
        <v>6572367.0</v>
      </c>
      <c r="F289" s="95" t="s">
        <v>874</v>
      </c>
      <c r="G289" s="95" t="s">
        <v>1292</v>
      </c>
      <c r="H289" s="90" t="s">
        <v>335</v>
      </c>
      <c r="I289" s="96" t="s">
        <v>379</v>
      </c>
      <c r="J289" s="97" t="s">
        <v>380</v>
      </c>
      <c r="K289" s="97" t="s">
        <v>380</v>
      </c>
      <c r="L289" s="97">
        <v>2089327.0</v>
      </c>
      <c r="M289" s="97" t="s">
        <v>904</v>
      </c>
      <c r="N289" s="97" t="s">
        <v>380</v>
      </c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</row>
    <row r="290" ht="36.75" customHeight="1">
      <c r="A290" s="90" t="s">
        <v>335</v>
      </c>
      <c r="B290" s="82" t="s">
        <v>336</v>
      </c>
      <c r="C290" s="82" t="s">
        <v>337</v>
      </c>
      <c r="D290" s="82" t="s">
        <v>346</v>
      </c>
      <c r="E290" s="95">
        <v>6572367.0</v>
      </c>
      <c r="F290" s="95" t="s">
        <v>874</v>
      </c>
      <c r="G290" s="95" t="s">
        <v>1293</v>
      </c>
      <c r="H290" s="90" t="s">
        <v>335</v>
      </c>
      <c r="I290" s="96" t="s">
        <v>379</v>
      </c>
      <c r="J290" s="97" t="s">
        <v>380</v>
      </c>
      <c r="K290" s="97" t="s">
        <v>382</v>
      </c>
      <c r="L290" s="97">
        <v>2089327.0</v>
      </c>
      <c r="M290" s="97" t="s">
        <v>904</v>
      </c>
      <c r="N290" s="97" t="s">
        <v>380</v>
      </c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</row>
    <row r="291" ht="36.75" customHeight="1">
      <c r="A291" s="90" t="s">
        <v>335</v>
      </c>
      <c r="B291" s="82" t="s">
        <v>336</v>
      </c>
      <c r="C291" s="82" t="s">
        <v>337</v>
      </c>
      <c r="D291" s="82" t="s">
        <v>347</v>
      </c>
      <c r="E291" s="95">
        <v>6572367.0</v>
      </c>
      <c r="F291" s="95" t="s">
        <v>874</v>
      </c>
      <c r="G291" s="95" t="s">
        <v>1294</v>
      </c>
      <c r="H291" s="90" t="s">
        <v>335</v>
      </c>
      <c r="I291" s="96" t="s">
        <v>379</v>
      </c>
      <c r="J291" s="97" t="s">
        <v>380</v>
      </c>
      <c r="K291" s="97" t="s">
        <v>383</v>
      </c>
      <c r="L291" s="97">
        <v>2089327.0</v>
      </c>
      <c r="M291" s="97" t="s">
        <v>904</v>
      </c>
      <c r="N291" s="97" t="s">
        <v>380</v>
      </c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</row>
    <row r="292" ht="36.75" customHeight="1">
      <c r="A292" s="90" t="s">
        <v>335</v>
      </c>
      <c r="B292" s="82" t="s">
        <v>336</v>
      </c>
      <c r="C292" s="82" t="s">
        <v>348</v>
      </c>
      <c r="D292" s="82" t="s">
        <v>349</v>
      </c>
      <c r="E292" s="95">
        <v>6568971.0</v>
      </c>
      <c r="F292" s="95" t="s">
        <v>886</v>
      </c>
      <c r="G292" s="82" t="s">
        <v>349</v>
      </c>
      <c r="H292" s="90" t="s">
        <v>335</v>
      </c>
      <c r="I292" s="96" t="s">
        <v>379</v>
      </c>
      <c r="J292" s="97" t="s">
        <v>380</v>
      </c>
      <c r="K292" s="97" t="s">
        <v>384</v>
      </c>
      <c r="L292" s="97">
        <v>2089327.0</v>
      </c>
      <c r="M292" s="97" t="s">
        <v>904</v>
      </c>
      <c r="N292" s="97" t="s">
        <v>380</v>
      </c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</row>
    <row r="293" ht="36.75" customHeight="1">
      <c r="A293" s="90" t="s">
        <v>335</v>
      </c>
      <c r="B293" s="82" t="s">
        <v>336</v>
      </c>
      <c r="C293" s="82" t="s">
        <v>348</v>
      </c>
      <c r="D293" s="82" t="s">
        <v>350</v>
      </c>
      <c r="E293" s="95">
        <v>6568971.0</v>
      </c>
      <c r="F293" s="95" t="s">
        <v>886</v>
      </c>
      <c r="G293" s="82" t="s">
        <v>349</v>
      </c>
      <c r="H293" s="90" t="s">
        <v>335</v>
      </c>
      <c r="I293" s="96" t="s">
        <v>379</v>
      </c>
      <c r="J293" s="97" t="s">
        <v>380</v>
      </c>
      <c r="K293" s="97" t="s">
        <v>385</v>
      </c>
      <c r="L293" s="97">
        <v>2089327.0</v>
      </c>
      <c r="M293" s="97" t="s">
        <v>904</v>
      </c>
      <c r="N293" s="97" t="s">
        <v>380</v>
      </c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</row>
    <row r="294" ht="36.75" customHeight="1">
      <c r="A294" s="90" t="s">
        <v>335</v>
      </c>
      <c r="B294" s="82" t="s">
        <v>336</v>
      </c>
      <c r="C294" s="82" t="s">
        <v>348</v>
      </c>
      <c r="D294" s="82" t="s">
        <v>351</v>
      </c>
      <c r="E294" s="95">
        <v>6568971.0</v>
      </c>
      <c r="F294" s="95" t="s">
        <v>886</v>
      </c>
      <c r="G294" s="82" t="s">
        <v>349</v>
      </c>
      <c r="H294" s="90" t="s">
        <v>335</v>
      </c>
      <c r="I294" s="96" t="s">
        <v>379</v>
      </c>
      <c r="J294" s="97" t="s">
        <v>380</v>
      </c>
      <c r="K294" s="97" t="s">
        <v>386</v>
      </c>
      <c r="L294" s="97">
        <v>2089327.0</v>
      </c>
      <c r="M294" s="97" t="s">
        <v>904</v>
      </c>
      <c r="N294" s="97" t="s">
        <v>380</v>
      </c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</row>
    <row r="295" ht="36.75" customHeight="1">
      <c r="A295" s="90" t="s">
        <v>335</v>
      </c>
      <c r="B295" s="82" t="s">
        <v>336</v>
      </c>
      <c r="C295" s="82" t="s">
        <v>348</v>
      </c>
      <c r="D295" s="82" t="s">
        <v>352</v>
      </c>
      <c r="E295" s="95">
        <v>6568971.0</v>
      </c>
      <c r="F295" s="95" t="s">
        <v>886</v>
      </c>
      <c r="G295" s="82" t="s">
        <v>349</v>
      </c>
      <c r="H295" s="90" t="s">
        <v>335</v>
      </c>
      <c r="I295" s="96" t="s">
        <v>379</v>
      </c>
      <c r="J295" s="97" t="s">
        <v>380</v>
      </c>
      <c r="K295" s="97" t="s">
        <v>387</v>
      </c>
      <c r="L295" s="97">
        <v>2089327.0</v>
      </c>
      <c r="M295" s="97" t="s">
        <v>904</v>
      </c>
      <c r="N295" s="97" t="s">
        <v>380</v>
      </c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</row>
    <row r="296" ht="36.75" customHeight="1">
      <c r="A296" s="90" t="s">
        <v>335</v>
      </c>
      <c r="B296" s="82" t="s">
        <v>336</v>
      </c>
      <c r="C296" s="82" t="s">
        <v>348</v>
      </c>
      <c r="D296" s="82" t="s">
        <v>353</v>
      </c>
      <c r="E296" s="95">
        <v>6568971.0</v>
      </c>
      <c r="F296" s="95" t="s">
        <v>886</v>
      </c>
      <c r="G296" s="82" t="s">
        <v>349</v>
      </c>
      <c r="H296" s="90" t="s">
        <v>335</v>
      </c>
      <c r="I296" s="96" t="s">
        <v>379</v>
      </c>
      <c r="J296" s="97" t="s">
        <v>380</v>
      </c>
      <c r="K296" s="97" t="s">
        <v>388</v>
      </c>
      <c r="L296" s="97">
        <v>2089327.0</v>
      </c>
      <c r="M296" s="97" t="s">
        <v>904</v>
      </c>
      <c r="N296" s="97" t="s">
        <v>380</v>
      </c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</row>
    <row r="297" ht="36.75" customHeight="1">
      <c r="A297" s="90" t="s">
        <v>335</v>
      </c>
      <c r="B297" s="82" t="s">
        <v>336</v>
      </c>
      <c r="C297" s="82" t="s">
        <v>348</v>
      </c>
      <c r="D297" s="82" t="s">
        <v>354</v>
      </c>
      <c r="E297" s="95">
        <v>6568971.0</v>
      </c>
      <c r="F297" s="95" t="s">
        <v>886</v>
      </c>
      <c r="G297" s="82" t="s">
        <v>349</v>
      </c>
      <c r="H297" s="90" t="s">
        <v>335</v>
      </c>
      <c r="I297" s="96" t="s">
        <v>379</v>
      </c>
      <c r="J297" s="97" t="s">
        <v>380</v>
      </c>
      <c r="K297" s="97" t="s">
        <v>389</v>
      </c>
      <c r="L297" s="97">
        <v>2089327.0</v>
      </c>
      <c r="M297" s="97" t="s">
        <v>904</v>
      </c>
      <c r="N297" s="97" t="s">
        <v>380</v>
      </c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</row>
    <row r="298" ht="36.75" customHeight="1">
      <c r="A298" s="90" t="s">
        <v>335</v>
      </c>
      <c r="B298" s="82" t="s">
        <v>336</v>
      </c>
      <c r="C298" s="82" t="s">
        <v>348</v>
      </c>
      <c r="D298" s="82" t="s">
        <v>355</v>
      </c>
      <c r="E298" s="95">
        <v>6568971.0</v>
      </c>
      <c r="F298" s="95" t="s">
        <v>886</v>
      </c>
      <c r="G298" s="82" t="s">
        <v>349</v>
      </c>
      <c r="H298" s="90" t="s">
        <v>335</v>
      </c>
      <c r="I298" s="96" t="s">
        <v>379</v>
      </c>
      <c r="J298" s="97" t="s">
        <v>380</v>
      </c>
      <c r="K298" s="97" t="s">
        <v>390</v>
      </c>
      <c r="L298" s="97">
        <v>2088487.0</v>
      </c>
      <c r="M298" s="97" t="s">
        <v>1068</v>
      </c>
      <c r="N298" s="97" t="s">
        <v>390</v>
      </c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</row>
    <row r="299" ht="36.75" customHeight="1">
      <c r="A299" s="90" t="s">
        <v>335</v>
      </c>
      <c r="B299" s="82" t="s">
        <v>336</v>
      </c>
      <c r="C299" s="82" t="s">
        <v>348</v>
      </c>
      <c r="D299" s="82" t="s">
        <v>356</v>
      </c>
      <c r="E299" s="95">
        <v>6568971.0</v>
      </c>
      <c r="F299" s="95" t="s">
        <v>886</v>
      </c>
      <c r="G299" s="82" t="s">
        <v>349</v>
      </c>
      <c r="H299" s="90" t="s">
        <v>335</v>
      </c>
      <c r="I299" s="96" t="s">
        <v>379</v>
      </c>
      <c r="J299" s="97" t="s">
        <v>380</v>
      </c>
      <c r="K299" s="97" t="s">
        <v>391</v>
      </c>
      <c r="L299" s="97">
        <v>2089327.0</v>
      </c>
      <c r="M299" s="97" t="s">
        <v>904</v>
      </c>
      <c r="N299" s="97" t="s">
        <v>380</v>
      </c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</row>
    <row r="300" ht="36.75" customHeight="1">
      <c r="A300" s="90" t="s">
        <v>335</v>
      </c>
      <c r="B300" s="82" t="s">
        <v>336</v>
      </c>
      <c r="C300" s="82" t="s">
        <v>348</v>
      </c>
      <c r="D300" s="82" t="s">
        <v>357</v>
      </c>
      <c r="E300" s="95">
        <v>6568971.0</v>
      </c>
      <c r="F300" s="95" t="s">
        <v>886</v>
      </c>
      <c r="G300" s="82" t="s">
        <v>349</v>
      </c>
      <c r="H300" s="90" t="s">
        <v>335</v>
      </c>
      <c r="I300" s="96" t="s">
        <v>379</v>
      </c>
      <c r="J300" s="97" t="s">
        <v>380</v>
      </c>
      <c r="K300" s="97" t="s">
        <v>392</v>
      </c>
      <c r="L300" s="97">
        <v>2089327.0</v>
      </c>
      <c r="M300" s="97" t="s">
        <v>904</v>
      </c>
      <c r="N300" s="97" t="s">
        <v>380</v>
      </c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</row>
    <row r="301" ht="36.75" customHeight="1">
      <c r="A301" s="90" t="s">
        <v>335</v>
      </c>
      <c r="B301" s="82" t="s">
        <v>336</v>
      </c>
      <c r="C301" s="82" t="s">
        <v>348</v>
      </c>
      <c r="D301" s="82" t="s">
        <v>358</v>
      </c>
      <c r="E301" s="95">
        <v>6568971.0</v>
      </c>
      <c r="F301" s="95" t="s">
        <v>886</v>
      </c>
      <c r="G301" s="82" t="s">
        <v>349</v>
      </c>
      <c r="H301" s="90" t="s">
        <v>335</v>
      </c>
      <c r="I301" s="96" t="s">
        <v>379</v>
      </c>
      <c r="J301" s="97" t="s">
        <v>380</v>
      </c>
      <c r="K301" s="97" t="s">
        <v>393</v>
      </c>
      <c r="L301" s="97">
        <v>2089327.0</v>
      </c>
      <c r="M301" s="97" t="s">
        <v>904</v>
      </c>
      <c r="N301" s="97" t="s">
        <v>380</v>
      </c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</row>
    <row r="302" ht="36.75" customHeight="1">
      <c r="A302" s="90" t="s">
        <v>335</v>
      </c>
      <c r="B302" s="82" t="s">
        <v>336</v>
      </c>
      <c r="C302" s="82" t="s">
        <v>348</v>
      </c>
      <c r="D302" s="82" t="s">
        <v>359</v>
      </c>
      <c r="E302" s="95">
        <v>6568971.0</v>
      </c>
      <c r="F302" s="95" t="s">
        <v>886</v>
      </c>
      <c r="G302" s="82" t="s">
        <v>349</v>
      </c>
      <c r="H302" s="90" t="s">
        <v>335</v>
      </c>
      <c r="I302" s="96" t="s">
        <v>379</v>
      </c>
      <c r="J302" s="97" t="s">
        <v>380</v>
      </c>
      <c r="K302" s="97" t="s">
        <v>394</v>
      </c>
      <c r="L302" s="97">
        <v>2089327.0</v>
      </c>
      <c r="M302" s="97" t="s">
        <v>904</v>
      </c>
      <c r="N302" s="97" t="s">
        <v>380</v>
      </c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</row>
    <row r="303" ht="36.75" customHeight="1">
      <c r="A303" s="90" t="s">
        <v>335</v>
      </c>
      <c r="B303" s="82" t="s">
        <v>336</v>
      </c>
      <c r="C303" s="82" t="s">
        <v>348</v>
      </c>
      <c r="D303" s="82" t="s">
        <v>360</v>
      </c>
      <c r="E303" s="95">
        <v>6568971.0</v>
      </c>
      <c r="F303" s="95" t="s">
        <v>886</v>
      </c>
      <c r="G303" s="82" t="s">
        <v>349</v>
      </c>
      <c r="H303" s="90" t="s">
        <v>335</v>
      </c>
      <c r="I303" s="96" t="s">
        <v>379</v>
      </c>
      <c r="J303" s="97" t="s">
        <v>380</v>
      </c>
      <c r="K303" s="97" t="s">
        <v>395</v>
      </c>
      <c r="L303" s="97">
        <v>2089327.0</v>
      </c>
      <c r="M303" s="97" t="s">
        <v>904</v>
      </c>
      <c r="N303" s="97" t="s">
        <v>380</v>
      </c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</row>
    <row r="304" ht="36.75" customHeight="1">
      <c r="A304" s="90" t="s">
        <v>335</v>
      </c>
      <c r="B304" s="82" t="s">
        <v>336</v>
      </c>
      <c r="C304" s="82" t="s">
        <v>361</v>
      </c>
      <c r="D304" s="82" t="s">
        <v>362</v>
      </c>
      <c r="E304" s="95">
        <v>6572367.0</v>
      </c>
      <c r="F304" s="95" t="s">
        <v>874</v>
      </c>
      <c r="G304" s="95" t="s">
        <v>1295</v>
      </c>
      <c r="H304" s="90" t="s">
        <v>335</v>
      </c>
      <c r="I304" s="96" t="s">
        <v>379</v>
      </c>
      <c r="J304" s="97" t="s">
        <v>380</v>
      </c>
      <c r="K304" s="97" t="s">
        <v>396</v>
      </c>
      <c r="L304" s="97">
        <v>2089327.0</v>
      </c>
      <c r="M304" s="97" t="s">
        <v>904</v>
      </c>
      <c r="N304" s="97" t="s">
        <v>380</v>
      </c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</row>
    <row r="305" ht="36.75" customHeight="1">
      <c r="A305" s="90" t="s">
        <v>335</v>
      </c>
      <c r="B305" s="82" t="s">
        <v>336</v>
      </c>
      <c r="C305" s="82" t="s">
        <v>361</v>
      </c>
      <c r="D305" s="82" t="s">
        <v>363</v>
      </c>
      <c r="E305" s="95">
        <v>6572367.0</v>
      </c>
      <c r="F305" s="95" t="s">
        <v>874</v>
      </c>
      <c r="G305" s="95" t="s">
        <v>1296</v>
      </c>
      <c r="H305" s="90" t="s">
        <v>335</v>
      </c>
      <c r="I305" s="96" t="s">
        <v>379</v>
      </c>
      <c r="J305" s="97" t="s">
        <v>380</v>
      </c>
      <c r="K305" s="97" t="s">
        <v>397</v>
      </c>
      <c r="L305" s="97">
        <v>2089327.0</v>
      </c>
      <c r="M305" s="97" t="s">
        <v>904</v>
      </c>
      <c r="N305" s="97" t="s">
        <v>380</v>
      </c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</row>
    <row r="306" ht="36.75" customHeight="1">
      <c r="A306" s="90" t="s">
        <v>335</v>
      </c>
      <c r="B306" s="82" t="s">
        <v>336</v>
      </c>
      <c r="C306" s="82" t="s">
        <v>361</v>
      </c>
      <c r="D306" s="82" t="s">
        <v>364</v>
      </c>
      <c r="E306" s="95">
        <v>6572367.0</v>
      </c>
      <c r="F306" s="95" t="s">
        <v>874</v>
      </c>
      <c r="G306" s="95" t="s">
        <v>1297</v>
      </c>
      <c r="H306" s="90" t="s">
        <v>335</v>
      </c>
      <c r="I306" s="96" t="s">
        <v>379</v>
      </c>
      <c r="J306" s="97" t="s">
        <v>380</v>
      </c>
      <c r="K306" s="97" t="s">
        <v>398</v>
      </c>
      <c r="L306" s="97">
        <v>2089327.0</v>
      </c>
      <c r="M306" s="97" t="s">
        <v>904</v>
      </c>
      <c r="N306" s="97" t="s">
        <v>380</v>
      </c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</row>
    <row r="307" ht="36.75" customHeight="1">
      <c r="A307" s="90" t="s">
        <v>335</v>
      </c>
      <c r="B307" s="82" t="s">
        <v>336</v>
      </c>
      <c r="C307" s="82" t="s">
        <v>361</v>
      </c>
      <c r="D307" s="82" t="s">
        <v>365</v>
      </c>
      <c r="E307" s="95">
        <v>6572367.0</v>
      </c>
      <c r="F307" s="95" t="s">
        <v>874</v>
      </c>
      <c r="G307" s="95" t="s">
        <v>1298</v>
      </c>
      <c r="H307" s="90" t="s">
        <v>335</v>
      </c>
      <c r="I307" s="96" t="s">
        <v>379</v>
      </c>
      <c r="J307" s="97" t="s">
        <v>399</v>
      </c>
      <c r="K307" s="97" t="s">
        <v>400</v>
      </c>
      <c r="L307" s="97">
        <v>2093332.0</v>
      </c>
      <c r="M307" s="97" t="s">
        <v>1069</v>
      </c>
      <c r="N307" s="97" t="s">
        <v>399</v>
      </c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</row>
    <row r="308" ht="36.75" customHeight="1">
      <c r="A308" s="90" t="s">
        <v>335</v>
      </c>
      <c r="B308" s="82" t="s">
        <v>336</v>
      </c>
      <c r="C308" s="82" t="s">
        <v>361</v>
      </c>
      <c r="D308" s="82" t="s">
        <v>366</v>
      </c>
      <c r="E308" s="95">
        <v>6572367.0</v>
      </c>
      <c r="F308" s="95" t="s">
        <v>874</v>
      </c>
      <c r="G308" s="95" t="s">
        <v>1299</v>
      </c>
      <c r="H308" s="90" t="s">
        <v>335</v>
      </c>
      <c r="I308" s="96" t="s">
        <v>379</v>
      </c>
      <c r="J308" s="97" t="s">
        <v>399</v>
      </c>
      <c r="K308" s="97" t="s">
        <v>401</v>
      </c>
      <c r="L308" s="97">
        <v>2093332.0</v>
      </c>
      <c r="M308" s="97" t="s">
        <v>1069</v>
      </c>
      <c r="N308" s="97" t="s">
        <v>399</v>
      </c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</row>
    <row r="309" ht="36.75" customHeight="1">
      <c r="A309" s="90" t="s">
        <v>335</v>
      </c>
      <c r="B309" s="82" t="s">
        <v>336</v>
      </c>
      <c r="C309" s="82" t="s">
        <v>361</v>
      </c>
      <c r="D309" s="82" t="s">
        <v>367</v>
      </c>
      <c r="E309" s="95">
        <v>6572367.0</v>
      </c>
      <c r="F309" s="95" t="s">
        <v>874</v>
      </c>
      <c r="G309" s="95" t="s">
        <v>1300</v>
      </c>
      <c r="H309" s="90" t="s">
        <v>335</v>
      </c>
      <c r="I309" s="96" t="s">
        <v>379</v>
      </c>
      <c r="J309" s="97" t="s">
        <v>399</v>
      </c>
      <c r="K309" s="97" t="s">
        <v>402</v>
      </c>
      <c r="L309" s="97">
        <v>2093332.0</v>
      </c>
      <c r="M309" s="97" t="s">
        <v>1069</v>
      </c>
      <c r="N309" s="97" t="s">
        <v>399</v>
      </c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</row>
    <row r="310" ht="36.75" customHeight="1">
      <c r="A310" s="90" t="s">
        <v>335</v>
      </c>
      <c r="B310" s="82" t="s">
        <v>336</v>
      </c>
      <c r="C310" s="82" t="s">
        <v>361</v>
      </c>
      <c r="D310" s="82" t="s">
        <v>368</v>
      </c>
      <c r="E310" s="95">
        <v>6572367.0</v>
      </c>
      <c r="F310" s="95" t="s">
        <v>874</v>
      </c>
      <c r="G310" s="95" t="s">
        <v>1301</v>
      </c>
      <c r="H310" s="90" t="s">
        <v>335</v>
      </c>
      <c r="I310" s="96" t="s">
        <v>379</v>
      </c>
      <c r="J310" s="97" t="s">
        <v>399</v>
      </c>
      <c r="K310" s="97" t="s">
        <v>399</v>
      </c>
      <c r="L310" s="97">
        <v>2093332.0</v>
      </c>
      <c r="M310" s="97" t="s">
        <v>1069</v>
      </c>
      <c r="N310" s="97" t="s">
        <v>399</v>
      </c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</row>
    <row r="311" ht="36.75" customHeight="1">
      <c r="A311" s="90" t="s">
        <v>335</v>
      </c>
      <c r="B311" s="82" t="s">
        <v>336</v>
      </c>
      <c r="C311" s="82" t="s">
        <v>361</v>
      </c>
      <c r="D311" s="82" t="s">
        <v>369</v>
      </c>
      <c r="E311" s="95">
        <v>6572367.0</v>
      </c>
      <c r="F311" s="95" t="s">
        <v>874</v>
      </c>
      <c r="G311" s="95" t="s">
        <v>1302</v>
      </c>
      <c r="H311" s="90" t="s">
        <v>335</v>
      </c>
      <c r="I311" s="96" t="s">
        <v>379</v>
      </c>
      <c r="J311" s="97" t="s">
        <v>399</v>
      </c>
      <c r="K311" s="97" t="s">
        <v>403</v>
      </c>
      <c r="L311" s="97">
        <v>2093332.0</v>
      </c>
      <c r="M311" s="97" t="s">
        <v>1069</v>
      </c>
      <c r="N311" s="97" t="s">
        <v>399</v>
      </c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  <c r="AA311" s="80"/>
    </row>
    <row r="312" ht="36.75" customHeight="1">
      <c r="A312" s="90" t="s">
        <v>335</v>
      </c>
      <c r="B312" s="82" t="s">
        <v>336</v>
      </c>
      <c r="C312" s="82" t="s">
        <v>361</v>
      </c>
      <c r="D312" s="82" t="s">
        <v>370</v>
      </c>
      <c r="E312" s="95">
        <v>6572367.0</v>
      </c>
      <c r="F312" s="95" t="s">
        <v>874</v>
      </c>
      <c r="G312" s="95" t="s">
        <v>1303</v>
      </c>
      <c r="H312" s="90" t="s">
        <v>335</v>
      </c>
      <c r="I312" s="96" t="s">
        <v>379</v>
      </c>
      <c r="J312" s="97" t="s">
        <v>399</v>
      </c>
      <c r="K312" s="97" t="s">
        <v>404</v>
      </c>
      <c r="L312" s="97">
        <v>2093332.0</v>
      </c>
      <c r="M312" s="97" t="s">
        <v>1069</v>
      </c>
      <c r="N312" s="97" t="s">
        <v>399</v>
      </c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</row>
    <row r="313" ht="36.75" customHeight="1">
      <c r="A313" s="90" t="s">
        <v>335</v>
      </c>
      <c r="B313" s="82" t="s">
        <v>336</v>
      </c>
      <c r="C313" s="82" t="s">
        <v>361</v>
      </c>
      <c r="D313" s="82" t="s">
        <v>371</v>
      </c>
      <c r="E313" s="95">
        <v>6572367.0</v>
      </c>
      <c r="F313" s="95" t="s">
        <v>874</v>
      </c>
      <c r="G313" s="95" t="s">
        <v>1304</v>
      </c>
      <c r="H313" s="90" t="s">
        <v>335</v>
      </c>
      <c r="I313" s="96" t="s">
        <v>379</v>
      </c>
      <c r="J313" s="97" t="s">
        <v>405</v>
      </c>
      <c r="K313" s="97" t="s">
        <v>406</v>
      </c>
      <c r="L313" s="97">
        <v>2079895.0</v>
      </c>
      <c r="M313" s="97" t="s">
        <v>1070</v>
      </c>
      <c r="N313" s="97" t="s">
        <v>405</v>
      </c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</row>
    <row r="314" ht="36.75" customHeight="1">
      <c r="A314" s="90" t="s">
        <v>335</v>
      </c>
      <c r="B314" s="82" t="s">
        <v>336</v>
      </c>
      <c r="C314" s="82" t="s">
        <v>361</v>
      </c>
      <c r="D314" s="82" t="s">
        <v>372</v>
      </c>
      <c r="E314" s="95">
        <v>6572367.0</v>
      </c>
      <c r="F314" s="95" t="s">
        <v>874</v>
      </c>
      <c r="G314" s="95" t="s">
        <v>1305</v>
      </c>
      <c r="H314" s="90" t="s">
        <v>335</v>
      </c>
      <c r="I314" s="96" t="s">
        <v>379</v>
      </c>
      <c r="J314" s="97" t="s">
        <v>405</v>
      </c>
      <c r="K314" s="97" t="s">
        <v>407</v>
      </c>
      <c r="L314" s="97">
        <v>2079895.0</v>
      </c>
      <c r="M314" s="97" t="s">
        <v>1070</v>
      </c>
      <c r="N314" s="97" t="s">
        <v>405</v>
      </c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</row>
    <row r="315" ht="36.75" customHeight="1">
      <c r="A315" s="90" t="s">
        <v>335</v>
      </c>
      <c r="B315" s="82" t="s">
        <v>336</v>
      </c>
      <c r="C315" s="82" t="s">
        <v>361</v>
      </c>
      <c r="D315" s="82" t="s">
        <v>373</v>
      </c>
      <c r="E315" s="95">
        <v>6572367.0</v>
      </c>
      <c r="F315" s="95" t="s">
        <v>874</v>
      </c>
      <c r="G315" s="95" t="s">
        <v>1306</v>
      </c>
      <c r="H315" s="90" t="s">
        <v>335</v>
      </c>
      <c r="I315" s="96" t="s">
        <v>379</v>
      </c>
      <c r="J315" s="97" t="s">
        <v>405</v>
      </c>
      <c r="K315" s="97" t="s">
        <v>408</v>
      </c>
      <c r="L315" s="97">
        <v>2079895.0</v>
      </c>
      <c r="M315" s="97" t="s">
        <v>1070</v>
      </c>
      <c r="N315" s="97" t="s">
        <v>405</v>
      </c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</row>
    <row r="316" ht="36.75" customHeight="1">
      <c r="A316" s="90" t="s">
        <v>335</v>
      </c>
      <c r="B316" s="82" t="s">
        <v>336</v>
      </c>
      <c r="C316" s="82" t="s">
        <v>361</v>
      </c>
      <c r="D316" s="82" t="s">
        <v>374</v>
      </c>
      <c r="E316" s="95">
        <v>6572367.0</v>
      </c>
      <c r="F316" s="95" t="s">
        <v>874</v>
      </c>
      <c r="G316" s="95" t="s">
        <v>1307</v>
      </c>
      <c r="H316" s="90" t="s">
        <v>335</v>
      </c>
      <c r="I316" s="96" t="s">
        <v>379</v>
      </c>
      <c r="J316" s="97" t="s">
        <v>405</v>
      </c>
      <c r="K316" s="97" t="s">
        <v>409</v>
      </c>
      <c r="L316" s="97">
        <v>2079895.0</v>
      </c>
      <c r="M316" s="97" t="s">
        <v>1070</v>
      </c>
      <c r="N316" s="97" t="s">
        <v>405</v>
      </c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</row>
    <row r="317" ht="36.75" customHeight="1">
      <c r="A317" s="90" t="s">
        <v>335</v>
      </c>
      <c r="B317" s="82" t="s">
        <v>336</v>
      </c>
      <c r="C317" s="82" t="s">
        <v>361</v>
      </c>
      <c r="D317" s="82" t="s">
        <v>375</v>
      </c>
      <c r="E317" s="95">
        <v>6572367.0</v>
      </c>
      <c r="F317" s="95" t="s">
        <v>874</v>
      </c>
      <c r="G317" s="95" t="s">
        <v>1308</v>
      </c>
      <c r="H317" s="90" t="s">
        <v>335</v>
      </c>
      <c r="I317" s="96" t="s">
        <v>379</v>
      </c>
      <c r="J317" s="97" t="s">
        <v>405</v>
      </c>
      <c r="K317" s="97" t="s">
        <v>405</v>
      </c>
      <c r="L317" s="97">
        <v>2079895.0</v>
      </c>
      <c r="M317" s="97" t="s">
        <v>1070</v>
      </c>
      <c r="N317" s="97" t="s">
        <v>405</v>
      </c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</row>
    <row r="318" ht="36.75" customHeight="1">
      <c r="A318" s="90" t="s">
        <v>335</v>
      </c>
      <c r="B318" s="82" t="s">
        <v>336</v>
      </c>
      <c r="C318" s="82" t="s">
        <v>361</v>
      </c>
      <c r="D318" s="82" t="s">
        <v>376</v>
      </c>
      <c r="E318" s="95">
        <v>6572367.0</v>
      </c>
      <c r="F318" s="95" t="s">
        <v>874</v>
      </c>
      <c r="G318" s="95" t="s">
        <v>1309</v>
      </c>
      <c r="H318" s="90" t="s">
        <v>335</v>
      </c>
      <c r="I318" s="96" t="s">
        <v>379</v>
      </c>
      <c r="J318" s="97" t="s">
        <v>405</v>
      </c>
      <c r="K318" s="97" t="s">
        <v>410</v>
      </c>
      <c r="L318" s="97">
        <v>2079895.0</v>
      </c>
      <c r="M318" s="97" t="s">
        <v>1070</v>
      </c>
      <c r="N318" s="97" t="s">
        <v>405</v>
      </c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</row>
    <row r="319" ht="36.75" customHeight="1">
      <c r="A319" s="90" t="s">
        <v>335</v>
      </c>
      <c r="B319" s="82" t="s">
        <v>336</v>
      </c>
      <c r="C319" s="82" t="s">
        <v>361</v>
      </c>
      <c r="D319" s="82" t="s">
        <v>377</v>
      </c>
      <c r="E319" s="95">
        <v>6572367.0</v>
      </c>
      <c r="F319" s="95" t="s">
        <v>874</v>
      </c>
      <c r="G319" s="95" t="s">
        <v>1310</v>
      </c>
      <c r="H319" s="90" t="s">
        <v>335</v>
      </c>
      <c r="I319" s="96" t="s">
        <v>379</v>
      </c>
      <c r="J319" s="97" t="s">
        <v>405</v>
      </c>
      <c r="K319" s="97" t="s">
        <v>411</v>
      </c>
      <c r="L319" s="97">
        <v>2079895.0</v>
      </c>
      <c r="M319" s="97" t="s">
        <v>1070</v>
      </c>
      <c r="N319" s="97" t="s">
        <v>405</v>
      </c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</row>
    <row r="320" ht="36.75" customHeight="1">
      <c r="A320" s="90" t="s">
        <v>335</v>
      </c>
      <c r="B320" s="82" t="s">
        <v>336</v>
      </c>
      <c r="C320" s="82" t="s">
        <v>361</v>
      </c>
      <c r="D320" s="82" t="s">
        <v>378</v>
      </c>
      <c r="E320" s="95">
        <v>6572367.0</v>
      </c>
      <c r="F320" s="95" t="s">
        <v>874</v>
      </c>
      <c r="G320" s="95" t="s">
        <v>1311</v>
      </c>
      <c r="H320" s="90" t="s">
        <v>335</v>
      </c>
      <c r="I320" s="96" t="s">
        <v>379</v>
      </c>
      <c r="J320" s="97" t="s">
        <v>405</v>
      </c>
      <c r="K320" s="97" t="s">
        <v>412</v>
      </c>
      <c r="L320" s="97">
        <v>2079895.0</v>
      </c>
      <c r="M320" s="97" t="s">
        <v>1070</v>
      </c>
      <c r="N320" s="97" t="s">
        <v>405</v>
      </c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</row>
    <row r="321" ht="36.75" customHeight="1">
      <c r="A321" s="90" t="s">
        <v>335</v>
      </c>
      <c r="B321" s="96" t="s">
        <v>379</v>
      </c>
      <c r="C321" s="97" t="s">
        <v>380</v>
      </c>
      <c r="D321" s="97" t="s">
        <v>381</v>
      </c>
      <c r="E321" s="97">
        <v>2089327.0</v>
      </c>
      <c r="F321" s="97" t="s">
        <v>904</v>
      </c>
      <c r="G321" s="97" t="s">
        <v>380</v>
      </c>
      <c r="H321" s="90" t="s">
        <v>335</v>
      </c>
      <c r="I321" s="96" t="s">
        <v>379</v>
      </c>
      <c r="J321" s="97" t="s">
        <v>405</v>
      </c>
      <c r="K321" s="97" t="s">
        <v>413</v>
      </c>
      <c r="L321" s="97">
        <v>2079895.0</v>
      </c>
      <c r="M321" s="97" t="s">
        <v>1070</v>
      </c>
      <c r="N321" s="97" t="s">
        <v>405</v>
      </c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</row>
    <row r="322" ht="36.75" customHeight="1">
      <c r="A322" s="90" t="s">
        <v>335</v>
      </c>
      <c r="B322" s="96" t="s">
        <v>379</v>
      </c>
      <c r="C322" s="97" t="s">
        <v>380</v>
      </c>
      <c r="D322" s="97" t="s">
        <v>380</v>
      </c>
      <c r="E322" s="97">
        <v>2089327.0</v>
      </c>
      <c r="F322" s="97" t="s">
        <v>904</v>
      </c>
      <c r="G322" s="97" t="s">
        <v>380</v>
      </c>
      <c r="H322" s="90" t="s">
        <v>335</v>
      </c>
      <c r="I322" s="96" t="s">
        <v>379</v>
      </c>
      <c r="J322" s="97" t="s">
        <v>405</v>
      </c>
      <c r="K322" s="97" t="s">
        <v>414</v>
      </c>
      <c r="L322" s="97">
        <v>2079895.0</v>
      </c>
      <c r="M322" s="97" t="s">
        <v>1070</v>
      </c>
      <c r="N322" s="97" t="s">
        <v>405</v>
      </c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</row>
    <row r="323" ht="36.75" customHeight="1">
      <c r="A323" s="90" t="s">
        <v>335</v>
      </c>
      <c r="B323" s="96" t="s">
        <v>379</v>
      </c>
      <c r="C323" s="97" t="s">
        <v>380</v>
      </c>
      <c r="D323" s="97" t="s">
        <v>382</v>
      </c>
      <c r="E323" s="97">
        <v>2089327.0</v>
      </c>
      <c r="F323" s="97" t="s">
        <v>904</v>
      </c>
      <c r="G323" s="97" t="s">
        <v>380</v>
      </c>
      <c r="H323" s="90" t="s">
        <v>335</v>
      </c>
      <c r="I323" s="96" t="s">
        <v>379</v>
      </c>
      <c r="J323" s="97" t="s">
        <v>405</v>
      </c>
      <c r="K323" s="97" t="s">
        <v>415</v>
      </c>
      <c r="L323" s="97">
        <v>2079895.0</v>
      </c>
      <c r="M323" s="97" t="s">
        <v>1070</v>
      </c>
      <c r="N323" s="97" t="s">
        <v>405</v>
      </c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</row>
    <row r="324" ht="36.75" customHeight="1">
      <c r="A324" s="90" t="s">
        <v>335</v>
      </c>
      <c r="B324" s="96" t="s">
        <v>379</v>
      </c>
      <c r="C324" s="97" t="s">
        <v>380</v>
      </c>
      <c r="D324" s="97" t="s">
        <v>383</v>
      </c>
      <c r="E324" s="97">
        <v>2089327.0</v>
      </c>
      <c r="F324" s="97" t="s">
        <v>904</v>
      </c>
      <c r="G324" s="97" t="s">
        <v>380</v>
      </c>
      <c r="H324" s="90" t="s">
        <v>335</v>
      </c>
      <c r="I324" s="96" t="s">
        <v>379</v>
      </c>
      <c r="J324" s="97" t="s">
        <v>405</v>
      </c>
      <c r="K324" s="97" t="s">
        <v>416</v>
      </c>
      <c r="L324" s="97">
        <v>2079895.0</v>
      </c>
      <c r="M324" s="97" t="s">
        <v>1070</v>
      </c>
      <c r="N324" s="97" t="s">
        <v>405</v>
      </c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</row>
    <row r="325" ht="36.75" customHeight="1">
      <c r="A325" s="90" t="s">
        <v>335</v>
      </c>
      <c r="B325" s="96" t="s">
        <v>379</v>
      </c>
      <c r="C325" s="97" t="s">
        <v>380</v>
      </c>
      <c r="D325" s="97" t="s">
        <v>384</v>
      </c>
      <c r="E325" s="97">
        <v>2089327.0</v>
      </c>
      <c r="F325" s="97" t="s">
        <v>904</v>
      </c>
      <c r="G325" s="97" t="s">
        <v>380</v>
      </c>
      <c r="H325" s="90" t="s">
        <v>335</v>
      </c>
      <c r="I325" s="96" t="s">
        <v>379</v>
      </c>
      <c r="J325" s="97" t="s">
        <v>405</v>
      </c>
      <c r="K325" s="97" t="s">
        <v>417</v>
      </c>
      <c r="L325" s="97">
        <v>2079895.0</v>
      </c>
      <c r="M325" s="97" t="s">
        <v>1070</v>
      </c>
      <c r="N325" s="97" t="s">
        <v>405</v>
      </c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</row>
    <row r="326" ht="36.75" customHeight="1">
      <c r="A326" s="90" t="s">
        <v>335</v>
      </c>
      <c r="B326" s="96" t="s">
        <v>379</v>
      </c>
      <c r="C326" s="97" t="s">
        <v>380</v>
      </c>
      <c r="D326" s="97" t="s">
        <v>385</v>
      </c>
      <c r="E326" s="97">
        <v>2089327.0</v>
      </c>
      <c r="F326" s="97" t="s">
        <v>904</v>
      </c>
      <c r="G326" s="97" t="s">
        <v>380</v>
      </c>
      <c r="H326" s="90" t="s">
        <v>335</v>
      </c>
      <c r="I326" s="96" t="s">
        <v>379</v>
      </c>
      <c r="J326" s="97" t="s">
        <v>405</v>
      </c>
      <c r="K326" s="97" t="s">
        <v>418</v>
      </c>
      <c r="L326" s="97">
        <v>2079895.0</v>
      </c>
      <c r="M326" s="97" t="s">
        <v>1070</v>
      </c>
      <c r="N326" s="97" t="s">
        <v>405</v>
      </c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</row>
    <row r="327" ht="36.75" customHeight="1">
      <c r="A327" s="90" t="s">
        <v>335</v>
      </c>
      <c r="B327" s="96" t="s">
        <v>379</v>
      </c>
      <c r="C327" s="97" t="s">
        <v>380</v>
      </c>
      <c r="D327" s="97" t="s">
        <v>386</v>
      </c>
      <c r="E327" s="97">
        <v>2089327.0</v>
      </c>
      <c r="F327" s="97" t="s">
        <v>904</v>
      </c>
      <c r="G327" s="97" t="s">
        <v>380</v>
      </c>
      <c r="H327" s="90" t="s">
        <v>335</v>
      </c>
      <c r="I327" s="96" t="s">
        <v>379</v>
      </c>
      <c r="J327" s="97" t="s">
        <v>405</v>
      </c>
      <c r="K327" s="97" t="s">
        <v>419</v>
      </c>
      <c r="L327" s="97">
        <v>2079895.0</v>
      </c>
      <c r="M327" s="97" t="s">
        <v>1070</v>
      </c>
      <c r="N327" s="97" t="s">
        <v>405</v>
      </c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</row>
    <row r="328" ht="36.75" customHeight="1">
      <c r="A328" s="90" t="s">
        <v>335</v>
      </c>
      <c r="B328" s="96" t="s">
        <v>379</v>
      </c>
      <c r="C328" s="97" t="s">
        <v>380</v>
      </c>
      <c r="D328" s="97" t="s">
        <v>387</v>
      </c>
      <c r="E328" s="97">
        <v>2089327.0</v>
      </c>
      <c r="F328" s="97" t="s">
        <v>904</v>
      </c>
      <c r="G328" s="97" t="s">
        <v>380</v>
      </c>
      <c r="H328" s="90" t="s">
        <v>335</v>
      </c>
      <c r="I328" s="96" t="s">
        <v>379</v>
      </c>
      <c r="J328" s="97" t="s">
        <v>405</v>
      </c>
      <c r="K328" s="97" t="s">
        <v>420</v>
      </c>
      <c r="L328" s="97">
        <v>2079895.0</v>
      </c>
      <c r="M328" s="97" t="s">
        <v>1070</v>
      </c>
      <c r="N328" s="97" t="s">
        <v>405</v>
      </c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</row>
    <row r="329" ht="36.75" customHeight="1">
      <c r="A329" s="90" t="s">
        <v>335</v>
      </c>
      <c r="B329" s="96" t="s">
        <v>379</v>
      </c>
      <c r="C329" s="97" t="s">
        <v>380</v>
      </c>
      <c r="D329" s="97" t="s">
        <v>388</v>
      </c>
      <c r="E329" s="97">
        <v>2089327.0</v>
      </c>
      <c r="F329" s="97" t="s">
        <v>904</v>
      </c>
      <c r="G329" s="97" t="s">
        <v>380</v>
      </c>
      <c r="H329" s="90" t="s">
        <v>335</v>
      </c>
      <c r="I329" s="96" t="s">
        <v>379</v>
      </c>
      <c r="J329" s="97" t="s">
        <v>421</v>
      </c>
      <c r="K329" s="97" t="s">
        <v>422</v>
      </c>
      <c r="L329" s="97">
        <v>2093324.0</v>
      </c>
      <c r="M329" s="97" t="s">
        <v>1071</v>
      </c>
      <c r="N329" s="97" t="s">
        <v>421</v>
      </c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</row>
    <row r="330" ht="36.75" customHeight="1">
      <c r="A330" s="90" t="s">
        <v>335</v>
      </c>
      <c r="B330" s="96" t="s">
        <v>379</v>
      </c>
      <c r="C330" s="97" t="s">
        <v>380</v>
      </c>
      <c r="D330" s="97" t="s">
        <v>389</v>
      </c>
      <c r="E330" s="97">
        <v>2089327.0</v>
      </c>
      <c r="F330" s="97" t="s">
        <v>904</v>
      </c>
      <c r="G330" s="97" t="s">
        <v>380</v>
      </c>
      <c r="H330" s="90" t="s">
        <v>335</v>
      </c>
      <c r="I330" s="96" t="s">
        <v>379</v>
      </c>
      <c r="J330" s="97" t="s">
        <v>421</v>
      </c>
      <c r="K330" s="97" t="s">
        <v>421</v>
      </c>
      <c r="L330" s="97">
        <v>2093324.0</v>
      </c>
      <c r="M330" s="97" t="s">
        <v>1071</v>
      </c>
      <c r="N330" s="97" t="s">
        <v>421</v>
      </c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</row>
    <row r="331" ht="36.75" customHeight="1">
      <c r="A331" s="90" t="s">
        <v>335</v>
      </c>
      <c r="B331" s="96" t="s">
        <v>379</v>
      </c>
      <c r="C331" s="97" t="s">
        <v>380</v>
      </c>
      <c r="D331" s="97" t="s">
        <v>390</v>
      </c>
      <c r="E331" s="97">
        <v>2089327.0</v>
      </c>
      <c r="F331" s="97" t="s">
        <v>904</v>
      </c>
      <c r="G331" s="97" t="s">
        <v>380</v>
      </c>
      <c r="H331" s="90" t="s">
        <v>335</v>
      </c>
      <c r="I331" s="96" t="s">
        <v>379</v>
      </c>
      <c r="J331" s="97" t="s">
        <v>421</v>
      </c>
      <c r="K331" s="97" t="s">
        <v>423</v>
      </c>
      <c r="L331" s="97">
        <v>2093324.0</v>
      </c>
      <c r="M331" s="97" t="s">
        <v>1071</v>
      </c>
      <c r="N331" s="97" t="s">
        <v>421</v>
      </c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</row>
    <row r="332" ht="36.75" customHeight="1">
      <c r="A332" s="90" t="s">
        <v>335</v>
      </c>
      <c r="B332" s="96" t="s">
        <v>379</v>
      </c>
      <c r="C332" s="97" t="s">
        <v>380</v>
      </c>
      <c r="D332" s="97" t="s">
        <v>391</v>
      </c>
      <c r="E332" s="97">
        <v>2089327.0</v>
      </c>
      <c r="F332" s="97" t="s">
        <v>904</v>
      </c>
      <c r="G332" s="97" t="s">
        <v>380</v>
      </c>
      <c r="H332" s="90" t="s">
        <v>335</v>
      </c>
      <c r="I332" s="96" t="s">
        <v>379</v>
      </c>
      <c r="J332" s="97" t="s">
        <v>421</v>
      </c>
      <c r="K332" s="97" t="s">
        <v>424</v>
      </c>
      <c r="L332" s="97">
        <v>2093324.0</v>
      </c>
      <c r="M332" s="97" t="s">
        <v>1071</v>
      </c>
      <c r="N332" s="97" t="s">
        <v>421</v>
      </c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</row>
    <row r="333" ht="36.75" customHeight="1">
      <c r="A333" s="90" t="s">
        <v>335</v>
      </c>
      <c r="B333" s="96" t="s">
        <v>379</v>
      </c>
      <c r="C333" s="97" t="s">
        <v>380</v>
      </c>
      <c r="D333" s="97" t="s">
        <v>392</v>
      </c>
      <c r="E333" s="97">
        <v>2089327.0</v>
      </c>
      <c r="F333" s="97" t="s">
        <v>904</v>
      </c>
      <c r="G333" s="97" t="s">
        <v>380</v>
      </c>
      <c r="H333" s="90" t="s">
        <v>335</v>
      </c>
      <c r="I333" s="96" t="s">
        <v>379</v>
      </c>
      <c r="J333" s="97" t="s">
        <v>421</v>
      </c>
      <c r="K333" s="97" t="s">
        <v>425</v>
      </c>
      <c r="L333" s="97">
        <v>2093324.0</v>
      </c>
      <c r="M333" s="97" t="s">
        <v>1071</v>
      </c>
      <c r="N333" s="97" t="s">
        <v>421</v>
      </c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</row>
    <row r="334" ht="36.75" customHeight="1">
      <c r="A334" s="90" t="s">
        <v>335</v>
      </c>
      <c r="B334" s="96" t="s">
        <v>379</v>
      </c>
      <c r="C334" s="97" t="s">
        <v>380</v>
      </c>
      <c r="D334" s="97" t="s">
        <v>393</v>
      </c>
      <c r="E334" s="97">
        <v>2089327.0</v>
      </c>
      <c r="F334" s="97" t="s">
        <v>904</v>
      </c>
      <c r="G334" s="97" t="s">
        <v>380</v>
      </c>
      <c r="H334" s="90" t="s">
        <v>335</v>
      </c>
      <c r="I334" s="96" t="s">
        <v>379</v>
      </c>
      <c r="J334" s="97" t="s">
        <v>421</v>
      </c>
      <c r="K334" s="97" t="s">
        <v>426</v>
      </c>
      <c r="L334" s="97">
        <v>2093324.0</v>
      </c>
      <c r="M334" s="97" t="s">
        <v>1071</v>
      </c>
      <c r="N334" s="97" t="s">
        <v>421</v>
      </c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</row>
    <row r="335" ht="36.75" customHeight="1">
      <c r="A335" s="90" t="s">
        <v>335</v>
      </c>
      <c r="B335" s="96" t="s">
        <v>379</v>
      </c>
      <c r="C335" s="97" t="s">
        <v>380</v>
      </c>
      <c r="D335" s="97" t="s">
        <v>394</v>
      </c>
      <c r="E335" s="97">
        <v>2089327.0</v>
      </c>
      <c r="F335" s="97" t="s">
        <v>904</v>
      </c>
      <c r="G335" s="97" t="s">
        <v>380</v>
      </c>
      <c r="H335" s="90" t="s">
        <v>335</v>
      </c>
      <c r="I335" s="96" t="s">
        <v>379</v>
      </c>
      <c r="J335" s="97" t="s">
        <v>421</v>
      </c>
      <c r="K335" s="97" t="s">
        <v>427</v>
      </c>
      <c r="L335" s="97">
        <v>2093324.0</v>
      </c>
      <c r="M335" s="97" t="s">
        <v>1071</v>
      </c>
      <c r="N335" s="97" t="s">
        <v>421</v>
      </c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</row>
    <row r="336" ht="36.75" customHeight="1">
      <c r="A336" s="90" t="s">
        <v>335</v>
      </c>
      <c r="B336" s="96" t="s">
        <v>379</v>
      </c>
      <c r="C336" s="97" t="s">
        <v>380</v>
      </c>
      <c r="D336" s="97" t="s">
        <v>395</v>
      </c>
      <c r="E336" s="97">
        <v>2089327.0</v>
      </c>
      <c r="F336" s="97" t="s">
        <v>904</v>
      </c>
      <c r="G336" s="97" t="s">
        <v>380</v>
      </c>
      <c r="H336" s="90" t="s">
        <v>335</v>
      </c>
      <c r="I336" s="96" t="s">
        <v>379</v>
      </c>
      <c r="J336" s="97" t="s">
        <v>421</v>
      </c>
      <c r="K336" s="97" t="s">
        <v>428</v>
      </c>
      <c r="L336" s="97">
        <v>2093324.0</v>
      </c>
      <c r="M336" s="97" t="s">
        <v>1071</v>
      </c>
      <c r="N336" s="97" t="s">
        <v>421</v>
      </c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  <c r="AA336" s="80"/>
    </row>
    <row r="337" ht="36.75" customHeight="1">
      <c r="A337" s="90" t="s">
        <v>335</v>
      </c>
      <c r="B337" s="96" t="s">
        <v>379</v>
      </c>
      <c r="C337" s="97" t="s">
        <v>380</v>
      </c>
      <c r="D337" s="97" t="s">
        <v>396</v>
      </c>
      <c r="E337" s="97">
        <v>2089327.0</v>
      </c>
      <c r="F337" s="97" t="s">
        <v>904</v>
      </c>
      <c r="G337" s="97" t="s">
        <v>380</v>
      </c>
      <c r="H337" s="90" t="s">
        <v>335</v>
      </c>
      <c r="I337" s="96" t="s">
        <v>379</v>
      </c>
      <c r="J337" s="97" t="s">
        <v>421</v>
      </c>
      <c r="K337" s="97" t="s">
        <v>429</v>
      </c>
      <c r="L337" s="97">
        <v>2093324.0</v>
      </c>
      <c r="M337" s="97" t="s">
        <v>1071</v>
      </c>
      <c r="N337" s="97" t="s">
        <v>421</v>
      </c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  <c r="AA337" s="80"/>
    </row>
    <row r="338" ht="36.75" customHeight="1">
      <c r="A338" s="90" t="s">
        <v>335</v>
      </c>
      <c r="B338" s="96" t="s">
        <v>379</v>
      </c>
      <c r="C338" s="97" t="s">
        <v>380</v>
      </c>
      <c r="D338" s="97" t="s">
        <v>397</v>
      </c>
      <c r="E338" s="97">
        <v>2089327.0</v>
      </c>
      <c r="F338" s="97" t="s">
        <v>904</v>
      </c>
      <c r="G338" s="97" t="s">
        <v>380</v>
      </c>
      <c r="H338" s="90" t="s">
        <v>335</v>
      </c>
      <c r="I338" s="96" t="s">
        <v>379</v>
      </c>
      <c r="J338" s="97" t="s">
        <v>421</v>
      </c>
      <c r="K338" s="97" t="s">
        <v>430</v>
      </c>
      <c r="L338" s="97">
        <v>2093324.0</v>
      </c>
      <c r="M338" s="97" t="s">
        <v>1071</v>
      </c>
      <c r="N338" s="97" t="s">
        <v>421</v>
      </c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  <c r="AA338" s="80"/>
    </row>
    <row r="339" ht="36.75" customHeight="1">
      <c r="A339" s="90" t="s">
        <v>335</v>
      </c>
      <c r="B339" s="96" t="s">
        <v>379</v>
      </c>
      <c r="C339" s="97" t="s">
        <v>380</v>
      </c>
      <c r="D339" s="97" t="s">
        <v>398</v>
      </c>
      <c r="E339" s="97">
        <v>2089327.0</v>
      </c>
      <c r="F339" s="97" t="s">
        <v>904</v>
      </c>
      <c r="G339" s="97" t="s">
        <v>380</v>
      </c>
      <c r="H339" s="90" t="s">
        <v>335</v>
      </c>
      <c r="I339" s="96" t="s">
        <v>379</v>
      </c>
      <c r="J339" s="97" t="s">
        <v>421</v>
      </c>
      <c r="K339" s="97" t="s">
        <v>431</v>
      </c>
      <c r="L339" s="97">
        <v>2093324.0</v>
      </c>
      <c r="M339" s="97" t="s">
        <v>1071</v>
      </c>
      <c r="N339" s="97" t="s">
        <v>421</v>
      </c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</row>
    <row r="340" ht="36.75" customHeight="1">
      <c r="A340" s="90" t="s">
        <v>335</v>
      </c>
      <c r="B340" s="96" t="s">
        <v>379</v>
      </c>
      <c r="C340" s="97" t="s">
        <v>399</v>
      </c>
      <c r="D340" s="97" t="s">
        <v>400</v>
      </c>
      <c r="E340" s="97">
        <v>2077396.0</v>
      </c>
      <c r="F340" s="97" t="s">
        <v>905</v>
      </c>
      <c r="G340" s="96" t="s">
        <v>379</v>
      </c>
      <c r="H340" s="90" t="s">
        <v>335</v>
      </c>
      <c r="I340" s="96" t="s">
        <v>379</v>
      </c>
      <c r="J340" s="97" t="s">
        <v>421</v>
      </c>
      <c r="K340" s="97" t="s">
        <v>432</v>
      </c>
      <c r="L340" s="97">
        <v>2093324.0</v>
      </c>
      <c r="M340" s="97" t="s">
        <v>1071</v>
      </c>
      <c r="N340" s="97" t="s">
        <v>421</v>
      </c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  <c r="AA340" s="80"/>
    </row>
    <row r="341" ht="36.75" customHeight="1">
      <c r="A341" s="90" t="s">
        <v>335</v>
      </c>
      <c r="B341" s="96" t="s">
        <v>379</v>
      </c>
      <c r="C341" s="97" t="s">
        <v>399</v>
      </c>
      <c r="D341" s="97" t="s">
        <v>401</v>
      </c>
      <c r="E341" s="97">
        <v>2077396.0</v>
      </c>
      <c r="F341" s="97" t="s">
        <v>905</v>
      </c>
      <c r="G341" s="96" t="s">
        <v>379</v>
      </c>
      <c r="H341" s="90" t="s">
        <v>335</v>
      </c>
      <c r="I341" s="96" t="s">
        <v>379</v>
      </c>
      <c r="J341" s="97" t="s">
        <v>421</v>
      </c>
      <c r="K341" s="97" t="s">
        <v>433</v>
      </c>
      <c r="L341" s="97">
        <v>2093324.0</v>
      </c>
      <c r="M341" s="97" t="s">
        <v>1071</v>
      </c>
      <c r="N341" s="97" t="s">
        <v>421</v>
      </c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  <c r="AA341" s="80"/>
    </row>
    <row r="342" ht="36.75" customHeight="1">
      <c r="A342" s="90" t="s">
        <v>335</v>
      </c>
      <c r="B342" s="96" t="s">
        <v>379</v>
      </c>
      <c r="C342" s="97" t="s">
        <v>399</v>
      </c>
      <c r="D342" s="97" t="s">
        <v>402</v>
      </c>
      <c r="E342" s="97">
        <v>2077396.0</v>
      </c>
      <c r="F342" s="97" t="s">
        <v>905</v>
      </c>
      <c r="G342" s="96" t="s">
        <v>379</v>
      </c>
      <c r="H342" s="90" t="s">
        <v>335</v>
      </c>
      <c r="I342" s="96" t="s">
        <v>379</v>
      </c>
      <c r="J342" s="97" t="s">
        <v>434</v>
      </c>
      <c r="K342" s="97" t="s">
        <v>435</v>
      </c>
      <c r="L342" s="97">
        <v>2077396.0</v>
      </c>
      <c r="M342" s="97" t="s">
        <v>905</v>
      </c>
      <c r="N342" s="97" t="s">
        <v>434</v>
      </c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  <c r="AA342" s="80"/>
    </row>
    <row r="343" ht="36.75" customHeight="1">
      <c r="A343" s="90" t="s">
        <v>335</v>
      </c>
      <c r="B343" s="96" t="s">
        <v>379</v>
      </c>
      <c r="C343" s="97" t="s">
        <v>399</v>
      </c>
      <c r="D343" s="97" t="s">
        <v>399</v>
      </c>
      <c r="E343" s="97">
        <v>2077396.0</v>
      </c>
      <c r="F343" s="97" t="s">
        <v>905</v>
      </c>
      <c r="G343" s="96" t="s">
        <v>379</v>
      </c>
      <c r="H343" s="90" t="s">
        <v>335</v>
      </c>
      <c r="I343" s="96" t="s">
        <v>379</v>
      </c>
      <c r="J343" s="97" t="s">
        <v>434</v>
      </c>
      <c r="K343" s="97" t="s">
        <v>436</v>
      </c>
      <c r="L343" s="97">
        <v>2077396.0</v>
      </c>
      <c r="M343" s="97" t="s">
        <v>905</v>
      </c>
      <c r="N343" s="97" t="s">
        <v>434</v>
      </c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  <c r="AA343" s="80"/>
    </row>
    <row r="344" ht="36.75" customHeight="1">
      <c r="A344" s="90" t="s">
        <v>335</v>
      </c>
      <c r="B344" s="96" t="s">
        <v>379</v>
      </c>
      <c r="C344" s="97" t="s">
        <v>399</v>
      </c>
      <c r="D344" s="97" t="s">
        <v>403</v>
      </c>
      <c r="E344" s="97">
        <v>2077396.0</v>
      </c>
      <c r="F344" s="97" t="s">
        <v>905</v>
      </c>
      <c r="G344" s="96" t="s">
        <v>379</v>
      </c>
      <c r="H344" s="90" t="s">
        <v>335</v>
      </c>
      <c r="I344" s="96" t="s">
        <v>379</v>
      </c>
      <c r="J344" s="97" t="s">
        <v>434</v>
      </c>
      <c r="K344" s="97" t="s">
        <v>437</v>
      </c>
      <c r="L344" s="97">
        <v>2077396.0</v>
      </c>
      <c r="M344" s="97" t="s">
        <v>905</v>
      </c>
      <c r="N344" s="97" t="s">
        <v>434</v>
      </c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  <c r="AA344" s="80"/>
    </row>
    <row r="345" ht="36.75" customHeight="1">
      <c r="A345" s="90" t="s">
        <v>335</v>
      </c>
      <c r="B345" s="96" t="s">
        <v>379</v>
      </c>
      <c r="C345" s="97" t="s">
        <v>399</v>
      </c>
      <c r="D345" s="97" t="s">
        <v>404</v>
      </c>
      <c r="E345" s="97">
        <v>2077396.0</v>
      </c>
      <c r="F345" s="97" t="s">
        <v>905</v>
      </c>
      <c r="G345" s="96" t="s">
        <v>379</v>
      </c>
      <c r="H345" s="90" t="s">
        <v>335</v>
      </c>
      <c r="I345" s="96" t="s">
        <v>379</v>
      </c>
      <c r="J345" s="97" t="s">
        <v>434</v>
      </c>
      <c r="K345" s="97" t="s">
        <v>438</v>
      </c>
      <c r="L345" s="97">
        <v>2077396.0</v>
      </c>
      <c r="M345" s="97" t="s">
        <v>905</v>
      </c>
      <c r="N345" s="97" t="s">
        <v>434</v>
      </c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  <c r="AA345" s="80"/>
    </row>
    <row r="346" ht="36.75" customHeight="1">
      <c r="A346" s="90" t="s">
        <v>335</v>
      </c>
      <c r="B346" s="96" t="s">
        <v>379</v>
      </c>
      <c r="C346" s="97" t="s">
        <v>405</v>
      </c>
      <c r="D346" s="97" t="s">
        <v>406</v>
      </c>
      <c r="E346" s="97">
        <v>2077396.0</v>
      </c>
      <c r="F346" s="97" t="s">
        <v>905</v>
      </c>
      <c r="G346" s="96" t="s">
        <v>379</v>
      </c>
      <c r="H346" s="90" t="s">
        <v>335</v>
      </c>
      <c r="I346" s="96" t="s">
        <v>379</v>
      </c>
      <c r="J346" s="97" t="s">
        <v>434</v>
      </c>
      <c r="K346" s="97" t="s">
        <v>439</v>
      </c>
      <c r="L346" s="97">
        <v>2077396.0</v>
      </c>
      <c r="M346" s="97" t="s">
        <v>905</v>
      </c>
      <c r="N346" s="97" t="s">
        <v>434</v>
      </c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  <c r="AA346" s="80"/>
    </row>
    <row r="347" ht="36.75" customHeight="1">
      <c r="A347" s="90" t="s">
        <v>335</v>
      </c>
      <c r="B347" s="96" t="s">
        <v>379</v>
      </c>
      <c r="C347" s="97" t="s">
        <v>405</v>
      </c>
      <c r="D347" s="97" t="s">
        <v>407</v>
      </c>
      <c r="E347" s="97">
        <v>2077396.0</v>
      </c>
      <c r="F347" s="97" t="s">
        <v>905</v>
      </c>
      <c r="G347" s="96" t="s">
        <v>379</v>
      </c>
      <c r="H347" s="90" t="s">
        <v>335</v>
      </c>
      <c r="I347" s="96" t="s">
        <v>379</v>
      </c>
      <c r="J347" s="97" t="s">
        <v>434</v>
      </c>
      <c r="K347" s="97" t="s">
        <v>440</v>
      </c>
      <c r="L347" s="97">
        <v>2077396.0</v>
      </c>
      <c r="M347" s="97" t="s">
        <v>905</v>
      </c>
      <c r="N347" s="97" t="s">
        <v>434</v>
      </c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  <c r="AA347" s="80"/>
    </row>
    <row r="348" ht="36.75" customHeight="1">
      <c r="A348" s="90" t="s">
        <v>335</v>
      </c>
      <c r="B348" s="96" t="s">
        <v>379</v>
      </c>
      <c r="C348" s="97" t="s">
        <v>405</v>
      </c>
      <c r="D348" s="97" t="s">
        <v>408</v>
      </c>
      <c r="E348" s="97">
        <v>2077396.0</v>
      </c>
      <c r="F348" s="97" t="s">
        <v>905</v>
      </c>
      <c r="G348" s="96" t="s">
        <v>379</v>
      </c>
      <c r="H348" s="90" t="s">
        <v>335</v>
      </c>
      <c r="I348" s="96" t="s">
        <v>379</v>
      </c>
      <c r="J348" s="97" t="s">
        <v>434</v>
      </c>
      <c r="K348" s="97" t="s">
        <v>441</v>
      </c>
      <c r="L348" s="97">
        <v>2077396.0</v>
      </c>
      <c r="M348" s="97" t="s">
        <v>905</v>
      </c>
      <c r="N348" s="97" t="s">
        <v>434</v>
      </c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  <c r="AA348" s="80"/>
    </row>
    <row r="349" ht="36.75" customHeight="1">
      <c r="A349" s="90" t="s">
        <v>335</v>
      </c>
      <c r="B349" s="96" t="s">
        <v>379</v>
      </c>
      <c r="C349" s="97" t="s">
        <v>405</v>
      </c>
      <c r="D349" s="97" t="s">
        <v>409</v>
      </c>
      <c r="E349" s="97">
        <v>2077396.0</v>
      </c>
      <c r="F349" s="97" t="s">
        <v>905</v>
      </c>
      <c r="G349" s="96" t="s">
        <v>379</v>
      </c>
      <c r="H349" s="90" t="s">
        <v>335</v>
      </c>
      <c r="I349" s="96" t="s">
        <v>379</v>
      </c>
      <c r="J349" s="97" t="s">
        <v>434</v>
      </c>
      <c r="K349" s="97" t="s">
        <v>442</v>
      </c>
      <c r="L349" s="97">
        <v>2077397.0</v>
      </c>
      <c r="M349" s="97" t="s">
        <v>905</v>
      </c>
      <c r="N349" s="97" t="s">
        <v>434</v>
      </c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  <c r="AA349" s="80"/>
    </row>
    <row r="350" ht="36.75" customHeight="1">
      <c r="A350" s="90" t="s">
        <v>335</v>
      </c>
      <c r="B350" s="96" t="s">
        <v>379</v>
      </c>
      <c r="C350" s="97" t="s">
        <v>405</v>
      </c>
      <c r="D350" s="97" t="s">
        <v>405</v>
      </c>
      <c r="E350" s="97">
        <v>2077396.0</v>
      </c>
      <c r="F350" s="97" t="s">
        <v>905</v>
      </c>
      <c r="G350" s="96" t="s">
        <v>379</v>
      </c>
      <c r="H350" s="90" t="s">
        <v>335</v>
      </c>
      <c r="I350" s="96" t="s">
        <v>379</v>
      </c>
      <c r="J350" s="97" t="s">
        <v>434</v>
      </c>
      <c r="K350" s="97" t="s">
        <v>443</v>
      </c>
      <c r="L350" s="97">
        <v>2077398.0</v>
      </c>
      <c r="M350" s="97" t="s">
        <v>905</v>
      </c>
      <c r="N350" s="97" t="s">
        <v>434</v>
      </c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  <c r="AA350" s="80"/>
    </row>
    <row r="351" ht="36.75" customHeight="1">
      <c r="A351" s="90" t="s">
        <v>335</v>
      </c>
      <c r="B351" s="96" t="s">
        <v>379</v>
      </c>
      <c r="C351" s="97" t="s">
        <v>405</v>
      </c>
      <c r="D351" s="97" t="s">
        <v>410</v>
      </c>
      <c r="E351" s="97">
        <v>2077396.0</v>
      </c>
      <c r="F351" s="97" t="s">
        <v>905</v>
      </c>
      <c r="G351" s="96" t="s">
        <v>379</v>
      </c>
      <c r="H351" s="90" t="s">
        <v>335</v>
      </c>
      <c r="I351" s="96" t="s">
        <v>379</v>
      </c>
      <c r="J351" s="97" t="s">
        <v>434</v>
      </c>
      <c r="K351" s="97" t="s">
        <v>444</v>
      </c>
      <c r="L351" s="97">
        <v>2077396.0</v>
      </c>
      <c r="M351" s="97" t="s">
        <v>905</v>
      </c>
      <c r="N351" s="97" t="s">
        <v>434</v>
      </c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  <c r="AA351" s="80"/>
    </row>
    <row r="352" ht="36.75" customHeight="1">
      <c r="A352" s="90" t="s">
        <v>335</v>
      </c>
      <c r="B352" s="96" t="s">
        <v>379</v>
      </c>
      <c r="C352" s="97" t="s">
        <v>405</v>
      </c>
      <c r="D352" s="97" t="s">
        <v>411</v>
      </c>
      <c r="E352" s="97">
        <v>2077396.0</v>
      </c>
      <c r="F352" s="97" t="s">
        <v>905</v>
      </c>
      <c r="G352" s="96" t="s">
        <v>379</v>
      </c>
      <c r="H352" s="90" t="s">
        <v>335</v>
      </c>
      <c r="I352" s="96" t="s">
        <v>379</v>
      </c>
      <c r="J352" s="97" t="s">
        <v>434</v>
      </c>
      <c r="K352" s="97" t="s">
        <v>445</v>
      </c>
      <c r="L352" s="97">
        <v>2077396.0</v>
      </c>
      <c r="M352" s="97" t="s">
        <v>905</v>
      </c>
      <c r="N352" s="97" t="s">
        <v>434</v>
      </c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  <c r="AA352" s="80"/>
    </row>
    <row r="353" ht="36.75" customHeight="1">
      <c r="A353" s="90" t="s">
        <v>335</v>
      </c>
      <c r="B353" s="96" t="s">
        <v>379</v>
      </c>
      <c r="C353" s="97" t="s">
        <v>405</v>
      </c>
      <c r="D353" s="97" t="s">
        <v>412</v>
      </c>
      <c r="E353" s="97">
        <v>2077396.0</v>
      </c>
      <c r="F353" s="97" t="s">
        <v>905</v>
      </c>
      <c r="G353" s="96" t="s">
        <v>379</v>
      </c>
      <c r="H353" s="90" t="s">
        <v>335</v>
      </c>
      <c r="I353" s="96" t="s">
        <v>379</v>
      </c>
      <c r="J353" s="97" t="s">
        <v>434</v>
      </c>
      <c r="K353" s="97" t="s">
        <v>446</v>
      </c>
      <c r="L353" s="97">
        <v>2077396.0</v>
      </c>
      <c r="M353" s="97" t="s">
        <v>905</v>
      </c>
      <c r="N353" s="97" t="s">
        <v>434</v>
      </c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  <c r="AA353" s="80"/>
    </row>
    <row r="354" ht="36.75" customHeight="1">
      <c r="A354" s="90" t="s">
        <v>335</v>
      </c>
      <c r="B354" s="96" t="s">
        <v>379</v>
      </c>
      <c r="C354" s="97" t="s">
        <v>405</v>
      </c>
      <c r="D354" s="97" t="s">
        <v>413</v>
      </c>
      <c r="E354" s="97">
        <v>2077396.0</v>
      </c>
      <c r="F354" s="97" t="s">
        <v>905</v>
      </c>
      <c r="G354" s="96" t="s">
        <v>379</v>
      </c>
      <c r="H354" s="90" t="s">
        <v>335</v>
      </c>
      <c r="I354" s="96" t="s">
        <v>379</v>
      </c>
      <c r="J354" s="97" t="s">
        <v>434</v>
      </c>
      <c r="K354" s="97" t="s">
        <v>447</v>
      </c>
      <c r="L354" s="97">
        <v>2077396.0</v>
      </c>
      <c r="M354" s="97" t="s">
        <v>905</v>
      </c>
      <c r="N354" s="97" t="s">
        <v>434</v>
      </c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  <c r="AA354" s="80"/>
    </row>
    <row r="355" ht="36.75" customHeight="1">
      <c r="A355" s="90" t="s">
        <v>335</v>
      </c>
      <c r="B355" s="96" t="s">
        <v>379</v>
      </c>
      <c r="C355" s="97" t="s">
        <v>405</v>
      </c>
      <c r="D355" s="97" t="s">
        <v>414</v>
      </c>
      <c r="E355" s="97">
        <v>2077396.0</v>
      </c>
      <c r="F355" s="97" t="s">
        <v>905</v>
      </c>
      <c r="G355" s="96" t="s">
        <v>379</v>
      </c>
      <c r="H355" s="90" t="s">
        <v>335</v>
      </c>
      <c r="I355" s="96" t="s">
        <v>379</v>
      </c>
      <c r="J355" s="97" t="s">
        <v>434</v>
      </c>
      <c r="K355" s="97" t="s">
        <v>448</v>
      </c>
      <c r="L355" s="97">
        <v>2077396.0</v>
      </c>
      <c r="M355" s="97" t="s">
        <v>905</v>
      </c>
      <c r="N355" s="97" t="s">
        <v>434</v>
      </c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  <c r="AA355" s="80"/>
    </row>
    <row r="356" ht="36.75" customHeight="1">
      <c r="A356" s="90" t="s">
        <v>335</v>
      </c>
      <c r="B356" s="96" t="s">
        <v>379</v>
      </c>
      <c r="C356" s="97" t="s">
        <v>405</v>
      </c>
      <c r="D356" s="97" t="s">
        <v>415</v>
      </c>
      <c r="E356" s="97">
        <v>2077396.0</v>
      </c>
      <c r="F356" s="97" t="s">
        <v>905</v>
      </c>
      <c r="G356" s="96" t="s">
        <v>379</v>
      </c>
      <c r="H356" s="90" t="s">
        <v>335</v>
      </c>
      <c r="I356" s="96" t="s">
        <v>379</v>
      </c>
      <c r="J356" s="97" t="s">
        <v>434</v>
      </c>
      <c r="K356" s="97" t="s">
        <v>449</v>
      </c>
      <c r="L356" s="97">
        <v>2077396.0</v>
      </c>
      <c r="M356" s="97" t="s">
        <v>905</v>
      </c>
      <c r="N356" s="97" t="s">
        <v>434</v>
      </c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  <c r="AA356" s="80"/>
    </row>
    <row r="357" ht="36.75" customHeight="1">
      <c r="A357" s="90" t="s">
        <v>335</v>
      </c>
      <c r="B357" s="96" t="s">
        <v>379</v>
      </c>
      <c r="C357" s="97" t="s">
        <v>405</v>
      </c>
      <c r="D357" s="97" t="s">
        <v>416</v>
      </c>
      <c r="E357" s="97">
        <v>2077396.0</v>
      </c>
      <c r="F357" s="97" t="s">
        <v>905</v>
      </c>
      <c r="G357" s="96" t="s">
        <v>379</v>
      </c>
      <c r="H357" s="90" t="s">
        <v>335</v>
      </c>
      <c r="I357" s="96" t="s">
        <v>379</v>
      </c>
      <c r="J357" s="97" t="s">
        <v>434</v>
      </c>
      <c r="K357" s="97" t="s">
        <v>450</v>
      </c>
      <c r="L357" s="97">
        <v>2077396.0</v>
      </c>
      <c r="M357" s="97" t="s">
        <v>905</v>
      </c>
      <c r="N357" s="97" t="s">
        <v>434</v>
      </c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  <c r="AA357" s="80"/>
    </row>
    <row r="358" ht="36.75" customHeight="1">
      <c r="A358" s="90" t="s">
        <v>335</v>
      </c>
      <c r="B358" s="96" t="s">
        <v>379</v>
      </c>
      <c r="C358" s="97" t="s">
        <v>405</v>
      </c>
      <c r="D358" s="97" t="s">
        <v>417</v>
      </c>
      <c r="E358" s="97">
        <v>2077396.0</v>
      </c>
      <c r="F358" s="97" t="s">
        <v>905</v>
      </c>
      <c r="G358" s="96" t="s">
        <v>379</v>
      </c>
      <c r="H358" s="90" t="s">
        <v>335</v>
      </c>
      <c r="I358" s="96" t="s">
        <v>379</v>
      </c>
      <c r="J358" s="97" t="s">
        <v>434</v>
      </c>
      <c r="K358" s="97" t="s">
        <v>451</v>
      </c>
      <c r="L358" s="97">
        <v>2077396.0</v>
      </c>
      <c r="M358" s="97" t="s">
        <v>905</v>
      </c>
      <c r="N358" s="97" t="s">
        <v>434</v>
      </c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  <c r="AA358" s="80"/>
    </row>
    <row r="359" ht="36.75" customHeight="1">
      <c r="A359" s="90" t="s">
        <v>335</v>
      </c>
      <c r="B359" s="96" t="s">
        <v>379</v>
      </c>
      <c r="C359" s="97" t="s">
        <v>405</v>
      </c>
      <c r="D359" s="97" t="s">
        <v>418</v>
      </c>
      <c r="E359" s="97">
        <v>2077396.0</v>
      </c>
      <c r="F359" s="97" t="s">
        <v>905</v>
      </c>
      <c r="G359" s="96" t="s">
        <v>379</v>
      </c>
      <c r="H359" s="90" t="s">
        <v>335</v>
      </c>
      <c r="I359" s="96" t="s">
        <v>379</v>
      </c>
      <c r="J359" s="97" t="s">
        <v>434</v>
      </c>
      <c r="K359" s="97" t="s">
        <v>452</v>
      </c>
      <c r="L359" s="97">
        <v>2798298.0</v>
      </c>
      <c r="M359" s="97" t="s">
        <v>1072</v>
      </c>
      <c r="N359" s="97" t="s">
        <v>434</v>
      </c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  <c r="AA359" s="80"/>
    </row>
    <row r="360" ht="36.75" customHeight="1">
      <c r="A360" s="90" t="s">
        <v>335</v>
      </c>
      <c r="B360" s="96" t="s">
        <v>379</v>
      </c>
      <c r="C360" s="97" t="s">
        <v>405</v>
      </c>
      <c r="D360" s="97" t="s">
        <v>419</v>
      </c>
      <c r="E360" s="97">
        <v>2077396.0</v>
      </c>
      <c r="F360" s="97" t="s">
        <v>905</v>
      </c>
      <c r="G360" s="96" t="s">
        <v>379</v>
      </c>
      <c r="H360" s="90" t="s">
        <v>335</v>
      </c>
      <c r="I360" s="96" t="s">
        <v>379</v>
      </c>
      <c r="J360" s="97" t="s">
        <v>434</v>
      </c>
      <c r="K360" s="97" t="s">
        <v>453</v>
      </c>
      <c r="L360" s="97">
        <v>2077396.0</v>
      </c>
      <c r="M360" s="97" t="s">
        <v>905</v>
      </c>
      <c r="N360" s="97" t="s">
        <v>434</v>
      </c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  <c r="AA360" s="80"/>
    </row>
    <row r="361" ht="36.75" customHeight="1">
      <c r="A361" s="90" t="s">
        <v>335</v>
      </c>
      <c r="B361" s="96" t="s">
        <v>379</v>
      </c>
      <c r="C361" s="97" t="s">
        <v>405</v>
      </c>
      <c r="D361" s="97" t="s">
        <v>420</v>
      </c>
      <c r="E361" s="97">
        <v>2077396.0</v>
      </c>
      <c r="F361" s="97" t="s">
        <v>905</v>
      </c>
      <c r="G361" s="96" t="s">
        <v>379</v>
      </c>
      <c r="H361" s="90" t="s">
        <v>335</v>
      </c>
      <c r="I361" s="96" t="s">
        <v>379</v>
      </c>
      <c r="J361" s="97" t="s">
        <v>434</v>
      </c>
      <c r="K361" s="97" t="s">
        <v>454</v>
      </c>
      <c r="L361" s="97">
        <v>2077396.0</v>
      </c>
      <c r="M361" s="97" t="s">
        <v>905</v>
      </c>
      <c r="N361" s="97" t="s">
        <v>434</v>
      </c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  <c r="AA361" s="80"/>
    </row>
    <row r="362" ht="36.75" customHeight="1">
      <c r="A362" s="90" t="s">
        <v>335</v>
      </c>
      <c r="B362" s="96" t="s">
        <v>379</v>
      </c>
      <c r="C362" s="97" t="s">
        <v>421</v>
      </c>
      <c r="D362" s="97" t="s">
        <v>422</v>
      </c>
      <c r="E362" s="97">
        <v>2077396.0</v>
      </c>
      <c r="F362" s="97" t="s">
        <v>905</v>
      </c>
      <c r="G362" s="96" t="s">
        <v>379</v>
      </c>
      <c r="H362" s="90" t="s">
        <v>335</v>
      </c>
      <c r="I362" s="96" t="s">
        <v>379</v>
      </c>
      <c r="J362" s="97" t="s">
        <v>455</v>
      </c>
      <c r="K362" s="97" t="s">
        <v>456</v>
      </c>
      <c r="L362" s="97">
        <v>2077396.0</v>
      </c>
      <c r="M362" s="97" t="s">
        <v>905</v>
      </c>
      <c r="N362" s="97" t="s">
        <v>434</v>
      </c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  <c r="AA362" s="80"/>
    </row>
    <row r="363" ht="36.75" customHeight="1">
      <c r="A363" s="90" t="s">
        <v>335</v>
      </c>
      <c r="B363" s="96" t="s">
        <v>379</v>
      </c>
      <c r="C363" s="97" t="s">
        <v>421</v>
      </c>
      <c r="D363" s="97" t="s">
        <v>421</v>
      </c>
      <c r="E363" s="97">
        <v>2077396.0</v>
      </c>
      <c r="F363" s="97" t="s">
        <v>905</v>
      </c>
      <c r="G363" s="96" t="s">
        <v>379</v>
      </c>
      <c r="H363" s="90" t="s">
        <v>335</v>
      </c>
      <c r="I363" s="96" t="s">
        <v>379</v>
      </c>
      <c r="J363" s="97" t="s">
        <v>455</v>
      </c>
      <c r="K363" s="97" t="s">
        <v>457</v>
      </c>
      <c r="L363" s="97">
        <v>2077396.0</v>
      </c>
      <c r="M363" s="97" t="s">
        <v>905</v>
      </c>
      <c r="N363" s="97" t="s">
        <v>434</v>
      </c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</row>
    <row r="364" ht="36.75" customHeight="1">
      <c r="A364" s="90" t="s">
        <v>335</v>
      </c>
      <c r="B364" s="96" t="s">
        <v>379</v>
      </c>
      <c r="C364" s="97" t="s">
        <v>421</v>
      </c>
      <c r="D364" s="97" t="s">
        <v>423</v>
      </c>
      <c r="E364" s="97">
        <v>2077396.0</v>
      </c>
      <c r="F364" s="97" t="s">
        <v>905</v>
      </c>
      <c r="G364" s="96" t="s">
        <v>379</v>
      </c>
      <c r="H364" s="90" t="s">
        <v>335</v>
      </c>
      <c r="I364" s="96" t="s">
        <v>379</v>
      </c>
      <c r="J364" s="97" t="s">
        <v>455</v>
      </c>
      <c r="K364" s="97" t="s">
        <v>458</v>
      </c>
      <c r="L364" s="97">
        <v>2077396.0</v>
      </c>
      <c r="M364" s="97" t="s">
        <v>905</v>
      </c>
      <c r="N364" s="97" t="s">
        <v>434</v>
      </c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80"/>
    </row>
    <row r="365" ht="36.75" customHeight="1">
      <c r="A365" s="90" t="s">
        <v>335</v>
      </c>
      <c r="B365" s="96" t="s">
        <v>379</v>
      </c>
      <c r="C365" s="97" t="s">
        <v>421</v>
      </c>
      <c r="D365" s="97" t="s">
        <v>424</v>
      </c>
      <c r="E365" s="97">
        <v>2077396.0</v>
      </c>
      <c r="F365" s="97" t="s">
        <v>905</v>
      </c>
      <c r="G365" s="96" t="s">
        <v>379</v>
      </c>
      <c r="H365" s="90" t="s">
        <v>335</v>
      </c>
      <c r="I365" s="96" t="s">
        <v>379</v>
      </c>
      <c r="J365" s="97" t="s">
        <v>455</v>
      </c>
      <c r="K365" s="97" t="s">
        <v>459</v>
      </c>
      <c r="L365" s="97">
        <v>2077396.0</v>
      </c>
      <c r="M365" s="97" t="s">
        <v>905</v>
      </c>
      <c r="N365" s="97" t="s">
        <v>434</v>
      </c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80"/>
    </row>
    <row r="366" ht="36.75" customHeight="1">
      <c r="A366" s="90" t="s">
        <v>335</v>
      </c>
      <c r="B366" s="96" t="s">
        <v>379</v>
      </c>
      <c r="C366" s="97" t="s">
        <v>421</v>
      </c>
      <c r="D366" s="97" t="s">
        <v>425</v>
      </c>
      <c r="E366" s="97">
        <v>2077396.0</v>
      </c>
      <c r="F366" s="97" t="s">
        <v>905</v>
      </c>
      <c r="G366" s="96" t="s">
        <v>379</v>
      </c>
      <c r="H366" s="90" t="s">
        <v>335</v>
      </c>
      <c r="I366" s="96" t="s">
        <v>379</v>
      </c>
      <c r="J366" s="97" t="s">
        <v>455</v>
      </c>
      <c r="K366" s="97" t="s">
        <v>460</v>
      </c>
      <c r="L366" s="97">
        <v>2077396.0</v>
      </c>
      <c r="M366" s="97" t="s">
        <v>905</v>
      </c>
      <c r="N366" s="97" t="s">
        <v>434</v>
      </c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  <c r="AA366" s="80"/>
    </row>
    <row r="367" ht="36.75" customHeight="1">
      <c r="A367" s="90" t="s">
        <v>335</v>
      </c>
      <c r="B367" s="96" t="s">
        <v>379</v>
      </c>
      <c r="C367" s="97" t="s">
        <v>421</v>
      </c>
      <c r="D367" s="97" t="s">
        <v>426</v>
      </c>
      <c r="E367" s="97">
        <v>2077396.0</v>
      </c>
      <c r="F367" s="97" t="s">
        <v>905</v>
      </c>
      <c r="G367" s="96" t="s">
        <v>379</v>
      </c>
      <c r="H367" s="90" t="s">
        <v>335</v>
      </c>
      <c r="I367" s="96" t="s">
        <v>379</v>
      </c>
      <c r="J367" s="97" t="s">
        <v>455</v>
      </c>
      <c r="K367" s="97" t="s">
        <v>461</v>
      </c>
      <c r="L367" s="97">
        <v>2077396.0</v>
      </c>
      <c r="M367" s="97" t="s">
        <v>905</v>
      </c>
      <c r="N367" s="97" t="s">
        <v>434</v>
      </c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  <c r="AA367" s="80"/>
    </row>
    <row r="368" ht="36.75" customHeight="1">
      <c r="A368" s="90" t="s">
        <v>335</v>
      </c>
      <c r="B368" s="96" t="s">
        <v>379</v>
      </c>
      <c r="C368" s="97" t="s">
        <v>421</v>
      </c>
      <c r="D368" s="97" t="s">
        <v>427</v>
      </c>
      <c r="E368" s="97">
        <v>2077396.0</v>
      </c>
      <c r="F368" s="97" t="s">
        <v>905</v>
      </c>
      <c r="G368" s="96" t="s">
        <v>379</v>
      </c>
      <c r="H368" s="90" t="s">
        <v>335</v>
      </c>
      <c r="I368" s="96" t="s">
        <v>379</v>
      </c>
      <c r="J368" s="97" t="s">
        <v>455</v>
      </c>
      <c r="K368" s="97" t="s">
        <v>462</v>
      </c>
      <c r="L368" s="97">
        <v>2077396.0</v>
      </c>
      <c r="M368" s="97" t="s">
        <v>905</v>
      </c>
      <c r="N368" s="97" t="s">
        <v>434</v>
      </c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  <c r="AA368" s="80"/>
    </row>
    <row r="369" ht="36.75" customHeight="1">
      <c r="A369" s="90" t="s">
        <v>335</v>
      </c>
      <c r="B369" s="96" t="s">
        <v>379</v>
      </c>
      <c r="C369" s="97" t="s">
        <v>421</v>
      </c>
      <c r="D369" s="97" t="s">
        <v>428</v>
      </c>
      <c r="E369" s="97">
        <v>2077396.0</v>
      </c>
      <c r="F369" s="97" t="s">
        <v>905</v>
      </c>
      <c r="G369" s="96" t="s">
        <v>379</v>
      </c>
      <c r="H369" s="90" t="s">
        <v>335</v>
      </c>
      <c r="I369" s="96" t="s">
        <v>379</v>
      </c>
      <c r="J369" s="97" t="s">
        <v>455</v>
      </c>
      <c r="K369" s="97" t="s">
        <v>463</v>
      </c>
      <c r="L369" s="97">
        <v>2077396.0</v>
      </c>
      <c r="M369" s="97" t="s">
        <v>905</v>
      </c>
      <c r="N369" s="97" t="s">
        <v>434</v>
      </c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  <c r="AA369" s="80"/>
    </row>
    <row r="370" ht="36.75" customHeight="1">
      <c r="A370" s="90" t="s">
        <v>335</v>
      </c>
      <c r="B370" s="96" t="s">
        <v>379</v>
      </c>
      <c r="C370" s="97" t="s">
        <v>421</v>
      </c>
      <c r="D370" s="97" t="s">
        <v>429</v>
      </c>
      <c r="E370" s="97">
        <v>2077396.0</v>
      </c>
      <c r="F370" s="97" t="s">
        <v>905</v>
      </c>
      <c r="G370" s="96" t="s">
        <v>379</v>
      </c>
      <c r="H370" s="90" t="s">
        <v>335</v>
      </c>
      <c r="I370" s="96" t="s">
        <v>379</v>
      </c>
      <c r="J370" s="97" t="s">
        <v>455</v>
      </c>
      <c r="K370" s="97" t="s">
        <v>464</v>
      </c>
      <c r="L370" s="97">
        <v>2077396.0</v>
      </c>
      <c r="M370" s="97" t="s">
        <v>905</v>
      </c>
      <c r="N370" s="97" t="s">
        <v>434</v>
      </c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  <c r="AA370" s="80"/>
    </row>
    <row r="371" ht="36.75" customHeight="1">
      <c r="A371" s="90" t="s">
        <v>335</v>
      </c>
      <c r="B371" s="96" t="s">
        <v>379</v>
      </c>
      <c r="C371" s="97" t="s">
        <v>421</v>
      </c>
      <c r="D371" s="97" t="s">
        <v>430</v>
      </c>
      <c r="E371" s="97">
        <v>2077396.0</v>
      </c>
      <c r="F371" s="97" t="s">
        <v>905</v>
      </c>
      <c r="G371" s="96" t="s">
        <v>379</v>
      </c>
      <c r="H371" s="90" t="s">
        <v>335</v>
      </c>
      <c r="I371" s="96" t="s">
        <v>379</v>
      </c>
      <c r="J371" s="97" t="s">
        <v>455</v>
      </c>
      <c r="K371" s="97" t="s">
        <v>465</v>
      </c>
      <c r="L371" s="97">
        <v>2077396.0</v>
      </c>
      <c r="M371" s="97" t="s">
        <v>905</v>
      </c>
      <c r="N371" s="97" t="s">
        <v>434</v>
      </c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  <c r="AA371" s="80"/>
    </row>
    <row r="372" ht="36.75" customHeight="1">
      <c r="A372" s="90" t="s">
        <v>335</v>
      </c>
      <c r="B372" s="96" t="s">
        <v>379</v>
      </c>
      <c r="C372" s="97" t="s">
        <v>421</v>
      </c>
      <c r="D372" s="97" t="s">
        <v>431</v>
      </c>
      <c r="E372" s="97">
        <v>2077396.0</v>
      </c>
      <c r="F372" s="97" t="s">
        <v>905</v>
      </c>
      <c r="G372" s="96" t="s">
        <v>379</v>
      </c>
      <c r="H372" s="90" t="s">
        <v>335</v>
      </c>
      <c r="I372" s="96" t="s">
        <v>379</v>
      </c>
      <c r="J372" s="97" t="s">
        <v>455</v>
      </c>
      <c r="K372" s="97" t="s">
        <v>466</v>
      </c>
      <c r="L372" s="97">
        <v>2077396.0</v>
      </c>
      <c r="M372" s="97" t="s">
        <v>905</v>
      </c>
      <c r="N372" s="97" t="s">
        <v>434</v>
      </c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  <c r="AA372" s="80"/>
    </row>
    <row r="373" ht="36.75" customHeight="1">
      <c r="A373" s="90" t="s">
        <v>335</v>
      </c>
      <c r="B373" s="96" t="s">
        <v>379</v>
      </c>
      <c r="C373" s="97" t="s">
        <v>421</v>
      </c>
      <c r="D373" s="97" t="s">
        <v>432</v>
      </c>
      <c r="E373" s="97">
        <v>2077396.0</v>
      </c>
      <c r="F373" s="97" t="s">
        <v>905</v>
      </c>
      <c r="G373" s="96" t="s">
        <v>379</v>
      </c>
      <c r="H373" s="90" t="s">
        <v>335</v>
      </c>
      <c r="I373" s="96" t="s">
        <v>379</v>
      </c>
      <c r="J373" s="97" t="s">
        <v>467</v>
      </c>
      <c r="K373" s="97" t="s">
        <v>468</v>
      </c>
      <c r="L373" s="97">
        <v>2081377.0</v>
      </c>
      <c r="M373" s="97" t="s">
        <v>1073</v>
      </c>
      <c r="N373" s="97" t="s">
        <v>467</v>
      </c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  <c r="AA373" s="80"/>
    </row>
    <row r="374" ht="36.75" customHeight="1">
      <c r="A374" s="90" t="s">
        <v>335</v>
      </c>
      <c r="B374" s="96" t="s">
        <v>379</v>
      </c>
      <c r="C374" s="97" t="s">
        <v>421</v>
      </c>
      <c r="D374" s="97" t="s">
        <v>433</v>
      </c>
      <c r="E374" s="97">
        <v>2077396.0</v>
      </c>
      <c r="F374" s="97" t="s">
        <v>905</v>
      </c>
      <c r="G374" s="96" t="s">
        <v>379</v>
      </c>
      <c r="H374" s="90" t="s">
        <v>335</v>
      </c>
      <c r="I374" s="96" t="s">
        <v>379</v>
      </c>
      <c r="J374" s="97" t="s">
        <v>467</v>
      </c>
      <c r="K374" s="97" t="s">
        <v>469</v>
      </c>
      <c r="L374" s="97">
        <v>2081377.0</v>
      </c>
      <c r="M374" s="97" t="s">
        <v>1073</v>
      </c>
      <c r="N374" s="97" t="s">
        <v>467</v>
      </c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  <c r="AA374" s="80"/>
    </row>
    <row r="375" ht="36.75" customHeight="1">
      <c r="A375" s="90" t="s">
        <v>335</v>
      </c>
      <c r="B375" s="96" t="s">
        <v>379</v>
      </c>
      <c r="C375" s="97" t="s">
        <v>434</v>
      </c>
      <c r="D375" s="97" t="s">
        <v>435</v>
      </c>
      <c r="E375" s="97">
        <v>2077396.0</v>
      </c>
      <c r="F375" s="97" t="s">
        <v>905</v>
      </c>
      <c r="G375" s="96" t="s">
        <v>379</v>
      </c>
      <c r="H375" s="90" t="s">
        <v>335</v>
      </c>
      <c r="I375" s="96" t="s">
        <v>379</v>
      </c>
      <c r="J375" s="97" t="s">
        <v>467</v>
      </c>
      <c r="K375" s="97" t="s">
        <v>470</v>
      </c>
      <c r="L375" s="97">
        <v>2081377.0</v>
      </c>
      <c r="M375" s="97" t="s">
        <v>1073</v>
      </c>
      <c r="N375" s="97" t="s">
        <v>467</v>
      </c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</row>
    <row r="376" ht="36.75" customHeight="1">
      <c r="A376" s="90" t="s">
        <v>335</v>
      </c>
      <c r="B376" s="96" t="s">
        <v>379</v>
      </c>
      <c r="C376" s="97" t="s">
        <v>434</v>
      </c>
      <c r="D376" s="97" t="s">
        <v>436</v>
      </c>
      <c r="E376" s="97">
        <v>2077396.0</v>
      </c>
      <c r="F376" s="97" t="s">
        <v>905</v>
      </c>
      <c r="G376" s="96" t="s">
        <v>379</v>
      </c>
      <c r="H376" s="90" t="s">
        <v>335</v>
      </c>
      <c r="I376" s="96" t="s">
        <v>379</v>
      </c>
      <c r="J376" s="97" t="s">
        <v>467</v>
      </c>
      <c r="K376" s="97" t="s">
        <v>471</v>
      </c>
      <c r="L376" s="97">
        <v>2081377.0</v>
      </c>
      <c r="M376" s="97" t="s">
        <v>1073</v>
      </c>
      <c r="N376" s="97" t="s">
        <v>467</v>
      </c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  <c r="AA376" s="80"/>
    </row>
    <row r="377" ht="36.75" customHeight="1">
      <c r="A377" s="90" t="s">
        <v>335</v>
      </c>
      <c r="B377" s="96" t="s">
        <v>379</v>
      </c>
      <c r="C377" s="97" t="s">
        <v>434</v>
      </c>
      <c r="D377" s="97" t="s">
        <v>437</v>
      </c>
      <c r="E377" s="97">
        <v>2077396.0</v>
      </c>
      <c r="F377" s="97" t="s">
        <v>905</v>
      </c>
      <c r="G377" s="96" t="s">
        <v>379</v>
      </c>
      <c r="H377" s="90" t="s">
        <v>335</v>
      </c>
      <c r="I377" s="96" t="s">
        <v>379</v>
      </c>
      <c r="J377" s="97" t="s">
        <v>467</v>
      </c>
      <c r="K377" s="97" t="s">
        <v>472</v>
      </c>
      <c r="L377" s="97">
        <v>2081377.0</v>
      </c>
      <c r="M377" s="97" t="s">
        <v>1073</v>
      </c>
      <c r="N377" s="97" t="s">
        <v>467</v>
      </c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  <c r="AA377" s="80"/>
    </row>
    <row r="378" ht="36.75" customHeight="1">
      <c r="A378" s="90" t="s">
        <v>335</v>
      </c>
      <c r="B378" s="96" t="s">
        <v>379</v>
      </c>
      <c r="C378" s="97" t="s">
        <v>434</v>
      </c>
      <c r="D378" s="97" t="s">
        <v>438</v>
      </c>
      <c r="E378" s="97">
        <v>2077396.0</v>
      </c>
      <c r="F378" s="97" t="s">
        <v>905</v>
      </c>
      <c r="G378" s="96" t="s">
        <v>379</v>
      </c>
      <c r="H378" s="90" t="s">
        <v>335</v>
      </c>
      <c r="I378" s="96" t="s">
        <v>379</v>
      </c>
      <c r="J378" s="97" t="s">
        <v>467</v>
      </c>
      <c r="K378" s="97" t="s">
        <v>473</v>
      </c>
      <c r="L378" s="97">
        <v>2081377.0</v>
      </c>
      <c r="M378" s="97" t="s">
        <v>1073</v>
      </c>
      <c r="N378" s="97" t="s">
        <v>467</v>
      </c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</row>
    <row r="379" ht="36.75" customHeight="1">
      <c r="A379" s="90" t="s">
        <v>335</v>
      </c>
      <c r="B379" s="96" t="s">
        <v>379</v>
      </c>
      <c r="C379" s="97" t="s">
        <v>434</v>
      </c>
      <c r="D379" s="97" t="s">
        <v>439</v>
      </c>
      <c r="E379" s="97">
        <v>2077396.0</v>
      </c>
      <c r="F379" s="97" t="s">
        <v>905</v>
      </c>
      <c r="G379" s="96" t="s">
        <v>379</v>
      </c>
      <c r="H379" s="90" t="s">
        <v>335</v>
      </c>
      <c r="I379" s="96" t="s">
        <v>379</v>
      </c>
      <c r="J379" s="97" t="s">
        <v>467</v>
      </c>
      <c r="K379" s="97" t="s">
        <v>474</v>
      </c>
      <c r="L379" s="97">
        <v>2081377.0</v>
      </c>
      <c r="M379" s="97" t="s">
        <v>1073</v>
      </c>
      <c r="N379" s="97" t="s">
        <v>467</v>
      </c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  <c r="AA379" s="80"/>
    </row>
    <row r="380" ht="36.75" customHeight="1">
      <c r="A380" s="90" t="s">
        <v>335</v>
      </c>
      <c r="B380" s="96" t="s">
        <v>379</v>
      </c>
      <c r="C380" s="97" t="s">
        <v>434</v>
      </c>
      <c r="D380" s="97" t="s">
        <v>440</v>
      </c>
      <c r="E380" s="97">
        <v>2077396.0</v>
      </c>
      <c r="F380" s="97" t="s">
        <v>905</v>
      </c>
      <c r="G380" s="96" t="s">
        <v>379</v>
      </c>
      <c r="H380" s="90" t="s">
        <v>335</v>
      </c>
      <c r="I380" s="96" t="s">
        <v>379</v>
      </c>
      <c r="J380" s="97" t="s">
        <v>467</v>
      </c>
      <c r="K380" s="97" t="s">
        <v>475</v>
      </c>
      <c r="L380" s="97">
        <v>2081377.0</v>
      </c>
      <c r="M380" s="97" t="s">
        <v>1073</v>
      </c>
      <c r="N380" s="97" t="s">
        <v>467</v>
      </c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  <c r="AA380" s="80"/>
    </row>
    <row r="381" ht="36.75" customHeight="1">
      <c r="A381" s="90" t="s">
        <v>335</v>
      </c>
      <c r="B381" s="96" t="s">
        <v>379</v>
      </c>
      <c r="C381" s="97" t="s">
        <v>434</v>
      </c>
      <c r="D381" s="97" t="s">
        <v>441</v>
      </c>
      <c r="E381" s="97">
        <v>2077396.0</v>
      </c>
      <c r="F381" s="97" t="s">
        <v>905</v>
      </c>
      <c r="G381" s="96" t="s">
        <v>379</v>
      </c>
      <c r="H381" s="90" t="s">
        <v>335</v>
      </c>
      <c r="I381" s="96" t="s">
        <v>379</v>
      </c>
      <c r="J381" s="97" t="s">
        <v>467</v>
      </c>
      <c r="K381" s="97" t="s">
        <v>476</v>
      </c>
      <c r="L381" s="97">
        <v>2081377.0</v>
      </c>
      <c r="M381" s="97" t="s">
        <v>1073</v>
      </c>
      <c r="N381" s="97" t="s">
        <v>467</v>
      </c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  <c r="AA381" s="80"/>
    </row>
    <row r="382" ht="36.75" customHeight="1">
      <c r="A382" s="90" t="s">
        <v>335</v>
      </c>
      <c r="B382" s="96" t="s">
        <v>379</v>
      </c>
      <c r="C382" s="97" t="s">
        <v>434</v>
      </c>
      <c r="D382" s="97" t="s">
        <v>442</v>
      </c>
      <c r="E382" s="97">
        <v>2077396.0</v>
      </c>
      <c r="F382" s="97" t="s">
        <v>905</v>
      </c>
      <c r="G382" s="96" t="s">
        <v>379</v>
      </c>
      <c r="H382" s="90" t="s">
        <v>335</v>
      </c>
      <c r="I382" s="96" t="s">
        <v>379</v>
      </c>
      <c r="J382" s="97" t="s">
        <v>467</v>
      </c>
      <c r="K382" s="97" t="s">
        <v>477</v>
      </c>
      <c r="L382" s="97">
        <v>2081377.0</v>
      </c>
      <c r="M382" s="97" t="s">
        <v>1073</v>
      </c>
      <c r="N382" s="97" t="s">
        <v>467</v>
      </c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  <c r="AA382" s="80"/>
    </row>
    <row r="383" ht="36.75" customHeight="1">
      <c r="A383" s="90" t="s">
        <v>335</v>
      </c>
      <c r="B383" s="96" t="s">
        <v>379</v>
      </c>
      <c r="C383" s="97" t="s">
        <v>434</v>
      </c>
      <c r="D383" s="97" t="s">
        <v>443</v>
      </c>
      <c r="E383" s="97">
        <v>2077396.0</v>
      </c>
      <c r="F383" s="97" t="s">
        <v>905</v>
      </c>
      <c r="G383" s="96" t="s">
        <v>379</v>
      </c>
      <c r="H383" s="90" t="s">
        <v>335</v>
      </c>
      <c r="I383" s="96" t="s">
        <v>379</v>
      </c>
      <c r="J383" s="97" t="s">
        <v>467</v>
      </c>
      <c r="K383" s="97" t="s">
        <v>478</v>
      </c>
      <c r="L383" s="97">
        <v>2081377.0</v>
      </c>
      <c r="M383" s="97" t="s">
        <v>1073</v>
      </c>
      <c r="N383" s="97" t="s">
        <v>467</v>
      </c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  <c r="AA383" s="80"/>
    </row>
    <row r="384" ht="36.75" customHeight="1">
      <c r="A384" s="90" t="s">
        <v>335</v>
      </c>
      <c r="B384" s="96" t="s">
        <v>379</v>
      </c>
      <c r="C384" s="97" t="s">
        <v>434</v>
      </c>
      <c r="D384" s="97" t="s">
        <v>444</v>
      </c>
      <c r="E384" s="97">
        <v>2077396.0</v>
      </c>
      <c r="F384" s="97" t="s">
        <v>905</v>
      </c>
      <c r="G384" s="96" t="s">
        <v>379</v>
      </c>
      <c r="H384" s="90" t="s">
        <v>335</v>
      </c>
      <c r="I384" s="96" t="s">
        <v>379</v>
      </c>
      <c r="J384" s="97" t="s">
        <v>467</v>
      </c>
      <c r="K384" s="97" t="s">
        <v>479</v>
      </c>
      <c r="L384" s="97">
        <v>2081377.0</v>
      </c>
      <c r="M384" s="97" t="s">
        <v>1073</v>
      </c>
      <c r="N384" s="97" t="s">
        <v>467</v>
      </c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  <c r="AA384" s="80"/>
    </row>
    <row r="385" ht="36.75" customHeight="1">
      <c r="A385" s="90" t="s">
        <v>335</v>
      </c>
      <c r="B385" s="96" t="s">
        <v>379</v>
      </c>
      <c r="C385" s="97" t="s">
        <v>434</v>
      </c>
      <c r="D385" s="97" t="s">
        <v>445</v>
      </c>
      <c r="E385" s="97">
        <v>2077396.0</v>
      </c>
      <c r="F385" s="97" t="s">
        <v>905</v>
      </c>
      <c r="G385" s="96" t="s">
        <v>379</v>
      </c>
      <c r="H385" s="90" t="s">
        <v>335</v>
      </c>
      <c r="I385" s="96" t="s">
        <v>379</v>
      </c>
      <c r="J385" s="97" t="s">
        <v>467</v>
      </c>
      <c r="K385" s="97" t="s">
        <v>480</v>
      </c>
      <c r="L385" s="97">
        <v>2081377.0</v>
      </c>
      <c r="M385" s="97" t="s">
        <v>1073</v>
      </c>
      <c r="N385" s="97" t="s">
        <v>467</v>
      </c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  <c r="AA385" s="80"/>
    </row>
    <row r="386" ht="36.75" customHeight="1">
      <c r="A386" s="90" t="s">
        <v>335</v>
      </c>
      <c r="B386" s="96" t="s">
        <v>379</v>
      </c>
      <c r="C386" s="97" t="s">
        <v>434</v>
      </c>
      <c r="D386" s="97" t="s">
        <v>446</v>
      </c>
      <c r="E386" s="97">
        <v>2077396.0</v>
      </c>
      <c r="F386" s="97" t="s">
        <v>905</v>
      </c>
      <c r="G386" s="96" t="s">
        <v>379</v>
      </c>
      <c r="H386" s="90" t="s">
        <v>335</v>
      </c>
      <c r="I386" s="96" t="s">
        <v>379</v>
      </c>
      <c r="J386" s="97" t="s">
        <v>467</v>
      </c>
      <c r="K386" s="97" t="s">
        <v>481</v>
      </c>
      <c r="L386" s="97">
        <v>2081377.0</v>
      </c>
      <c r="M386" s="97" t="s">
        <v>1073</v>
      </c>
      <c r="N386" s="97" t="s">
        <v>467</v>
      </c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  <c r="AA386" s="80"/>
    </row>
    <row r="387" ht="36.75" customHeight="1">
      <c r="A387" s="90" t="s">
        <v>335</v>
      </c>
      <c r="B387" s="96" t="s">
        <v>379</v>
      </c>
      <c r="C387" s="97" t="s">
        <v>434</v>
      </c>
      <c r="D387" s="97" t="s">
        <v>447</v>
      </c>
      <c r="E387" s="97">
        <v>2077396.0</v>
      </c>
      <c r="F387" s="97" t="s">
        <v>905</v>
      </c>
      <c r="G387" s="96" t="s">
        <v>379</v>
      </c>
      <c r="H387" s="90" t="s">
        <v>335</v>
      </c>
      <c r="I387" s="96" t="s">
        <v>379</v>
      </c>
      <c r="J387" s="97" t="s">
        <v>467</v>
      </c>
      <c r="K387" s="97" t="s">
        <v>482</v>
      </c>
      <c r="L387" s="97">
        <v>2081377.0</v>
      </c>
      <c r="M387" s="97" t="s">
        <v>1073</v>
      </c>
      <c r="N387" s="97" t="s">
        <v>467</v>
      </c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  <c r="AA387" s="80"/>
    </row>
    <row r="388" ht="36.75" customHeight="1">
      <c r="A388" s="90" t="s">
        <v>335</v>
      </c>
      <c r="B388" s="96" t="s">
        <v>379</v>
      </c>
      <c r="C388" s="97" t="s">
        <v>434</v>
      </c>
      <c r="D388" s="97" t="s">
        <v>448</v>
      </c>
      <c r="E388" s="97">
        <v>2077396.0</v>
      </c>
      <c r="F388" s="97" t="s">
        <v>905</v>
      </c>
      <c r="G388" s="96" t="s">
        <v>379</v>
      </c>
      <c r="H388" s="90" t="s">
        <v>335</v>
      </c>
      <c r="I388" s="96" t="s">
        <v>379</v>
      </c>
      <c r="J388" s="97" t="s">
        <v>467</v>
      </c>
      <c r="K388" s="97" t="s">
        <v>483</v>
      </c>
      <c r="L388" s="97">
        <v>2081377.0</v>
      </c>
      <c r="M388" s="97" t="s">
        <v>1073</v>
      </c>
      <c r="N388" s="97" t="s">
        <v>467</v>
      </c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</row>
    <row r="389" ht="36.75" customHeight="1">
      <c r="A389" s="90" t="s">
        <v>335</v>
      </c>
      <c r="B389" s="96" t="s">
        <v>379</v>
      </c>
      <c r="C389" s="97" t="s">
        <v>434</v>
      </c>
      <c r="D389" s="97" t="s">
        <v>449</v>
      </c>
      <c r="E389" s="97">
        <v>2077396.0</v>
      </c>
      <c r="F389" s="97" t="s">
        <v>905</v>
      </c>
      <c r="G389" s="96" t="s">
        <v>379</v>
      </c>
      <c r="H389" s="90" t="s">
        <v>335</v>
      </c>
      <c r="I389" s="96" t="s">
        <v>379</v>
      </c>
      <c r="J389" s="97" t="s">
        <v>467</v>
      </c>
      <c r="K389" s="97" t="s">
        <v>484</v>
      </c>
      <c r="L389" s="97">
        <v>2081377.0</v>
      </c>
      <c r="M389" s="97" t="s">
        <v>1073</v>
      </c>
      <c r="N389" s="97" t="s">
        <v>467</v>
      </c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  <c r="AA389" s="80"/>
    </row>
    <row r="390" ht="36.75" customHeight="1">
      <c r="A390" s="90" t="s">
        <v>335</v>
      </c>
      <c r="B390" s="96" t="s">
        <v>379</v>
      </c>
      <c r="C390" s="97" t="s">
        <v>434</v>
      </c>
      <c r="D390" s="97" t="s">
        <v>450</v>
      </c>
      <c r="E390" s="97">
        <v>2077396.0</v>
      </c>
      <c r="F390" s="97" t="s">
        <v>905</v>
      </c>
      <c r="G390" s="96" t="s">
        <v>379</v>
      </c>
      <c r="H390" s="90" t="s">
        <v>485</v>
      </c>
      <c r="I390" s="96" t="s">
        <v>486</v>
      </c>
      <c r="J390" s="96" t="s">
        <v>487</v>
      </c>
      <c r="K390" s="96" t="s">
        <v>488</v>
      </c>
      <c r="L390" s="96">
        <v>2082845.0</v>
      </c>
      <c r="M390" s="96" t="s">
        <v>1074</v>
      </c>
      <c r="N390" s="96" t="s">
        <v>495</v>
      </c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  <c r="AA390" s="80"/>
    </row>
    <row r="391" ht="36.75" customHeight="1">
      <c r="A391" s="90" t="s">
        <v>335</v>
      </c>
      <c r="B391" s="96" t="s">
        <v>379</v>
      </c>
      <c r="C391" s="97" t="s">
        <v>434</v>
      </c>
      <c r="D391" s="97" t="s">
        <v>451</v>
      </c>
      <c r="E391" s="97">
        <v>2077396.0</v>
      </c>
      <c r="F391" s="97" t="s">
        <v>905</v>
      </c>
      <c r="G391" s="96" t="s">
        <v>379</v>
      </c>
      <c r="H391" s="90" t="s">
        <v>485</v>
      </c>
      <c r="I391" s="96" t="s">
        <v>486</v>
      </c>
      <c r="J391" s="96" t="s">
        <v>487</v>
      </c>
      <c r="K391" s="96" t="s">
        <v>486</v>
      </c>
      <c r="L391" s="96">
        <v>2092611.0</v>
      </c>
      <c r="M391" s="96" t="s">
        <v>1075</v>
      </c>
      <c r="N391" s="96" t="s">
        <v>486</v>
      </c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  <c r="AA391" s="80"/>
    </row>
    <row r="392" ht="36.75" customHeight="1">
      <c r="A392" s="90" t="s">
        <v>335</v>
      </c>
      <c r="B392" s="96" t="s">
        <v>379</v>
      </c>
      <c r="C392" s="97" t="s">
        <v>434</v>
      </c>
      <c r="D392" s="97" t="s">
        <v>452</v>
      </c>
      <c r="E392" s="97">
        <v>2077396.0</v>
      </c>
      <c r="F392" s="97" t="s">
        <v>905</v>
      </c>
      <c r="G392" s="96" t="s">
        <v>379</v>
      </c>
      <c r="H392" s="90" t="s">
        <v>485</v>
      </c>
      <c r="I392" s="96" t="s">
        <v>486</v>
      </c>
      <c r="J392" s="96" t="s">
        <v>487</v>
      </c>
      <c r="K392" s="96" t="s">
        <v>489</v>
      </c>
      <c r="L392" s="96">
        <v>2081296.0</v>
      </c>
      <c r="M392" s="96" t="s">
        <v>1076</v>
      </c>
      <c r="N392" s="96" t="s">
        <v>489</v>
      </c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  <c r="AA392" s="80"/>
    </row>
    <row r="393" ht="36.75" customHeight="1">
      <c r="A393" s="90" t="s">
        <v>335</v>
      </c>
      <c r="B393" s="96" t="s">
        <v>379</v>
      </c>
      <c r="C393" s="97" t="s">
        <v>434</v>
      </c>
      <c r="D393" s="97" t="s">
        <v>453</v>
      </c>
      <c r="E393" s="97">
        <v>2077396.0</v>
      </c>
      <c r="F393" s="97" t="s">
        <v>905</v>
      </c>
      <c r="G393" s="96" t="s">
        <v>379</v>
      </c>
      <c r="H393" s="90" t="s">
        <v>485</v>
      </c>
      <c r="I393" s="96" t="s">
        <v>486</v>
      </c>
      <c r="J393" s="96" t="s">
        <v>487</v>
      </c>
      <c r="K393" s="96" t="s">
        <v>489</v>
      </c>
      <c r="L393" s="96">
        <v>2082845.0</v>
      </c>
      <c r="M393" s="96" t="s">
        <v>1074</v>
      </c>
      <c r="N393" s="96" t="s">
        <v>495</v>
      </c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  <c r="AA393" s="80"/>
    </row>
    <row r="394" ht="36.75" customHeight="1">
      <c r="A394" s="90" t="s">
        <v>335</v>
      </c>
      <c r="B394" s="96" t="s">
        <v>379</v>
      </c>
      <c r="C394" s="97" t="s">
        <v>434</v>
      </c>
      <c r="D394" s="97" t="s">
        <v>454</v>
      </c>
      <c r="E394" s="97">
        <v>2077396.0</v>
      </c>
      <c r="F394" s="97" t="s">
        <v>905</v>
      </c>
      <c r="G394" s="96" t="s">
        <v>379</v>
      </c>
      <c r="H394" s="90" t="s">
        <v>485</v>
      </c>
      <c r="I394" s="96" t="s">
        <v>486</v>
      </c>
      <c r="J394" s="96" t="s">
        <v>487</v>
      </c>
      <c r="K394" s="96" t="s">
        <v>490</v>
      </c>
      <c r="L394" s="96">
        <v>2095912.0</v>
      </c>
      <c r="M394" s="96" t="s">
        <v>1077</v>
      </c>
      <c r="N394" s="96" t="s">
        <v>490</v>
      </c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  <c r="AA394" s="80"/>
    </row>
    <row r="395" ht="36.75" customHeight="1">
      <c r="A395" s="90" t="s">
        <v>335</v>
      </c>
      <c r="B395" s="96" t="s">
        <v>379</v>
      </c>
      <c r="C395" s="97" t="s">
        <v>455</v>
      </c>
      <c r="D395" s="97" t="s">
        <v>456</v>
      </c>
      <c r="E395" s="97">
        <v>2077396.0</v>
      </c>
      <c r="F395" s="97" t="s">
        <v>905</v>
      </c>
      <c r="G395" s="96" t="s">
        <v>379</v>
      </c>
      <c r="H395" s="90" t="s">
        <v>485</v>
      </c>
      <c r="I395" s="96" t="s">
        <v>486</v>
      </c>
      <c r="J395" s="96" t="s">
        <v>487</v>
      </c>
      <c r="K395" s="96" t="s">
        <v>491</v>
      </c>
      <c r="L395" s="96">
        <v>2092611.0</v>
      </c>
      <c r="M395" s="96" t="s">
        <v>1075</v>
      </c>
      <c r="N395" s="96" t="s">
        <v>486</v>
      </c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  <c r="AA395" s="80"/>
    </row>
    <row r="396" ht="36.75" customHeight="1">
      <c r="A396" s="90" t="s">
        <v>335</v>
      </c>
      <c r="B396" s="96" t="s">
        <v>379</v>
      </c>
      <c r="C396" s="97" t="s">
        <v>455</v>
      </c>
      <c r="D396" s="97" t="s">
        <v>457</v>
      </c>
      <c r="E396" s="97">
        <v>2077396.0</v>
      </c>
      <c r="F396" s="97" t="s">
        <v>905</v>
      </c>
      <c r="G396" s="96" t="s">
        <v>379</v>
      </c>
      <c r="H396" s="90" t="s">
        <v>485</v>
      </c>
      <c r="I396" s="96" t="s">
        <v>486</v>
      </c>
      <c r="J396" s="96" t="s">
        <v>487</v>
      </c>
      <c r="K396" s="96" t="s">
        <v>492</v>
      </c>
      <c r="L396" s="96">
        <v>2078414.0</v>
      </c>
      <c r="M396" s="96" t="s">
        <v>1078</v>
      </c>
      <c r="N396" s="96" t="s">
        <v>492</v>
      </c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  <c r="AA396" s="80"/>
    </row>
    <row r="397" ht="36.75" customHeight="1">
      <c r="A397" s="90" t="s">
        <v>335</v>
      </c>
      <c r="B397" s="96" t="s">
        <v>379</v>
      </c>
      <c r="C397" s="97" t="s">
        <v>455</v>
      </c>
      <c r="D397" s="97" t="s">
        <v>458</v>
      </c>
      <c r="E397" s="97">
        <v>2077396.0</v>
      </c>
      <c r="F397" s="97" t="s">
        <v>905</v>
      </c>
      <c r="G397" s="96" t="s">
        <v>379</v>
      </c>
      <c r="H397" s="90" t="s">
        <v>485</v>
      </c>
      <c r="I397" s="96" t="s">
        <v>486</v>
      </c>
      <c r="J397" s="96" t="s">
        <v>487</v>
      </c>
      <c r="K397" s="96" t="s">
        <v>493</v>
      </c>
      <c r="L397" s="96">
        <v>2082845.0</v>
      </c>
      <c r="M397" s="96" t="s">
        <v>1074</v>
      </c>
      <c r="N397" s="96" t="s">
        <v>495</v>
      </c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  <c r="AA397" s="80"/>
    </row>
    <row r="398" ht="36.75" customHeight="1">
      <c r="A398" s="90" t="s">
        <v>335</v>
      </c>
      <c r="B398" s="96" t="s">
        <v>379</v>
      </c>
      <c r="C398" s="97" t="s">
        <v>455</v>
      </c>
      <c r="D398" s="97" t="s">
        <v>459</v>
      </c>
      <c r="E398" s="97">
        <v>2077396.0</v>
      </c>
      <c r="F398" s="97" t="s">
        <v>905</v>
      </c>
      <c r="G398" s="96" t="s">
        <v>379</v>
      </c>
      <c r="H398" s="90" t="s">
        <v>485</v>
      </c>
      <c r="I398" s="96" t="s">
        <v>486</v>
      </c>
      <c r="J398" s="96" t="s">
        <v>487</v>
      </c>
      <c r="K398" s="96" t="s">
        <v>494</v>
      </c>
      <c r="L398" s="96">
        <v>2092611.0</v>
      </c>
      <c r="M398" s="96" t="s">
        <v>1075</v>
      </c>
      <c r="N398" s="96" t="s">
        <v>486</v>
      </c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  <c r="AA398" s="80"/>
    </row>
    <row r="399" ht="36.75" customHeight="1">
      <c r="A399" s="90" t="s">
        <v>335</v>
      </c>
      <c r="B399" s="96" t="s">
        <v>379</v>
      </c>
      <c r="C399" s="97" t="s">
        <v>455</v>
      </c>
      <c r="D399" s="97" t="s">
        <v>460</v>
      </c>
      <c r="E399" s="97">
        <v>2077396.0</v>
      </c>
      <c r="F399" s="97" t="s">
        <v>905</v>
      </c>
      <c r="G399" s="96" t="s">
        <v>379</v>
      </c>
      <c r="H399" s="90" t="s">
        <v>485</v>
      </c>
      <c r="I399" s="96" t="s">
        <v>486</v>
      </c>
      <c r="J399" s="96" t="s">
        <v>487</v>
      </c>
      <c r="K399" s="96" t="s">
        <v>495</v>
      </c>
      <c r="L399" s="96">
        <v>2082845.0</v>
      </c>
      <c r="M399" s="96" t="s">
        <v>1074</v>
      </c>
      <c r="N399" s="96" t="s">
        <v>495</v>
      </c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  <c r="AA399" s="80"/>
    </row>
    <row r="400" ht="36.75" customHeight="1">
      <c r="A400" s="90" t="s">
        <v>335</v>
      </c>
      <c r="B400" s="96" t="s">
        <v>379</v>
      </c>
      <c r="C400" s="97" t="s">
        <v>455</v>
      </c>
      <c r="D400" s="97" t="s">
        <v>461</v>
      </c>
      <c r="E400" s="97">
        <v>2077396.0</v>
      </c>
      <c r="F400" s="97" t="s">
        <v>905</v>
      </c>
      <c r="G400" s="96" t="s">
        <v>379</v>
      </c>
      <c r="H400" s="90" t="s">
        <v>485</v>
      </c>
      <c r="I400" s="96" t="s">
        <v>486</v>
      </c>
      <c r="J400" s="96" t="s">
        <v>487</v>
      </c>
      <c r="K400" s="96" t="s">
        <v>496</v>
      </c>
      <c r="L400" s="96">
        <v>2082845.0</v>
      </c>
      <c r="M400" s="96" t="s">
        <v>1074</v>
      </c>
      <c r="N400" s="96" t="s">
        <v>495</v>
      </c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  <c r="AA400" s="80"/>
    </row>
    <row r="401" ht="36.75" customHeight="1">
      <c r="A401" s="90" t="s">
        <v>335</v>
      </c>
      <c r="B401" s="96" t="s">
        <v>379</v>
      </c>
      <c r="C401" s="97" t="s">
        <v>455</v>
      </c>
      <c r="D401" s="97" t="s">
        <v>462</v>
      </c>
      <c r="E401" s="97">
        <v>2077396.0</v>
      </c>
      <c r="F401" s="97" t="s">
        <v>905</v>
      </c>
      <c r="G401" s="96" t="s">
        <v>379</v>
      </c>
      <c r="H401" s="90" t="s">
        <v>485</v>
      </c>
      <c r="I401" s="96" t="s">
        <v>486</v>
      </c>
      <c r="J401" s="96" t="s">
        <v>497</v>
      </c>
      <c r="K401" s="96" t="s">
        <v>498</v>
      </c>
      <c r="L401" s="96">
        <v>2082381.0</v>
      </c>
      <c r="M401" s="96" t="s">
        <v>1079</v>
      </c>
      <c r="N401" s="96" t="s">
        <v>498</v>
      </c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  <c r="AA401" s="80"/>
    </row>
    <row r="402" ht="36.75" customHeight="1">
      <c r="A402" s="90" t="s">
        <v>335</v>
      </c>
      <c r="B402" s="96" t="s">
        <v>379</v>
      </c>
      <c r="C402" s="97" t="s">
        <v>455</v>
      </c>
      <c r="D402" s="97" t="s">
        <v>463</v>
      </c>
      <c r="E402" s="97">
        <v>2077396.0</v>
      </c>
      <c r="F402" s="97" t="s">
        <v>905</v>
      </c>
      <c r="G402" s="96" t="s">
        <v>379</v>
      </c>
      <c r="H402" s="90" t="s">
        <v>485</v>
      </c>
      <c r="I402" s="96" t="s">
        <v>486</v>
      </c>
      <c r="J402" s="96" t="s">
        <v>497</v>
      </c>
      <c r="K402" s="96" t="s">
        <v>499</v>
      </c>
      <c r="L402" s="96">
        <v>2053519.0</v>
      </c>
      <c r="M402" s="96" t="s">
        <v>1080</v>
      </c>
      <c r="N402" s="96" t="s">
        <v>499</v>
      </c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  <c r="AA402" s="80"/>
    </row>
    <row r="403" ht="36.75" customHeight="1">
      <c r="A403" s="90" t="s">
        <v>335</v>
      </c>
      <c r="B403" s="96" t="s">
        <v>379</v>
      </c>
      <c r="C403" s="97" t="s">
        <v>455</v>
      </c>
      <c r="D403" s="97" t="s">
        <v>464</v>
      </c>
      <c r="E403" s="97">
        <v>2077396.0</v>
      </c>
      <c r="F403" s="97" t="s">
        <v>905</v>
      </c>
      <c r="G403" s="96" t="s">
        <v>379</v>
      </c>
      <c r="H403" s="90" t="s">
        <v>485</v>
      </c>
      <c r="I403" s="96" t="s">
        <v>486</v>
      </c>
      <c r="J403" s="96" t="s">
        <v>497</v>
      </c>
      <c r="K403" s="96" t="s">
        <v>500</v>
      </c>
      <c r="L403" s="96">
        <v>2082381.0</v>
      </c>
      <c r="M403" s="96" t="s">
        <v>1079</v>
      </c>
      <c r="N403" s="96" t="s">
        <v>498</v>
      </c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</row>
    <row r="404" ht="36.75" customHeight="1">
      <c r="A404" s="90" t="s">
        <v>335</v>
      </c>
      <c r="B404" s="96" t="s">
        <v>379</v>
      </c>
      <c r="C404" s="97" t="s">
        <v>455</v>
      </c>
      <c r="D404" s="97" t="s">
        <v>465</v>
      </c>
      <c r="E404" s="97">
        <v>2077396.0</v>
      </c>
      <c r="F404" s="97" t="s">
        <v>905</v>
      </c>
      <c r="G404" s="96" t="s">
        <v>379</v>
      </c>
      <c r="H404" s="90" t="s">
        <v>485</v>
      </c>
      <c r="I404" s="96" t="s">
        <v>486</v>
      </c>
      <c r="J404" s="96" t="s">
        <v>497</v>
      </c>
      <c r="K404" s="96" t="s">
        <v>501</v>
      </c>
      <c r="L404" s="96">
        <v>2082381.0</v>
      </c>
      <c r="M404" s="96" t="s">
        <v>1079</v>
      </c>
      <c r="N404" s="96" t="s">
        <v>498</v>
      </c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  <c r="AA404" s="80"/>
    </row>
    <row r="405" ht="36.75" customHeight="1">
      <c r="A405" s="90" t="s">
        <v>335</v>
      </c>
      <c r="B405" s="96" t="s">
        <v>379</v>
      </c>
      <c r="C405" s="97" t="s">
        <v>455</v>
      </c>
      <c r="D405" s="97" t="s">
        <v>466</v>
      </c>
      <c r="E405" s="97">
        <v>2077396.0</v>
      </c>
      <c r="F405" s="97" t="s">
        <v>905</v>
      </c>
      <c r="G405" s="96" t="s">
        <v>379</v>
      </c>
      <c r="H405" s="90" t="s">
        <v>485</v>
      </c>
      <c r="I405" s="96" t="s">
        <v>486</v>
      </c>
      <c r="J405" s="96" t="s">
        <v>497</v>
      </c>
      <c r="K405" s="96" t="s">
        <v>502</v>
      </c>
      <c r="L405" s="96">
        <v>2082381.0</v>
      </c>
      <c r="M405" s="96" t="s">
        <v>1079</v>
      </c>
      <c r="N405" s="96" t="s">
        <v>498</v>
      </c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  <c r="AA405" s="80"/>
    </row>
    <row r="406" ht="36.75" customHeight="1">
      <c r="A406" s="90" t="s">
        <v>335</v>
      </c>
      <c r="B406" s="96" t="s">
        <v>379</v>
      </c>
      <c r="C406" s="97" t="s">
        <v>467</v>
      </c>
      <c r="D406" s="97" t="s">
        <v>468</v>
      </c>
      <c r="E406" s="97">
        <v>5618401.0</v>
      </c>
      <c r="F406" s="97" t="s">
        <v>906</v>
      </c>
      <c r="G406" s="97" t="s">
        <v>484</v>
      </c>
      <c r="H406" s="90" t="s">
        <v>485</v>
      </c>
      <c r="I406" s="96" t="s">
        <v>486</v>
      </c>
      <c r="J406" s="96" t="s">
        <v>497</v>
      </c>
      <c r="K406" s="96" t="s">
        <v>503</v>
      </c>
      <c r="L406" s="96">
        <v>2082381.0</v>
      </c>
      <c r="M406" s="96" t="s">
        <v>1079</v>
      </c>
      <c r="N406" s="96" t="s">
        <v>498</v>
      </c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</row>
    <row r="407" ht="36.75" customHeight="1">
      <c r="A407" s="90" t="s">
        <v>335</v>
      </c>
      <c r="B407" s="96" t="s">
        <v>379</v>
      </c>
      <c r="C407" s="97" t="s">
        <v>467</v>
      </c>
      <c r="D407" s="97" t="s">
        <v>469</v>
      </c>
      <c r="E407" s="97">
        <v>5618401.0</v>
      </c>
      <c r="F407" s="97" t="s">
        <v>906</v>
      </c>
      <c r="G407" s="97" t="s">
        <v>484</v>
      </c>
      <c r="H407" s="90" t="s">
        <v>485</v>
      </c>
      <c r="I407" s="96" t="s">
        <v>486</v>
      </c>
      <c r="J407" s="96" t="s">
        <v>497</v>
      </c>
      <c r="K407" s="96" t="s">
        <v>504</v>
      </c>
      <c r="L407" s="96">
        <v>2082381.0</v>
      </c>
      <c r="M407" s="96" t="s">
        <v>1079</v>
      </c>
      <c r="N407" s="96" t="s">
        <v>498</v>
      </c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  <c r="AA407" s="80"/>
    </row>
    <row r="408" ht="36.75" customHeight="1">
      <c r="A408" s="90" t="s">
        <v>335</v>
      </c>
      <c r="B408" s="96" t="s">
        <v>379</v>
      </c>
      <c r="C408" s="97" t="s">
        <v>467</v>
      </c>
      <c r="D408" s="97" t="s">
        <v>470</v>
      </c>
      <c r="E408" s="97">
        <v>5618401.0</v>
      </c>
      <c r="F408" s="97" t="s">
        <v>906</v>
      </c>
      <c r="G408" s="97" t="s">
        <v>484</v>
      </c>
      <c r="H408" s="90" t="s">
        <v>485</v>
      </c>
      <c r="I408" s="96" t="s">
        <v>486</v>
      </c>
      <c r="J408" s="96" t="s">
        <v>497</v>
      </c>
      <c r="K408" s="96" t="s">
        <v>505</v>
      </c>
      <c r="L408" s="96">
        <v>2082381.0</v>
      </c>
      <c r="M408" s="96" t="s">
        <v>1079</v>
      </c>
      <c r="N408" s="96" t="s">
        <v>498</v>
      </c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  <c r="AA408" s="80"/>
    </row>
    <row r="409" ht="36.75" customHeight="1">
      <c r="A409" s="90" t="s">
        <v>335</v>
      </c>
      <c r="B409" s="96" t="s">
        <v>379</v>
      </c>
      <c r="C409" s="97" t="s">
        <v>467</v>
      </c>
      <c r="D409" s="97" t="s">
        <v>471</v>
      </c>
      <c r="E409" s="97">
        <v>5618401.0</v>
      </c>
      <c r="F409" s="97" t="s">
        <v>906</v>
      </c>
      <c r="G409" s="97" t="s">
        <v>484</v>
      </c>
      <c r="H409" s="90" t="s">
        <v>485</v>
      </c>
      <c r="I409" s="96" t="s">
        <v>506</v>
      </c>
      <c r="J409" s="96" t="s">
        <v>507</v>
      </c>
      <c r="K409" s="96" t="s">
        <v>508</v>
      </c>
      <c r="L409" s="96">
        <v>2080451.0</v>
      </c>
      <c r="M409" s="96" t="s">
        <v>1081</v>
      </c>
      <c r="N409" s="96" t="s">
        <v>508</v>
      </c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  <c r="AA409" s="80"/>
    </row>
    <row r="410" ht="36.75" customHeight="1">
      <c r="A410" s="90" t="s">
        <v>335</v>
      </c>
      <c r="B410" s="96" t="s">
        <v>379</v>
      </c>
      <c r="C410" s="97" t="s">
        <v>467</v>
      </c>
      <c r="D410" s="97" t="s">
        <v>472</v>
      </c>
      <c r="E410" s="97">
        <v>5618401.0</v>
      </c>
      <c r="F410" s="97" t="s">
        <v>906</v>
      </c>
      <c r="G410" s="97" t="s">
        <v>484</v>
      </c>
      <c r="H410" s="90" t="s">
        <v>485</v>
      </c>
      <c r="I410" s="96" t="s">
        <v>506</v>
      </c>
      <c r="J410" s="96" t="s">
        <v>507</v>
      </c>
      <c r="K410" s="96" t="s">
        <v>509</v>
      </c>
      <c r="L410" s="96">
        <v>2745801.0</v>
      </c>
      <c r="M410" s="96" t="s">
        <v>1082</v>
      </c>
      <c r="N410" s="96" t="s">
        <v>1083</v>
      </c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  <c r="AA410" s="80"/>
    </row>
    <row r="411" ht="36.75" customHeight="1">
      <c r="A411" s="90" t="s">
        <v>335</v>
      </c>
      <c r="B411" s="96" t="s">
        <v>379</v>
      </c>
      <c r="C411" s="97" t="s">
        <v>467</v>
      </c>
      <c r="D411" s="97" t="s">
        <v>473</v>
      </c>
      <c r="E411" s="97">
        <v>5618401.0</v>
      </c>
      <c r="F411" s="97" t="s">
        <v>906</v>
      </c>
      <c r="G411" s="97" t="s">
        <v>484</v>
      </c>
      <c r="H411" s="90" t="s">
        <v>485</v>
      </c>
      <c r="I411" s="96" t="s">
        <v>506</v>
      </c>
      <c r="J411" s="96" t="s">
        <v>507</v>
      </c>
      <c r="K411" s="96" t="s">
        <v>510</v>
      </c>
      <c r="L411" s="96">
        <v>2745798.0</v>
      </c>
      <c r="M411" s="96" t="s">
        <v>1084</v>
      </c>
      <c r="N411" s="96" t="s">
        <v>1085</v>
      </c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  <c r="AA411" s="80"/>
    </row>
    <row r="412" ht="36.75" customHeight="1">
      <c r="A412" s="90" t="s">
        <v>335</v>
      </c>
      <c r="B412" s="96" t="s">
        <v>379</v>
      </c>
      <c r="C412" s="97" t="s">
        <v>467</v>
      </c>
      <c r="D412" s="97" t="s">
        <v>474</v>
      </c>
      <c r="E412" s="97">
        <v>5618401.0</v>
      </c>
      <c r="F412" s="97" t="s">
        <v>906</v>
      </c>
      <c r="G412" s="97" t="s">
        <v>484</v>
      </c>
      <c r="H412" s="90" t="s">
        <v>485</v>
      </c>
      <c r="I412" s="96" t="s">
        <v>506</v>
      </c>
      <c r="J412" s="96" t="s">
        <v>507</v>
      </c>
      <c r="K412" s="96" t="s">
        <v>511</v>
      </c>
      <c r="L412" s="96">
        <v>2745798.0</v>
      </c>
      <c r="M412" s="96" t="s">
        <v>1084</v>
      </c>
      <c r="N412" s="96" t="s">
        <v>1085</v>
      </c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  <c r="AA412" s="80"/>
    </row>
    <row r="413" ht="36.75" customHeight="1">
      <c r="A413" s="90" t="s">
        <v>335</v>
      </c>
      <c r="B413" s="96" t="s">
        <v>379</v>
      </c>
      <c r="C413" s="97" t="s">
        <v>467</v>
      </c>
      <c r="D413" s="97" t="s">
        <v>475</v>
      </c>
      <c r="E413" s="97">
        <v>5618401.0</v>
      </c>
      <c r="F413" s="97" t="s">
        <v>906</v>
      </c>
      <c r="G413" s="97" t="s">
        <v>484</v>
      </c>
      <c r="H413" s="90" t="s">
        <v>485</v>
      </c>
      <c r="I413" s="96" t="s">
        <v>506</v>
      </c>
      <c r="J413" s="96" t="s">
        <v>507</v>
      </c>
      <c r="K413" s="96" t="s">
        <v>512</v>
      </c>
      <c r="L413" s="96">
        <v>2078112.0</v>
      </c>
      <c r="M413" s="96" t="s">
        <v>1086</v>
      </c>
      <c r="N413" s="96" t="s">
        <v>1087</v>
      </c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  <c r="AA413" s="80"/>
    </row>
    <row r="414" ht="36.75" customHeight="1">
      <c r="A414" s="90" t="s">
        <v>335</v>
      </c>
      <c r="B414" s="96" t="s">
        <v>379</v>
      </c>
      <c r="C414" s="97" t="s">
        <v>467</v>
      </c>
      <c r="D414" s="97" t="s">
        <v>476</v>
      </c>
      <c r="E414" s="97">
        <v>5618401.0</v>
      </c>
      <c r="F414" s="97" t="s">
        <v>906</v>
      </c>
      <c r="G414" s="97" t="s">
        <v>484</v>
      </c>
      <c r="H414" s="90" t="s">
        <v>485</v>
      </c>
      <c r="I414" s="96" t="s">
        <v>506</v>
      </c>
      <c r="J414" s="96" t="s">
        <v>507</v>
      </c>
      <c r="K414" s="96" t="s">
        <v>513</v>
      </c>
      <c r="L414" s="96">
        <v>2080044.0</v>
      </c>
      <c r="M414" s="96" t="s">
        <v>1088</v>
      </c>
      <c r="N414" s="96" t="s">
        <v>1089</v>
      </c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  <c r="AA414" s="80"/>
    </row>
    <row r="415" ht="36.75" customHeight="1">
      <c r="A415" s="90" t="s">
        <v>335</v>
      </c>
      <c r="B415" s="96" t="s">
        <v>379</v>
      </c>
      <c r="C415" s="97" t="s">
        <v>467</v>
      </c>
      <c r="D415" s="97" t="s">
        <v>477</v>
      </c>
      <c r="E415" s="97">
        <v>5618401.0</v>
      </c>
      <c r="F415" s="97" t="s">
        <v>906</v>
      </c>
      <c r="G415" s="97" t="s">
        <v>484</v>
      </c>
      <c r="H415" s="90" t="s">
        <v>485</v>
      </c>
      <c r="I415" s="96" t="s">
        <v>506</v>
      </c>
      <c r="J415" s="96" t="s">
        <v>514</v>
      </c>
      <c r="K415" s="96" t="s">
        <v>515</v>
      </c>
      <c r="L415" s="96">
        <v>2751704.0</v>
      </c>
      <c r="M415" s="96" t="s">
        <v>1090</v>
      </c>
      <c r="N415" s="96" t="s">
        <v>1091</v>
      </c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  <c r="AA415" s="80"/>
    </row>
    <row r="416" ht="36.75" customHeight="1">
      <c r="A416" s="90" t="s">
        <v>335</v>
      </c>
      <c r="B416" s="96" t="s">
        <v>379</v>
      </c>
      <c r="C416" s="97" t="s">
        <v>467</v>
      </c>
      <c r="D416" s="97" t="s">
        <v>478</v>
      </c>
      <c r="E416" s="97">
        <v>5618401.0</v>
      </c>
      <c r="F416" s="97" t="s">
        <v>906</v>
      </c>
      <c r="G416" s="97" t="s">
        <v>484</v>
      </c>
      <c r="H416" s="90" t="s">
        <v>485</v>
      </c>
      <c r="I416" s="96" t="s">
        <v>506</v>
      </c>
      <c r="J416" s="96" t="s">
        <v>514</v>
      </c>
      <c r="K416" s="96" t="s">
        <v>516</v>
      </c>
      <c r="L416" s="96">
        <v>2751704.0</v>
      </c>
      <c r="M416" s="96" t="s">
        <v>1090</v>
      </c>
      <c r="N416" s="96" t="s">
        <v>1091</v>
      </c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  <c r="AA416" s="80"/>
    </row>
    <row r="417" ht="36.75" customHeight="1">
      <c r="A417" s="90" t="s">
        <v>335</v>
      </c>
      <c r="B417" s="96" t="s">
        <v>379</v>
      </c>
      <c r="C417" s="97" t="s">
        <v>467</v>
      </c>
      <c r="D417" s="97" t="s">
        <v>479</v>
      </c>
      <c r="E417" s="97">
        <v>5618401.0</v>
      </c>
      <c r="F417" s="97" t="s">
        <v>906</v>
      </c>
      <c r="G417" s="97" t="s">
        <v>484</v>
      </c>
      <c r="H417" s="90" t="s">
        <v>485</v>
      </c>
      <c r="I417" s="96" t="s">
        <v>506</v>
      </c>
      <c r="J417" s="96" t="s">
        <v>514</v>
      </c>
      <c r="K417" s="96" t="s">
        <v>517</v>
      </c>
      <c r="L417" s="96">
        <v>2083973.0</v>
      </c>
      <c r="M417" s="96" t="s">
        <v>1092</v>
      </c>
      <c r="N417" s="96" t="s">
        <v>1093</v>
      </c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  <c r="AA417" s="80"/>
    </row>
    <row r="418" ht="36.75" customHeight="1">
      <c r="A418" s="90" t="s">
        <v>335</v>
      </c>
      <c r="B418" s="96" t="s">
        <v>379</v>
      </c>
      <c r="C418" s="97" t="s">
        <v>467</v>
      </c>
      <c r="D418" s="97" t="s">
        <v>480</v>
      </c>
      <c r="E418" s="97">
        <v>5618401.0</v>
      </c>
      <c r="F418" s="97" t="s">
        <v>906</v>
      </c>
      <c r="G418" s="97" t="s">
        <v>484</v>
      </c>
      <c r="H418" s="90" t="s">
        <v>485</v>
      </c>
      <c r="I418" s="96" t="s">
        <v>506</v>
      </c>
      <c r="J418" s="96" t="s">
        <v>514</v>
      </c>
      <c r="K418" s="96" t="s">
        <v>518</v>
      </c>
      <c r="L418" s="96">
        <v>2079348.0</v>
      </c>
      <c r="M418" s="96" t="s">
        <v>1094</v>
      </c>
      <c r="N418" s="96" t="s">
        <v>518</v>
      </c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  <c r="AA418" s="80"/>
    </row>
    <row r="419" ht="36.75" customHeight="1">
      <c r="A419" s="90" t="s">
        <v>335</v>
      </c>
      <c r="B419" s="96" t="s">
        <v>379</v>
      </c>
      <c r="C419" s="97" t="s">
        <v>467</v>
      </c>
      <c r="D419" s="97" t="s">
        <v>481</v>
      </c>
      <c r="E419" s="97">
        <v>5618401.0</v>
      </c>
      <c r="F419" s="97" t="s">
        <v>906</v>
      </c>
      <c r="G419" s="97" t="s">
        <v>484</v>
      </c>
      <c r="H419" s="90" t="s">
        <v>485</v>
      </c>
      <c r="I419" s="96" t="s">
        <v>506</v>
      </c>
      <c r="J419" s="96" t="s">
        <v>514</v>
      </c>
      <c r="K419" s="96" t="s">
        <v>519</v>
      </c>
      <c r="L419" s="96">
        <v>2751704.0</v>
      </c>
      <c r="M419" s="96" t="s">
        <v>1090</v>
      </c>
      <c r="N419" s="96" t="s">
        <v>1091</v>
      </c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  <c r="AA419" s="80"/>
    </row>
    <row r="420" ht="36.75" customHeight="1">
      <c r="A420" s="90" t="s">
        <v>335</v>
      </c>
      <c r="B420" s="96" t="s">
        <v>379</v>
      </c>
      <c r="C420" s="97" t="s">
        <v>467</v>
      </c>
      <c r="D420" s="97" t="s">
        <v>482</v>
      </c>
      <c r="E420" s="97">
        <v>5618401.0</v>
      </c>
      <c r="F420" s="97" t="s">
        <v>906</v>
      </c>
      <c r="G420" s="97" t="s">
        <v>484</v>
      </c>
      <c r="H420" s="90" t="s">
        <v>485</v>
      </c>
      <c r="I420" s="96" t="s">
        <v>506</v>
      </c>
      <c r="J420" s="96" t="s">
        <v>514</v>
      </c>
      <c r="K420" s="96" t="s">
        <v>520</v>
      </c>
      <c r="L420" s="96">
        <v>2088525.0</v>
      </c>
      <c r="M420" s="96" t="s">
        <v>1095</v>
      </c>
      <c r="N420" s="96" t="s">
        <v>1096</v>
      </c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  <c r="AA420" s="80"/>
    </row>
    <row r="421" ht="36.75" customHeight="1">
      <c r="A421" s="90" t="s">
        <v>335</v>
      </c>
      <c r="B421" s="96" t="s">
        <v>379</v>
      </c>
      <c r="C421" s="97" t="s">
        <v>467</v>
      </c>
      <c r="D421" s="97" t="s">
        <v>483</v>
      </c>
      <c r="E421" s="97">
        <v>5618401.0</v>
      </c>
      <c r="F421" s="97" t="s">
        <v>906</v>
      </c>
      <c r="G421" s="97" t="s">
        <v>484</v>
      </c>
      <c r="H421" s="90" t="s">
        <v>485</v>
      </c>
      <c r="I421" s="96" t="s">
        <v>506</v>
      </c>
      <c r="J421" s="96" t="s">
        <v>521</v>
      </c>
      <c r="K421" s="96" t="s">
        <v>522</v>
      </c>
      <c r="L421" s="96">
        <v>2705982.0</v>
      </c>
      <c r="M421" s="96" t="s">
        <v>1097</v>
      </c>
      <c r="N421" s="96" t="s">
        <v>506</v>
      </c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  <c r="AA421" s="80"/>
    </row>
    <row r="422" ht="36.75" customHeight="1">
      <c r="A422" s="90" t="s">
        <v>335</v>
      </c>
      <c r="B422" s="96" t="s">
        <v>379</v>
      </c>
      <c r="C422" s="97" t="s">
        <v>467</v>
      </c>
      <c r="D422" s="97" t="s">
        <v>484</v>
      </c>
      <c r="E422" s="97">
        <v>5618401.0</v>
      </c>
      <c r="F422" s="97" t="s">
        <v>906</v>
      </c>
      <c r="G422" s="97" t="s">
        <v>484</v>
      </c>
      <c r="H422" s="90" t="s">
        <v>485</v>
      </c>
      <c r="I422" s="96" t="s">
        <v>506</v>
      </c>
      <c r="J422" s="96" t="s">
        <v>521</v>
      </c>
      <c r="K422" s="96" t="s">
        <v>506</v>
      </c>
      <c r="L422" s="96">
        <v>2705982.0</v>
      </c>
      <c r="M422" s="96" t="s">
        <v>1097</v>
      </c>
      <c r="N422" s="96" t="s">
        <v>506</v>
      </c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  <c r="AA422" s="80"/>
    </row>
    <row r="423" ht="36.75" customHeight="1">
      <c r="A423" s="90" t="s">
        <v>485</v>
      </c>
      <c r="B423" s="96" t="s">
        <v>486</v>
      </c>
      <c r="C423" s="96" t="s">
        <v>487</v>
      </c>
      <c r="D423" s="96" t="s">
        <v>488</v>
      </c>
      <c r="E423" s="96">
        <v>6752233.0</v>
      </c>
      <c r="F423" s="96" t="s">
        <v>907</v>
      </c>
      <c r="G423" s="96" t="s">
        <v>486</v>
      </c>
      <c r="H423" s="90" t="s">
        <v>485</v>
      </c>
      <c r="I423" s="96" t="s">
        <v>506</v>
      </c>
      <c r="J423" s="96" t="s">
        <v>521</v>
      </c>
      <c r="K423" s="96" t="s">
        <v>523</v>
      </c>
      <c r="L423" s="96">
        <v>2078449.0</v>
      </c>
      <c r="M423" s="96" t="s">
        <v>1098</v>
      </c>
      <c r="N423" s="96" t="s">
        <v>1099</v>
      </c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  <c r="AA423" s="80"/>
    </row>
    <row r="424" ht="36.75" customHeight="1">
      <c r="A424" s="90" t="s">
        <v>485</v>
      </c>
      <c r="B424" s="96" t="s">
        <v>486</v>
      </c>
      <c r="C424" s="96" t="s">
        <v>487</v>
      </c>
      <c r="D424" s="96" t="s">
        <v>486</v>
      </c>
      <c r="E424" s="96">
        <v>6752233.0</v>
      </c>
      <c r="F424" s="96" t="s">
        <v>907</v>
      </c>
      <c r="G424" s="96" t="s">
        <v>486</v>
      </c>
      <c r="H424" s="90" t="s">
        <v>485</v>
      </c>
      <c r="I424" s="96" t="s">
        <v>506</v>
      </c>
      <c r="J424" s="96" t="s">
        <v>521</v>
      </c>
      <c r="K424" s="96" t="s">
        <v>524</v>
      </c>
      <c r="L424" s="96">
        <v>2080478.0</v>
      </c>
      <c r="M424" s="96" t="s">
        <v>1100</v>
      </c>
      <c r="N424" s="96" t="s">
        <v>526</v>
      </c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  <c r="AA424" s="80"/>
    </row>
    <row r="425" ht="36.75" customHeight="1">
      <c r="A425" s="90" t="s">
        <v>485</v>
      </c>
      <c r="B425" s="96" t="s">
        <v>486</v>
      </c>
      <c r="C425" s="96" t="s">
        <v>487</v>
      </c>
      <c r="D425" s="96" t="s">
        <v>489</v>
      </c>
      <c r="E425" s="96">
        <v>6752233.0</v>
      </c>
      <c r="F425" s="96" t="s">
        <v>907</v>
      </c>
      <c r="G425" s="96" t="s">
        <v>486</v>
      </c>
      <c r="H425" s="90" t="s">
        <v>485</v>
      </c>
      <c r="I425" s="96" t="s">
        <v>506</v>
      </c>
      <c r="J425" s="96" t="s">
        <v>521</v>
      </c>
      <c r="K425" s="96" t="s">
        <v>525</v>
      </c>
      <c r="L425" s="96">
        <v>2078449.0</v>
      </c>
      <c r="M425" s="96" t="s">
        <v>1101</v>
      </c>
      <c r="N425" s="96" t="s">
        <v>525</v>
      </c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</row>
    <row r="426" ht="36.75" customHeight="1">
      <c r="A426" s="90" t="s">
        <v>485</v>
      </c>
      <c r="B426" s="96" t="s">
        <v>486</v>
      </c>
      <c r="C426" s="96" t="s">
        <v>487</v>
      </c>
      <c r="D426" s="96" t="s">
        <v>490</v>
      </c>
      <c r="E426" s="96">
        <v>6752233.0</v>
      </c>
      <c r="F426" s="96" t="s">
        <v>907</v>
      </c>
      <c r="G426" s="96" t="s">
        <v>486</v>
      </c>
      <c r="H426" s="90" t="s">
        <v>485</v>
      </c>
      <c r="I426" s="96" t="s">
        <v>506</v>
      </c>
      <c r="J426" s="96" t="s">
        <v>521</v>
      </c>
      <c r="K426" s="96" t="s">
        <v>526</v>
      </c>
      <c r="L426" s="96">
        <v>2080478.0</v>
      </c>
      <c r="M426" s="96" t="s">
        <v>1100</v>
      </c>
      <c r="N426" s="96" t="s">
        <v>526</v>
      </c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</row>
    <row r="427" ht="36.75" customHeight="1">
      <c r="A427" s="90" t="s">
        <v>485</v>
      </c>
      <c r="B427" s="96" t="s">
        <v>486</v>
      </c>
      <c r="C427" s="96" t="s">
        <v>487</v>
      </c>
      <c r="D427" s="96" t="s">
        <v>491</v>
      </c>
      <c r="E427" s="96">
        <v>6752233.0</v>
      </c>
      <c r="F427" s="96" t="s">
        <v>907</v>
      </c>
      <c r="G427" s="96" t="s">
        <v>486</v>
      </c>
      <c r="H427" s="90" t="s">
        <v>485</v>
      </c>
      <c r="I427" s="96" t="s">
        <v>506</v>
      </c>
      <c r="J427" s="96" t="s">
        <v>521</v>
      </c>
      <c r="K427" s="96" t="s">
        <v>527</v>
      </c>
      <c r="L427" s="96">
        <v>2705982.0</v>
      </c>
      <c r="M427" s="96" t="s">
        <v>1097</v>
      </c>
      <c r="N427" s="96" t="s">
        <v>506</v>
      </c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</row>
    <row r="428" ht="36.75" customHeight="1">
      <c r="A428" s="90" t="s">
        <v>485</v>
      </c>
      <c r="B428" s="96" t="s">
        <v>486</v>
      </c>
      <c r="C428" s="96" t="s">
        <v>487</v>
      </c>
      <c r="D428" s="96" t="s">
        <v>492</v>
      </c>
      <c r="E428" s="96">
        <v>6752233.0</v>
      </c>
      <c r="F428" s="96" t="s">
        <v>907</v>
      </c>
      <c r="G428" s="96" t="s">
        <v>486</v>
      </c>
      <c r="H428" s="90" t="s">
        <v>485</v>
      </c>
      <c r="I428" s="96" t="s">
        <v>506</v>
      </c>
      <c r="J428" s="96" t="s">
        <v>521</v>
      </c>
      <c r="K428" s="96" t="s">
        <v>528</v>
      </c>
      <c r="L428" s="96">
        <v>2705982.0</v>
      </c>
      <c r="M428" s="96" t="s">
        <v>1097</v>
      </c>
      <c r="N428" s="96" t="s">
        <v>506</v>
      </c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  <c r="AA428" s="80"/>
    </row>
    <row r="429" ht="36.75" customHeight="1">
      <c r="A429" s="90" t="s">
        <v>485</v>
      </c>
      <c r="B429" s="96" t="s">
        <v>486</v>
      </c>
      <c r="C429" s="96" t="s">
        <v>487</v>
      </c>
      <c r="D429" s="96" t="s">
        <v>493</v>
      </c>
      <c r="E429" s="96">
        <v>6752233.0</v>
      </c>
      <c r="F429" s="96" t="s">
        <v>907</v>
      </c>
      <c r="G429" s="96" t="s">
        <v>486</v>
      </c>
      <c r="H429" s="90" t="s">
        <v>485</v>
      </c>
      <c r="I429" s="96" t="s">
        <v>506</v>
      </c>
      <c r="J429" s="96" t="s">
        <v>521</v>
      </c>
      <c r="K429" s="96" t="s">
        <v>529</v>
      </c>
      <c r="L429" s="96">
        <v>2080478.0</v>
      </c>
      <c r="M429" s="96" t="s">
        <v>1100</v>
      </c>
      <c r="N429" s="96" t="s">
        <v>526</v>
      </c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  <c r="AA429" s="80"/>
    </row>
    <row r="430" ht="36.75" customHeight="1">
      <c r="A430" s="90" t="s">
        <v>485</v>
      </c>
      <c r="B430" s="96" t="s">
        <v>486</v>
      </c>
      <c r="C430" s="96" t="s">
        <v>487</v>
      </c>
      <c r="D430" s="96" t="s">
        <v>494</v>
      </c>
      <c r="E430" s="96">
        <v>6752233.0</v>
      </c>
      <c r="F430" s="96" t="s">
        <v>907</v>
      </c>
      <c r="G430" s="96" t="s">
        <v>486</v>
      </c>
      <c r="H430" s="90" t="s">
        <v>485</v>
      </c>
      <c r="I430" s="96" t="s">
        <v>506</v>
      </c>
      <c r="J430" s="96" t="s">
        <v>521</v>
      </c>
      <c r="K430" s="96" t="s">
        <v>530</v>
      </c>
      <c r="L430" s="96">
        <v>2705982.0</v>
      </c>
      <c r="M430" s="96" t="s">
        <v>1097</v>
      </c>
      <c r="N430" s="96" t="s">
        <v>506</v>
      </c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  <c r="AA430" s="80"/>
    </row>
    <row r="431" ht="36.75" customHeight="1">
      <c r="A431" s="90" t="s">
        <v>485</v>
      </c>
      <c r="B431" s="96" t="s">
        <v>486</v>
      </c>
      <c r="C431" s="96" t="s">
        <v>487</v>
      </c>
      <c r="D431" s="96" t="s">
        <v>495</v>
      </c>
      <c r="E431" s="96">
        <v>6752233.0</v>
      </c>
      <c r="F431" s="96" t="s">
        <v>907</v>
      </c>
      <c r="G431" s="96" t="s">
        <v>486</v>
      </c>
      <c r="H431" s="90" t="s">
        <v>485</v>
      </c>
      <c r="I431" s="96" t="s">
        <v>531</v>
      </c>
      <c r="J431" s="96" t="s">
        <v>532</v>
      </c>
      <c r="K431" s="96" t="s">
        <v>533</v>
      </c>
      <c r="L431" s="96">
        <v>2079119.0</v>
      </c>
      <c r="M431" s="96" t="s">
        <v>1102</v>
      </c>
      <c r="N431" s="96" t="s">
        <v>531</v>
      </c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  <c r="AA431" s="80"/>
    </row>
    <row r="432" ht="36.75" customHeight="1">
      <c r="A432" s="90" t="s">
        <v>485</v>
      </c>
      <c r="B432" s="96" t="s">
        <v>486</v>
      </c>
      <c r="C432" s="96" t="s">
        <v>487</v>
      </c>
      <c r="D432" s="96" t="s">
        <v>496</v>
      </c>
      <c r="E432" s="96">
        <v>6752233.0</v>
      </c>
      <c r="F432" s="96" t="s">
        <v>907</v>
      </c>
      <c r="G432" s="96" t="s">
        <v>486</v>
      </c>
      <c r="H432" s="90" t="s">
        <v>485</v>
      </c>
      <c r="I432" s="96" t="s">
        <v>531</v>
      </c>
      <c r="J432" s="96" t="s">
        <v>532</v>
      </c>
      <c r="K432" s="96" t="s">
        <v>534</v>
      </c>
      <c r="L432" s="96">
        <v>2079119.0</v>
      </c>
      <c r="M432" s="96" t="s">
        <v>1102</v>
      </c>
      <c r="N432" s="96" t="s">
        <v>531</v>
      </c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  <c r="AA432" s="80"/>
    </row>
    <row r="433" ht="36.75" customHeight="1">
      <c r="A433" s="90" t="s">
        <v>485</v>
      </c>
      <c r="B433" s="96" t="s">
        <v>486</v>
      </c>
      <c r="C433" s="96" t="s">
        <v>497</v>
      </c>
      <c r="D433" s="96" t="s">
        <v>498</v>
      </c>
      <c r="E433" s="96">
        <v>6752233.0</v>
      </c>
      <c r="F433" s="96" t="s">
        <v>907</v>
      </c>
      <c r="G433" s="96" t="s">
        <v>486</v>
      </c>
      <c r="H433" s="90" t="s">
        <v>485</v>
      </c>
      <c r="I433" s="96" t="s">
        <v>531</v>
      </c>
      <c r="J433" s="96" t="s">
        <v>532</v>
      </c>
      <c r="K433" s="96" t="s">
        <v>535</v>
      </c>
      <c r="L433" s="96">
        <v>2079119.0</v>
      </c>
      <c r="M433" s="96" t="s">
        <v>1102</v>
      </c>
      <c r="N433" s="96" t="s">
        <v>531</v>
      </c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  <c r="AA433" s="80"/>
    </row>
    <row r="434" ht="36.75" customHeight="1">
      <c r="A434" s="90" t="s">
        <v>485</v>
      </c>
      <c r="B434" s="96" t="s">
        <v>486</v>
      </c>
      <c r="C434" s="96" t="s">
        <v>497</v>
      </c>
      <c r="D434" s="96" t="s">
        <v>499</v>
      </c>
      <c r="E434" s="96">
        <v>6752233.0</v>
      </c>
      <c r="F434" s="96" t="s">
        <v>907</v>
      </c>
      <c r="G434" s="96" t="s">
        <v>486</v>
      </c>
      <c r="H434" s="90" t="s">
        <v>485</v>
      </c>
      <c r="I434" s="96" t="s">
        <v>531</v>
      </c>
      <c r="J434" s="96" t="s">
        <v>532</v>
      </c>
      <c r="K434" s="96" t="s">
        <v>536</v>
      </c>
      <c r="L434" s="96">
        <v>2079119.0</v>
      </c>
      <c r="M434" s="96" t="s">
        <v>1102</v>
      </c>
      <c r="N434" s="96" t="s">
        <v>531</v>
      </c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</row>
    <row r="435" ht="36.75" customHeight="1">
      <c r="A435" s="90" t="s">
        <v>485</v>
      </c>
      <c r="B435" s="96" t="s">
        <v>486</v>
      </c>
      <c r="C435" s="96" t="s">
        <v>497</v>
      </c>
      <c r="D435" s="96" t="s">
        <v>500</v>
      </c>
      <c r="E435" s="96">
        <v>6752233.0</v>
      </c>
      <c r="F435" s="96" t="s">
        <v>907</v>
      </c>
      <c r="G435" s="96" t="s">
        <v>486</v>
      </c>
      <c r="H435" s="90" t="s">
        <v>485</v>
      </c>
      <c r="I435" s="96" t="s">
        <v>531</v>
      </c>
      <c r="J435" s="96" t="s">
        <v>532</v>
      </c>
      <c r="K435" s="96" t="s">
        <v>531</v>
      </c>
      <c r="L435" s="96">
        <v>2079119.0</v>
      </c>
      <c r="M435" s="96" t="s">
        <v>1102</v>
      </c>
      <c r="N435" s="96" t="s">
        <v>531</v>
      </c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  <c r="AA435" s="80"/>
    </row>
    <row r="436" ht="36.75" customHeight="1">
      <c r="A436" s="90" t="s">
        <v>485</v>
      </c>
      <c r="B436" s="96" t="s">
        <v>486</v>
      </c>
      <c r="C436" s="96" t="s">
        <v>497</v>
      </c>
      <c r="D436" s="96" t="s">
        <v>501</v>
      </c>
      <c r="E436" s="96">
        <v>6752233.0</v>
      </c>
      <c r="F436" s="96" t="s">
        <v>907</v>
      </c>
      <c r="G436" s="96" t="s">
        <v>486</v>
      </c>
      <c r="H436" s="90" t="s">
        <v>485</v>
      </c>
      <c r="I436" s="96" t="s">
        <v>531</v>
      </c>
      <c r="J436" s="96" t="s">
        <v>532</v>
      </c>
      <c r="K436" s="96" t="s">
        <v>531</v>
      </c>
      <c r="L436" s="96">
        <v>3314766.0</v>
      </c>
      <c r="M436" s="96" t="s">
        <v>1103</v>
      </c>
      <c r="N436" s="96" t="s">
        <v>531</v>
      </c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  <c r="AA436" s="80"/>
    </row>
    <row r="437" ht="36.75" customHeight="1">
      <c r="A437" s="90" t="s">
        <v>485</v>
      </c>
      <c r="B437" s="96" t="s">
        <v>486</v>
      </c>
      <c r="C437" s="96" t="s">
        <v>497</v>
      </c>
      <c r="D437" s="96" t="s">
        <v>502</v>
      </c>
      <c r="E437" s="96">
        <v>6752233.0</v>
      </c>
      <c r="F437" s="96" t="s">
        <v>907</v>
      </c>
      <c r="G437" s="96" t="s">
        <v>486</v>
      </c>
      <c r="H437" s="90" t="s">
        <v>485</v>
      </c>
      <c r="I437" s="96" t="s">
        <v>531</v>
      </c>
      <c r="J437" s="96" t="s">
        <v>532</v>
      </c>
      <c r="K437" s="96" t="s">
        <v>537</v>
      </c>
      <c r="L437" s="96">
        <v>2091267.0</v>
      </c>
      <c r="M437" s="96" t="s">
        <v>1104</v>
      </c>
      <c r="N437" s="96" t="s">
        <v>537</v>
      </c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  <c r="AA437" s="80"/>
    </row>
    <row r="438" ht="36.75" customHeight="1">
      <c r="A438" s="90" t="s">
        <v>485</v>
      </c>
      <c r="B438" s="96" t="s">
        <v>486</v>
      </c>
      <c r="C438" s="96" t="s">
        <v>497</v>
      </c>
      <c r="D438" s="96" t="s">
        <v>503</v>
      </c>
      <c r="E438" s="96">
        <v>6752233.0</v>
      </c>
      <c r="F438" s="96" t="s">
        <v>907</v>
      </c>
      <c r="G438" s="96" t="s">
        <v>486</v>
      </c>
      <c r="H438" s="90" t="s">
        <v>485</v>
      </c>
      <c r="I438" s="96" t="s">
        <v>531</v>
      </c>
      <c r="J438" s="96" t="s">
        <v>532</v>
      </c>
      <c r="K438" s="96" t="s">
        <v>538</v>
      </c>
      <c r="L438" s="96">
        <v>2079119.0</v>
      </c>
      <c r="M438" s="96" t="s">
        <v>1102</v>
      </c>
      <c r="N438" s="96" t="s">
        <v>531</v>
      </c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  <c r="AA438" s="80"/>
    </row>
    <row r="439" ht="36.75" customHeight="1">
      <c r="A439" s="90" t="s">
        <v>485</v>
      </c>
      <c r="B439" s="96" t="s">
        <v>486</v>
      </c>
      <c r="C439" s="96" t="s">
        <v>497</v>
      </c>
      <c r="D439" s="96" t="s">
        <v>504</v>
      </c>
      <c r="E439" s="96">
        <v>6752233.0</v>
      </c>
      <c r="F439" s="96" t="s">
        <v>907</v>
      </c>
      <c r="G439" s="96" t="s">
        <v>486</v>
      </c>
      <c r="H439" s="90" t="s">
        <v>485</v>
      </c>
      <c r="I439" s="96" t="s">
        <v>531</v>
      </c>
      <c r="J439" s="96" t="s">
        <v>532</v>
      </c>
      <c r="K439" s="96" t="s">
        <v>539</v>
      </c>
      <c r="L439" s="96">
        <v>2079119.0</v>
      </c>
      <c r="M439" s="96" t="s">
        <v>1102</v>
      </c>
      <c r="N439" s="96" t="s">
        <v>531</v>
      </c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  <c r="AA439" s="80"/>
    </row>
    <row r="440" ht="36.75" customHeight="1">
      <c r="A440" s="90" t="s">
        <v>485</v>
      </c>
      <c r="B440" s="96" t="s">
        <v>486</v>
      </c>
      <c r="C440" s="96" t="s">
        <v>497</v>
      </c>
      <c r="D440" s="96" t="s">
        <v>505</v>
      </c>
      <c r="E440" s="96">
        <v>6752233.0</v>
      </c>
      <c r="F440" s="96" t="s">
        <v>907</v>
      </c>
      <c r="G440" s="96" t="s">
        <v>486</v>
      </c>
      <c r="H440" s="90" t="s">
        <v>485</v>
      </c>
      <c r="I440" s="96" t="s">
        <v>531</v>
      </c>
      <c r="J440" s="96" t="s">
        <v>532</v>
      </c>
      <c r="K440" s="96" t="s">
        <v>540</v>
      </c>
      <c r="L440" s="96">
        <v>2079119.0</v>
      </c>
      <c r="M440" s="96" t="s">
        <v>1102</v>
      </c>
      <c r="N440" s="96" t="s">
        <v>531</v>
      </c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  <c r="AA440" s="80"/>
    </row>
    <row r="441" ht="36.75" customHeight="1">
      <c r="A441" s="90" t="s">
        <v>485</v>
      </c>
      <c r="B441" s="96" t="s">
        <v>506</v>
      </c>
      <c r="C441" s="96" t="s">
        <v>507</v>
      </c>
      <c r="D441" s="96" t="s">
        <v>508</v>
      </c>
      <c r="E441" s="96">
        <v>7033702.0</v>
      </c>
      <c r="F441" s="96" t="s">
        <v>908</v>
      </c>
      <c r="G441" s="96" t="s">
        <v>519</v>
      </c>
      <c r="H441" s="90" t="s">
        <v>485</v>
      </c>
      <c r="I441" s="96" t="s">
        <v>531</v>
      </c>
      <c r="J441" s="96" t="s">
        <v>532</v>
      </c>
      <c r="K441" s="96" t="s">
        <v>541</v>
      </c>
      <c r="L441" s="96">
        <v>2079119.0</v>
      </c>
      <c r="M441" s="96" t="s">
        <v>1102</v>
      </c>
      <c r="N441" s="96" t="s">
        <v>531</v>
      </c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  <c r="AA441" s="80"/>
    </row>
    <row r="442" ht="36.75" customHeight="1">
      <c r="A442" s="90" t="s">
        <v>485</v>
      </c>
      <c r="B442" s="96" t="s">
        <v>506</v>
      </c>
      <c r="C442" s="96" t="s">
        <v>507</v>
      </c>
      <c r="D442" s="96" t="s">
        <v>509</v>
      </c>
      <c r="E442" s="96">
        <v>7033702.0</v>
      </c>
      <c r="F442" s="96" t="s">
        <v>908</v>
      </c>
      <c r="G442" s="96" t="s">
        <v>519</v>
      </c>
      <c r="H442" s="90" t="s">
        <v>485</v>
      </c>
      <c r="I442" s="96" t="s">
        <v>531</v>
      </c>
      <c r="J442" s="96" t="s">
        <v>542</v>
      </c>
      <c r="K442" s="96" t="s">
        <v>543</v>
      </c>
      <c r="L442" s="96">
        <v>2084171.0</v>
      </c>
      <c r="M442" s="96" t="s">
        <v>1013</v>
      </c>
      <c r="N442" s="96" t="s">
        <v>1105</v>
      </c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  <c r="AA442" s="80"/>
    </row>
    <row r="443" ht="36.75" customHeight="1">
      <c r="A443" s="90" t="s">
        <v>485</v>
      </c>
      <c r="B443" s="96" t="s">
        <v>506</v>
      </c>
      <c r="C443" s="96" t="s">
        <v>507</v>
      </c>
      <c r="D443" s="96" t="s">
        <v>510</v>
      </c>
      <c r="E443" s="96">
        <v>7033702.0</v>
      </c>
      <c r="F443" s="96" t="s">
        <v>908</v>
      </c>
      <c r="G443" s="96" t="s">
        <v>519</v>
      </c>
      <c r="H443" s="90" t="s">
        <v>485</v>
      </c>
      <c r="I443" s="96" t="s">
        <v>531</v>
      </c>
      <c r="J443" s="96" t="s">
        <v>542</v>
      </c>
      <c r="K443" s="96" t="s">
        <v>544</v>
      </c>
      <c r="L443" s="96">
        <v>2026805.0</v>
      </c>
      <c r="M443" s="96" t="s">
        <v>1106</v>
      </c>
      <c r="N443" s="96" t="s">
        <v>545</v>
      </c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</row>
    <row r="444" ht="36.75" customHeight="1">
      <c r="A444" s="90" t="s">
        <v>485</v>
      </c>
      <c r="B444" s="96" t="s">
        <v>506</v>
      </c>
      <c r="C444" s="96" t="s">
        <v>507</v>
      </c>
      <c r="D444" s="96" t="s">
        <v>511</v>
      </c>
      <c r="E444" s="96">
        <v>7033702.0</v>
      </c>
      <c r="F444" s="96" t="s">
        <v>908</v>
      </c>
      <c r="G444" s="96" t="s">
        <v>519</v>
      </c>
      <c r="H444" s="90" t="s">
        <v>485</v>
      </c>
      <c r="I444" s="96" t="s">
        <v>531</v>
      </c>
      <c r="J444" s="96" t="s">
        <v>542</v>
      </c>
      <c r="K444" s="96" t="s">
        <v>545</v>
      </c>
      <c r="L444" s="96">
        <v>2026805.0</v>
      </c>
      <c r="M444" s="96" t="s">
        <v>1106</v>
      </c>
      <c r="N444" s="96" t="s">
        <v>545</v>
      </c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  <c r="AA444" s="80"/>
    </row>
    <row r="445" ht="36.75" customHeight="1">
      <c r="A445" s="90" t="s">
        <v>485</v>
      </c>
      <c r="B445" s="96" t="s">
        <v>506</v>
      </c>
      <c r="C445" s="96" t="s">
        <v>507</v>
      </c>
      <c r="D445" s="96" t="s">
        <v>512</v>
      </c>
      <c r="E445" s="96">
        <v>7033702.0</v>
      </c>
      <c r="F445" s="96" t="s">
        <v>908</v>
      </c>
      <c r="G445" s="96" t="s">
        <v>519</v>
      </c>
      <c r="H445" s="90" t="s">
        <v>485</v>
      </c>
      <c r="I445" s="96" t="s">
        <v>531</v>
      </c>
      <c r="J445" s="96" t="s">
        <v>542</v>
      </c>
      <c r="K445" s="96" t="s">
        <v>546</v>
      </c>
      <c r="L445" s="96">
        <v>2025477.0</v>
      </c>
      <c r="M445" s="96" t="s">
        <v>1107</v>
      </c>
      <c r="N445" s="96" t="s">
        <v>546</v>
      </c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  <c r="AA445" s="80"/>
    </row>
    <row r="446" ht="36.75" customHeight="1">
      <c r="A446" s="90" t="s">
        <v>485</v>
      </c>
      <c r="B446" s="96" t="s">
        <v>506</v>
      </c>
      <c r="C446" s="96" t="s">
        <v>507</v>
      </c>
      <c r="D446" s="96" t="s">
        <v>513</v>
      </c>
      <c r="E446" s="96">
        <v>7033702.0</v>
      </c>
      <c r="F446" s="96" t="s">
        <v>908</v>
      </c>
      <c r="G446" s="96" t="s">
        <v>519</v>
      </c>
      <c r="H446" s="90" t="s">
        <v>485</v>
      </c>
      <c r="I446" s="96" t="s">
        <v>531</v>
      </c>
      <c r="J446" s="96" t="s">
        <v>542</v>
      </c>
      <c r="K446" s="96" t="s">
        <v>547</v>
      </c>
      <c r="L446" s="96">
        <v>2028204.0</v>
      </c>
      <c r="M446" s="96" t="s">
        <v>1108</v>
      </c>
      <c r="N446" s="96" t="s">
        <v>547</v>
      </c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  <c r="AA446" s="80"/>
    </row>
    <row r="447" ht="36.75" customHeight="1">
      <c r="A447" s="90" t="s">
        <v>485</v>
      </c>
      <c r="B447" s="96" t="s">
        <v>506</v>
      </c>
      <c r="C447" s="96" t="s">
        <v>514</v>
      </c>
      <c r="D447" s="96" t="s">
        <v>515</v>
      </c>
      <c r="E447" s="96">
        <v>7033702.0</v>
      </c>
      <c r="F447" s="96" t="s">
        <v>908</v>
      </c>
      <c r="G447" s="96" t="s">
        <v>519</v>
      </c>
      <c r="H447" s="90" t="s">
        <v>485</v>
      </c>
      <c r="I447" s="96" t="s">
        <v>531</v>
      </c>
      <c r="J447" s="96" t="s">
        <v>542</v>
      </c>
      <c r="K447" s="96" t="s">
        <v>548</v>
      </c>
      <c r="L447" s="96">
        <v>2089548.0</v>
      </c>
      <c r="M447" s="96" t="s">
        <v>1109</v>
      </c>
      <c r="N447" s="96" t="s">
        <v>548</v>
      </c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  <c r="AA447" s="80"/>
    </row>
    <row r="448" ht="36.75" customHeight="1">
      <c r="A448" s="90" t="s">
        <v>485</v>
      </c>
      <c r="B448" s="96" t="s">
        <v>506</v>
      </c>
      <c r="C448" s="96" t="s">
        <v>514</v>
      </c>
      <c r="D448" s="96" t="s">
        <v>516</v>
      </c>
      <c r="E448" s="96">
        <v>7033702.0</v>
      </c>
      <c r="F448" s="96" t="s">
        <v>908</v>
      </c>
      <c r="G448" s="96" t="s">
        <v>519</v>
      </c>
      <c r="H448" s="90" t="s">
        <v>485</v>
      </c>
      <c r="I448" s="96" t="s">
        <v>531</v>
      </c>
      <c r="J448" s="96" t="s">
        <v>542</v>
      </c>
      <c r="K448" s="96" t="s">
        <v>549</v>
      </c>
      <c r="L448" s="96">
        <v>2083493.0</v>
      </c>
      <c r="M448" s="96" t="s">
        <v>1110</v>
      </c>
      <c r="N448" s="96" t="s">
        <v>549</v>
      </c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  <c r="AA448" s="80"/>
    </row>
    <row r="449" ht="36.75" customHeight="1">
      <c r="A449" s="90" t="s">
        <v>485</v>
      </c>
      <c r="B449" s="96" t="s">
        <v>506</v>
      </c>
      <c r="C449" s="96" t="s">
        <v>514</v>
      </c>
      <c r="D449" s="96" t="s">
        <v>517</v>
      </c>
      <c r="E449" s="96">
        <v>7033702.0</v>
      </c>
      <c r="F449" s="96" t="s">
        <v>908</v>
      </c>
      <c r="G449" s="96" t="s">
        <v>519</v>
      </c>
      <c r="H449" s="90" t="s">
        <v>485</v>
      </c>
      <c r="I449" s="96" t="s">
        <v>531</v>
      </c>
      <c r="J449" s="96" t="s">
        <v>542</v>
      </c>
      <c r="K449" s="96" t="s">
        <v>550</v>
      </c>
      <c r="L449" s="96">
        <v>2026805.0</v>
      </c>
      <c r="M449" s="96" t="s">
        <v>1106</v>
      </c>
      <c r="N449" s="96" t="s">
        <v>545</v>
      </c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  <c r="AA449" s="80"/>
    </row>
    <row r="450" ht="36.75" customHeight="1">
      <c r="A450" s="90" t="s">
        <v>485</v>
      </c>
      <c r="B450" s="96" t="s">
        <v>506</v>
      </c>
      <c r="C450" s="96" t="s">
        <v>514</v>
      </c>
      <c r="D450" s="96" t="s">
        <v>518</v>
      </c>
      <c r="E450" s="96">
        <v>7033702.0</v>
      </c>
      <c r="F450" s="96" t="s">
        <v>908</v>
      </c>
      <c r="G450" s="96" t="s">
        <v>519</v>
      </c>
      <c r="H450" s="90" t="s">
        <v>485</v>
      </c>
      <c r="I450" s="96" t="s">
        <v>531</v>
      </c>
      <c r="J450" s="96" t="s">
        <v>542</v>
      </c>
      <c r="K450" s="96" t="s">
        <v>551</v>
      </c>
      <c r="L450" s="96">
        <v>2084171.0</v>
      </c>
      <c r="M450" s="96" t="s">
        <v>1013</v>
      </c>
      <c r="N450" s="96" t="s">
        <v>1105</v>
      </c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  <c r="AA450" s="80"/>
    </row>
    <row r="451" ht="36.75" customHeight="1">
      <c r="A451" s="90" t="s">
        <v>485</v>
      </c>
      <c r="B451" s="96" t="s">
        <v>506</v>
      </c>
      <c r="C451" s="96" t="s">
        <v>514</v>
      </c>
      <c r="D451" s="96" t="s">
        <v>519</v>
      </c>
      <c r="E451" s="96">
        <v>7033702.0</v>
      </c>
      <c r="F451" s="96" t="s">
        <v>908</v>
      </c>
      <c r="G451" s="96" t="s">
        <v>519</v>
      </c>
      <c r="H451" s="90" t="s">
        <v>485</v>
      </c>
      <c r="I451" s="96" t="s">
        <v>531</v>
      </c>
      <c r="J451" s="96" t="s">
        <v>552</v>
      </c>
      <c r="K451" s="96" t="s">
        <v>553</v>
      </c>
      <c r="L451" s="96">
        <v>2082853.0</v>
      </c>
      <c r="M451" s="96" t="s">
        <v>1111</v>
      </c>
      <c r="N451" s="96" t="s">
        <v>554</v>
      </c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  <c r="AA451" s="80"/>
    </row>
    <row r="452" ht="36.75" customHeight="1">
      <c r="A452" s="90" t="s">
        <v>485</v>
      </c>
      <c r="B452" s="96" t="s">
        <v>506</v>
      </c>
      <c r="C452" s="96" t="s">
        <v>514</v>
      </c>
      <c r="D452" s="96" t="s">
        <v>520</v>
      </c>
      <c r="E452" s="96">
        <v>7033702.0</v>
      </c>
      <c r="F452" s="96" t="s">
        <v>908</v>
      </c>
      <c r="G452" s="96" t="s">
        <v>519</v>
      </c>
      <c r="H452" s="90" t="s">
        <v>485</v>
      </c>
      <c r="I452" s="96" t="s">
        <v>531</v>
      </c>
      <c r="J452" s="96" t="s">
        <v>552</v>
      </c>
      <c r="K452" s="96" t="s">
        <v>553</v>
      </c>
      <c r="L452" s="96">
        <v>2079119.0</v>
      </c>
      <c r="M452" s="96" t="s">
        <v>1102</v>
      </c>
      <c r="N452" s="96" t="s">
        <v>531</v>
      </c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  <c r="AA452" s="80"/>
    </row>
    <row r="453" ht="36.75" customHeight="1">
      <c r="A453" s="90" t="s">
        <v>485</v>
      </c>
      <c r="B453" s="96" t="s">
        <v>506</v>
      </c>
      <c r="C453" s="96" t="s">
        <v>521</v>
      </c>
      <c r="D453" s="96" t="s">
        <v>522</v>
      </c>
      <c r="E453" s="96">
        <v>5576121.0</v>
      </c>
      <c r="F453" s="96" t="s">
        <v>909</v>
      </c>
      <c r="G453" s="96" t="s">
        <v>506</v>
      </c>
      <c r="H453" s="90" t="s">
        <v>485</v>
      </c>
      <c r="I453" s="96" t="s">
        <v>531</v>
      </c>
      <c r="J453" s="96" t="s">
        <v>552</v>
      </c>
      <c r="K453" s="96" t="s">
        <v>554</v>
      </c>
      <c r="L453" s="96">
        <v>2082853.0</v>
      </c>
      <c r="M453" s="96" t="s">
        <v>1111</v>
      </c>
      <c r="N453" s="96" t="s">
        <v>554</v>
      </c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  <c r="AA453" s="80"/>
    </row>
    <row r="454" ht="36.75" customHeight="1">
      <c r="A454" s="90" t="s">
        <v>485</v>
      </c>
      <c r="B454" s="96" t="s">
        <v>506</v>
      </c>
      <c r="C454" s="96" t="s">
        <v>521</v>
      </c>
      <c r="D454" s="96" t="s">
        <v>506</v>
      </c>
      <c r="E454" s="96">
        <v>5576121.0</v>
      </c>
      <c r="F454" s="96" t="s">
        <v>909</v>
      </c>
      <c r="G454" s="96" t="s">
        <v>506</v>
      </c>
      <c r="H454" s="90" t="s">
        <v>485</v>
      </c>
      <c r="I454" s="96" t="s">
        <v>531</v>
      </c>
      <c r="J454" s="96" t="s">
        <v>552</v>
      </c>
      <c r="K454" s="96" t="s">
        <v>555</v>
      </c>
      <c r="L454" s="96">
        <v>2082853.0</v>
      </c>
      <c r="M454" s="96" t="s">
        <v>1111</v>
      </c>
      <c r="N454" s="96" t="s">
        <v>554</v>
      </c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  <c r="AA454" s="80"/>
    </row>
    <row r="455" ht="36.75" customHeight="1">
      <c r="A455" s="90" t="s">
        <v>485</v>
      </c>
      <c r="B455" s="96" t="s">
        <v>506</v>
      </c>
      <c r="C455" s="96" t="s">
        <v>521</v>
      </c>
      <c r="D455" s="96" t="s">
        <v>523</v>
      </c>
      <c r="E455" s="96">
        <v>5576121.0</v>
      </c>
      <c r="F455" s="96" t="s">
        <v>909</v>
      </c>
      <c r="G455" s="96" t="s">
        <v>506</v>
      </c>
      <c r="H455" s="90" t="s">
        <v>485</v>
      </c>
      <c r="I455" s="96" t="s">
        <v>531</v>
      </c>
      <c r="J455" s="96" t="s">
        <v>552</v>
      </c>
      <c r="K455" s="96" t="s">
        <v>555</v>
      </c>
      <c r="L455" s="96">
        <v>2079119.0</v>
      </c>
      <c r="M455" s="96" t="s">
        <v>1102</v>
      </c>
      <c r="N455" s="96" t="s">
        <v>531</v>
      </c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  <c r="AA455" s="80"/>
    </row>
    <row r="456" ht="36.75" customHeight="1">
      <c r="A456" s="90" t="s">
        <v>485</v>
      </c>
      <c r="B456" s="96" t="s">
        <v>506</v>
      </c>
      <c r="C456" s="96" t="s">
        <v>521</v>
      </c>
      <c r="D456" s="96" t="s">
        <v>524</v>
      </c>
      <c r="E456" s="96">
        <v>5576121.0</v>
      </c>
      <c r="F456" s="96" t="s">
        <v>909</v>
      </c>
      <c r="G456" s="96" t="s">
        <v>506</v>
      </c>
      <c r="H456" s="90" t="s">
        <v>485</v>
      </c>
      <c r="I456" s="96" t="s">
        <v>531</v>
      </c>
      <c r="J456" s="96" t="s">
        <v>552</v>
      </c>
      <c r="K456" s="96" t="s">
        <v>556</v>
      </c>
      <c r="L456" s="96">
        <v>2023016.0</v>
      </c>
      <c r="M456" s="96" t="s">
        <v>1112</v>
      </c>
      <c r="N456" s="96" t="s">
        <v>556</v>
      </c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  <c r="AA456" s="80"/>
    </row>
    <row r="457" ht="36.75" customHeight="1">
      <c r="A457" s="90" t="s">
        <v>485</v>
      </c>
      <c r="B457" s="96" t="s">
        <v>506</v>
      </c>
      <c r="C457" s="96" t="s">
        <v>521</v>
      </c>
      <c r="D457" s="96" t="s">
        <v>525</v>
      </c>
      <c r="E457" s="96">
        <v>5576121.0</v>
      </c>
      <c r="F457" s="96" t="s">
        <v>909</v>
      </c>
      <c r="G457" s="96" t="s">
        <v>506</v>
      </c>
      <c r="H457" s="90" t="s">
        <v>485</v>
      </c>
      <c r="I457" s="96" t="s">
        <v>531</v>
      </c>
      <c r="J457" s="96" t="s">
        <v>552</v>
      </c>
      <c r="K457" s="96" t="s">
        <v>557</v>
      </c>
      <c r="L457" s="96">
        <v>2079119.0</v>
      </c>
      <c r="M457" s="96" t="s">
        <v>1102</v>
      </c>
      <c r="N457" s="96" t="s">
        <v>531</v>
      </c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  <c r="AA457" s="80"/>
    </row>
    <row r="458" ht="36.75" customHeight="1">
      <c r="A458" s="90" t="s">
        <v>485</v>
      </c>
      <c r="B458" s="96" t="s">
        <v>506</v>
      </c>
      <c r="C458" s="96" t="s">
        <v>521</v>
      </c>
      <c r="D458" s="96" t="s">
        <v>526</v>
      </c>
      <c r="E458" s="96">
        <v>5576121.0</v>
      </c>
      <c r="F458" s="96" t="s">
        <v>909</v>
      </c>
      <c r="G458" s="96" t="s">
        <v>506</v>
      </c>
      <c r="H458" s="90" t="s">
        <v>485</v>
      </c>
      <c r="I458" s="96" t="s">
        <v>531</v>
      </c>
      <c r="J458" s="96" t="s">
        <v>552</v>
      </c>
      <c r="K458" s="96" t="s">
        <v>558</v>
      </c>
      <c r="L458" s="96">
        <v>2023016.0</v>
      </c>
      <c r="M458" s="96" t="s">
        <v>1112</v>
      </c>
      <c r="N458" s="96" t="s">
        <v>556</v>
      </c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  <c r="AA458" s="80"/>
    </row>
    <row r="459" ht="36.75" customHeight="1">
      <c r="A459" s="90" t="s">
        <v>485</v>
      </c>
      <c r="B459" s="96" t="s">
        <v>506</v>
      </c>
      <c r="C459" s="96" t="s">
        <v>521</v>
      </c>
      <c r="D459" s="96" t="s">
        <v>527</v>
      </c>
      <c r="E459" s="96">
        <v>5576121.0</v>
      </c>
      <c r="F459" s="96" t="s">
        <v>909</v>
      </c>
      <c r="G459" s="96" t="s">
        <v>506</v>
      </c>
      <c r="H459" s="90" t="s">
        <v>485</v>
      </c>
      <c r="I459" s="96" t="s">
        <v>531</v>
      </c>
      <c r="J459" s="96" t="s">
        <v>552</v>
      </c>
      <c r="K459" s="96" t="s">
        <v>559</v>
      </c>
      <c r="L459" s="96">
        <v>2082853.0</v>
      </c>
      <c r="M459" s="96" t="s">
        <v>1111</v>
      </c>
      <c r="N459" s="96" t="s">
        <v>554</v>
      </c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  <c r="AA459" s="80"/>
    </row>
    <row r="460" ht="36.75" customHeight="1">
      <c r="A460" s="90" t="s">
        <v>485</v>
      </c>
      <c r="B460" s="96" t="s">
        <v>506</v>
      </c>
      <c r="C460" s="96" t="s">
        <v>521</v>
      </c>
      <c r="D460" s="96" t="s">
        <v>528</v>
      </c>
      <c r="E460" s="96">
        <v>5576121.0</v>
      </c>
      <c r="F460" s="96" t="s">
        <v>909</v>
      </c>
      <c r="G460" s="96" t="s">
        <v>506</v>
      </c>
      <c r="H460" s="90" t="s">
        <v>560</v>
      </c>
      <c r="I460" s="96" t="s">
        <v>561</v>
      </c>
      <c r="J460" s="96" t="s">
        <v>562</v>
      </c>
      <c r="K460" s="82" t="s">
        <v>562</v>
      </c>
      <c r="L460" s="96">
        <v>2081253.0</v>
      </c>
      <c r="M460" s="96" t="s">
        <v>912</v>
      </c>
      <c r="N460" s="96" t="s">
        <v>562</v>
      </c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  <c r="AA460" s="80"/>
    </row>
    <row r="461" ht="36.75" customHeight="1">
      <c r="A461" s="90" t="s">
        <v>485</v>
      </c>
      <c r="B461" s="96" t="s">
        <v>506</v>
      </c>
      <c r="C461" s="96" t="s">
        <v>521</v>
      </c>
      <c r="D461" s="96" t="s">
        <v>529</v>
      </c>
      <c r="E461" s="96">
        <v>5576121.0</v>
      </c>
      <c r="F461" s="96" t="s">
        <v>909</v>
      </c>
      <c r="G461" s="96" t="s">
        <v>506</v>
      </c>
      <c r="H461" s="90" t="s">
        <v>560</v>
      </c>
      <c r="I461" s="96" t="s">
        <v>561</v>
      </c>
      <c r="J461" s="96" t="s">
        <v>562</v>
      </c>
      <c r="K461" s="82" t="s">
        <v>563</v>
      </c>
      <c r="L461" s="96">
        <v>2084430.0</v>
      </c>
      <c r="M461" s="96" t="s">
        <v>1113</v>
      </c>
      <c r="N461" s="96" t="s">
        <v>563</v>
      </c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  <c r="AA461" s="80"/>
    </row>
    <row r="462" ht="36.75" customHeight="1">
      <c r="A462" s="90" t="s">
        <v>485</v>
      </c>
      <c r="B462" s="96" t="s">
        <v>506</v>
      </c>
      <c r="C462" s="96" t="s">
        <v>521</v>
      </c>
      <c r="D462" s="96" t="s">
        <v>530</v>
      </c>
      <c r="E462" s="96">
        <v>5576121.0</v>
      </c>
      <c r="F462" s="96" t="s">
        <v>909</v>
      </c>
      <c r="G462" s="96" t="s">
        <v>506</v>
      </c>
      <c r="H462" s="90" t="s">
        <v>560</v>
      </c>
      <c r="I462" s="96" t="s">
        <v>561</v>
      </c>
      <c r="J462" s="96" t="s">
        <v>562</v>
      </c>
      <c r="K462" s="82" t="s">
        <v>564</v>
      </c>
      <c r="L462" s="96">
        <v>2078074.0</v>
      </c>
      <c r="M462" s="96" t="s">
        <v>1114</v>
      </c>
      <c r="N462" s="96" t="s">
        <v>564</v>
      </c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  <c r="AA462" s="80"/>
    </row>
    <row r="463" ht="36.75" customHeight="1">
      <c r="A463" s="90" t="s">
        <v>485</v>
      </c>
      <c r="B463" s="96" t="s">
        <v>531</v>
      </c>
      <c r="C463" s="96" t="s">
        <v>532</v>
      </c>
      <c r="D463" s="96" t="s">
        <v>533</v>
      </c>
      <c r="E463" s="96">
        <v>2082187.0</v>
      </c>
      <c r="F463" s="96" t="s">
        <v>910</v>
      </c>
      <c r="G463" s="96" t="s">
        <v>531</v>
      </c>
      <c r="H463" s="90" t="s">
        <v>560</v>
      </c>
      <c r="I463" s="96" t="s">
        <v>561</v>
      </c>
      <c r="J463" s="96" t="s">
        <v>562</v>
      </c>
      <c r="K463" s="82" t="s">
        <v>565</v>
      </c>
      <c r="L463" s="96">
        <v>2785382.0</v>
      </c>
      <c r="M463" s="96" t="s">
        <v>1115</v>
      </c>
      <c r="N463" s="96" t="s">
        <v>565</v>
      </c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  <c r="AA463" s="80"/>
    </row>
    <row r="464" ht="36.75" customHeight="1">
      <c r="A464" s="90" t="s">
        <v>485</v>
      </c>
      <c r="B464" s="96" t="s">
        <v>531</v>
      </c>
      <c r="C464" s="96" t="s">
        <v>532</v>
      </c>
      <c r="D464" s="96" t="s">
        <v>534</v>
      </c>
      <c r="E464" s="96">
        <v>2082187.0</v>
      </c>
      <c r="F464" s="96" t="s">
        <v>910</v>
      </c>
      <c r="G464" s="96" t="s">
        <v>531</v>
      </c>
      <c r="H464" s="90" t="s">
        <v>560</v>
      </c>
      <c r="I464" s="96" t="s">
        <v>561</v>
      </c>
      <c r="J464" s="96" t="s">
        <v>562</v>
      </c>
      <c r="K464" s="82" t="s">
        <v>566</v>
      </c>
      <c r="L464" s="96">
        <v>2078074.0</v>
      </c>
      <c r="M464" s="96" t="s">
        <v>1114</v>
      </c>
      <c r="N464" s="96" t="s">
        <v>564</v>
      </c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  <c r="AA464" s="80"/>
    </row>
    <row r="465" ht="36.75" customHeight="1">
      <c r="A465" s="90" t="s">
        <v>485</v>
      </c>
      <c r="B465" s="96" t="s">
        <v>531</v>
      </c>
      <c r="C465" s="96" t="s">
        <v>532</v>
      </c>
      <c r="D465" s="96" t="s">
        <v>535</v>
      </c>
      <c r="E465" s="96">
        <v>2082187.0</v>
      </c>
      <c r="F465" s="96" t="s">
        <v>910</v>
      </c>
      <c r="G465" s="96" t="s">
        <v>531</v>
      </c>
      <c r="H465" s="90" t="s">
        <v>560</v>
      </c>
      <c r="I465" s="96" t="s">
        <v>561</v>
      </c>
      <c r="J465" s="96" t="s">
        <v>567</v>
      </c>
      <c r="K465" s="82" t="s">
        <v>568</v>
      </c>
      <c r="L465" s="96">
        <v>2081458.0</v>
      </c>
      <c r="M465" s="96" t="s">
        <v>1116</v>
      </c>
      <c r="N465" s="96" t="s">
        <v>567</v>
      </c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  <c r="AA465" s="80"/>
    </row>
    <row r="466" ht="36.75" customHeight="1">
      <c r="A466" s="90" t="s">
        <v>485</v>
      </c>
      <c r="B466" s="96" t="s">
        <v>531</v>
      </c>
      <c r="C466" s="96" t="s">
        <v>532</v>
      </c>
      <c r="D466" s="96" t="s">
        <v>536</v>
      </c>
      <c r="E466" s="96">
        <v>2082187.0</v>
      </c>
      <c r="F466" s="96" t="s">
        <v>910</v>
      </c>
      <c r="G466" s="96" t="s">
        <v>531</v>
      </c>
      <c r="H466" s="90" t="s">
        <v>560</v>
      </c>
      <c r="I466" s="96" t="s">
        <v>561</v>
      </c>
      <c r="J466" s="96" t="s">
        <v>567</v>
      </c>
      <c r="K466" s="82" t="s">
        <v>568</v>
      </c>
      <c r="L466" s="96">
        <v>2087103.0</v>
      </c>
      <c r="M466" s="96" t="s">
        <v>1117</v>
      </c>
      <c r="N466" s="96" t="s">
        <v>567</v>
      </c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  <c r="AA466" s="80"/>
    </row>
    <row r="467" ht="36.75" customHeight="1">
      <c r="A467" s="90" t="s">
        <v>485</v>
      </c>
      <c r="B467" s="96" t="s">
        <v>531</v>
      </c>
      <c r="C467" s="96" t="s">
        <v>532</v>
      </c>
      <c r="D467" s="96" t="s">
        <v>531</v>
      </c>
      <c r="E467" s="96">
        <v>2082187.0</v>
      </c>
      <c r="F467" s="96" t="s">
        <v>910</v>
      </c>
      <c r="G467" s="96" t="s">
        <v>531</v>
      </c>
      <c r="H467" s="90" t="s">
        <v>560</v>
      </c>
      <c r="I467" s="96" t="s">
        <v>561</v>
      </c>
      <c r="J467" s="96" t="s">
        <v>567</v>
      </c>
      <c r="K467" s="82" t="s">
        <v>569</v>
      </c>
      <c r="L467" s="96">
        <v>2081458.0</v>
      </c>
      <c r="M467" s="96" t="s">
        <v>1116</v>
      </c>
      <c r="N467" s="96" t="s">
        <v>567</v>
      </c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  <c r="AA467" s="80"/>
    </row>
    <row r="468" ht="36.75" customHeight="1">
      <c r="A468" s="90" t="s">
        <v>485</v>
      </c>
      <c r="B468" s="96" t="s">
        <v>531</v>
      </c>
      <c r="C468" s="96" t="s">
        <v>532</v>
      </c>
      <c r="D468" s="96" t="s">
        <v>531</v>
      </c>
      <c r="E468" s="96">
        <v>2084414.0</v>
      </c>
      <c r="F468" s="96" t="s">
        <v>911</v>
      </c>
      <c r="G468" s="96" t="s">
        <v>531</v>
      </c>
      <c r="H468" s="90" t="s">
        <v>560</v>
      </c>
      <c r="I468" s="96" t="s">
        <v>561</v>
      </c>
      <c r="J468" s="96" t="s">
        <v>567</v>
      </c>
      <c r="K468" s="82" t="s">
        <v>569</v>
      </c>
      <c r="L468" s="96">
        <v>2087103.0</v>
      </c>
      <c r="M468" s="96" t="s">
        <v>1117</v>
      </c>
      <c r="N468" s="96" t="s">
        <v>567</v>
      </c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  <c r="AA468" s="80"/>
    </row>
    <row r="469" ht="36.75" customHeight="1">
      <c r="A469" s="90" t="s">
        <v>485</v>
      </c>
      <c r="B469" s="96" t="s">
        <v>531</v>
      </c>
      <c r="C469" s="96" t="s">
        <v>532</v>
      </c>
      <c r="D469" s="96" t="s">
        <v>537</v>
      </c>
      <c r="E469" s="96">
        <v>2082187.0</v>
      </c>
      <c r="F469" s="96" t="s">
        <v>910</v>
      </c>
      <c r="G469" s="96" t="s">
        <v>531</v>
      </c>
      <c r="H469" s="90" t="s">
        <v>560</v>
      </c>
      <c r="I469" s="96" t="s">
        <v>561</v>
      </c>
      <c r="J469" s="96" t="s">
        <v>567</v>
      </c>
      <c r="K469" s="82" t="s">
        <v>570</v>
      </c>
      <c r="L469" s="96">
        <v>2081458.0</v>
      </c>
      <c r="M469" s="96" t="s">
        <v>1116</v>
      </c>
      <c r="N469" s="96" t="s">
        <v>567</v>
      </c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  <c r="AA469" s="80"/>
    </row>
    <row r="470" ht="36.75" customHeight="1">
      <c r="A470" s="90" t="s">
        <v>485</v>
      </c>
      <c r="B470" s="96" t="s">
        <v>531</v>
      </c>
      <c r="C470" s="96" t="s">
        <v>532</v>
      </c>
      <c r="D470" s="96" t="s">
        <v>538</v>
      </c>
      <c r="E470" s="96">
        <v>2082187.0</v>
      </c>
      <c r="F470" s="96" t="s">
        <v>910</v>
      </c>
      <c r="G470" s="96" t="s">
        <v>531</v>
      </c>
      <c r="H470" s="90" t="s">
        <v>560</v>
      </c>
      <c r="I470" s="96" t="s">
        <v>561</v>
      </c>
      <c r="J470" s="96" t="s">
        <v>567</v>
      </c>
      <c r="K470" s="82" t="s">
        <v>570</v>
      </c>
      <c r="L470" s="96">
        <v>2087103.0</v>
      </c>
      <c r="M470" s="96" t="s">
        <v>1117</v>
      </c>
      <c r="N470" s="96" t="s">
        <v>567</v>
      </c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  <c r="AA470" s="80"/>
    </row>
    <row r="471" ht="36.75" customHeight="1">
      <c r="A471" s="90" t="s">
        <v>485</v>
      </c>
      <c r="B471" s="96" t="s">
        <v>531</v>
      </c>
      <c r="C471" s="96" t="s">
        <v>532</v>
      </c>
      <c r="D471" s="96" t="s">
        <v>539</v>
      </c>
      <c r="E471" s="96">
        <v>2082187.0</v>
      </c>
      <c r="F471" s="96" t="s">
        <v>910</v>
      </c>
      <c r="G471" s="96" t="s">
        <v>531</v>
      </c>
      <c r="H471" s="90" t="s">
        <v>560</v>
      </c>
      <c r="I471" s="96" t="s">
        <v>561</v>
      </c>
      <c r="J471" s="96" t="s">
        <v>567</v>
      </c>
      <c r="K471" s="82" t="s">
        <v>567</v>
      </c>
      <c r="L471" s="96">
        <v>2081458.0</v>
      </c>
      <c r="M471" s="96" t="s">
        <v>1116</v>
      </c>
      <c r="N471" s="96" t="s">
        <v>567</v>
      </c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  <c r="AA471" s="80"/>
    </row>
    <row r="472" ht="36.75" customHeight="1">
      <c r="A472" s="90" t="s">
        <v>485</v>
      </c>
      <c r="B472" s="96" t="s">
        <v>531</v>
      </c>
      <c r="C472" s="96" t="s">
        <v>532</v>
      </c>
      <c r="D472" s="96" t="s">
        <v>540</v>
      </c>
      <c r="E472" s="96">
        <v>2082187.0</v>
      </c>
      <c r="F472" s="96" t="s">
        <v>910</v>
      </c>
      <c r="G472" s="96" t="s">
        <v>531</v>
      </c>
      <c r="H472" s="90" t="s">
        <v>560</v>
      </c>
      <c r="I472" s="96" t="s">
        <v>561</v>
      </c>
      <c r="J472" s="96" t="s">
        <v>567</v>
      </c>
      <c r="K472" s="82" t="s">
        <v>567</v>
      </c>
      <c r="L472" s="96">
        <v>2087103.0</v>
      </c>
      <c r="M472" s="96" t="s">
        <v>1117</v>
      </c>
      <c r="N472" s="96" t="s">
        <v>567</v>
      </c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  <c r="AA472" s="80"/>
    </row>
    <row r="473" ht="36.75" customHeight="1">
      <c r="A473" s="90" t="s">
        <v>485</v>
      </c>
      <c r="B473" s="96" t="s">
        <v>531</v>
      </c>
      <c r="C473" s="96" t="s">
        <v>532</v>
      </c>
      <c r="D473" s="96" t="s">
        <v>541</v>
      </c>
      <c r="E473" s="96">
        <v>2082187.0</v>
      </c>
      <c r="F473" s="96" t="s">
        <v>910</v>
      </c>
      <c r="G473" s="96" t="s">
        <v>531</v>
      </c>
      <c r="H473" s="90" t="s">
        <v>560</v>
      </c>
      <c r="I473" s="96" t="s">
        <v>561</v>
      </c>
      <c r="J473" s="96" t="s">
        <v>561</v>
      </c>
      <c r="K473" s="82" t="s">
        <v>571</v>
      </c>
      <c r="L473" s="96">
        <v>2084422.0</v>
      </c>
      <c r="M473" s="96" t="s">
        <v>1118</v>
      </c>
      <c r="N473" s="96" t="s">
        <v>580</v>
      </c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  <c r="AA473" s="80"/>
    </row>
    <row r="474" ht="36.75" customHeight="1">
      <c r="A474" s="90" t="s">
        <v>485</v>
      </c>
      <c r="B474" s="96" t="s">
        <v>531</v>
      </c>
      <c r="C474" s="96" t="s">
        <v>542</v>
      </c>
      <c r="D474" s="96" t="s">
        <v>543</v>
      </c>
      <c r="E474" s="96">
        <v>2082187.0</v>
      </c>
      <c r="F474" s="96" t="s">
        <v>910</v>
      </c>
      <c r="G474" s="96" t="s">
        <v>531</v>
      </c>
      <c r="H474" s="90" t="s">
        <v>560</v>
      </c>
      <c r="I474" s="96" t="s">
        <v>561</v>
      </c>
      <c r="J474" s="96" t="s">
        <v>561</v>
      </c>
      <c r="K474" s="82" t="s">
        <v>572</v>
      </c>
      <c r="L474" s="96">
        <v>2748568.0</v>
      </c>
      <c r="M474" s="96" t="s">
        <v>1119</v>
      </c>
      <c r="N474" s="96" t="s">
        <v>572</v>
      </c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  <c r="AA474" s="80"/>
    </row>
    <row r="475" ht="36.75" customHeight="1">
      <c r="A475" s="90" t="s">
        <v>485</v>
      </c>
      <c r="B475" s="96" t="s">
        <v>531</v>
      </c>
      <c r="C475" s="96" t="s">
        <v>542</v>
      </c>
      <c r="D475" s="96" t="s">
        <v>544</v>
      </c>
      <c r="E475" s="96">
        <v>2082187.0</v>
      </c>
      <c r="F475" s="96" t="s">
        <v>910</v>
      </c>
      <c r="G475" s="96" t="s">
        <v>531</v>
      </c>
      <c r="H475" s="90" t="s">
        <v>560</v>
      </c>
      <c r="I475" s="96" t="s">
        <v>561</v>
      </c>
      <c r="J475" s="96" t="s">
        <v>561</v>
      </c>
      <c r="K475" s="82" t="s">
        <v>573</v>
      </c>
      <c r="L475" s="96">
        <v>2084422.0</v>
      </c>
      <c r="M475" s="96" t="s">
        <v>1118</v>
      </c>
      <c r="N475" s="96" t="s">
        <v>580</v>
      </c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  <c r="AA475" s="80"/>
    </row>
    <row r="476" ht="36.75" customHeight="1">
      <c r="A476" s="90" t="s">
        <v>485</v>
      </c>
      <c r="B476" s="96" t="s">
        <v>531</v>
      </c>
      <c r="C476" s="96" t="s">
        <v>542</v>
      </c>
      <c r="D476" s="96" t="s">
        <v>545</v>
      </c>
      <c r="E476" s="96">
        <v>2082187.0</v>
      </c>
      <c r="F476" s="96" t="s">
        <v>910</v>
      </c>
      <c r="G476" s="96" t="s">
        <v>531</v>
      </c>
      <c r="H476" s="90" t="s">
        <v>560</v>
      </c>
      <c r="I476" s="96" t="s">
        <v>561</v>
      </c>
      <c r="J476" s="96" t="s">
        <v>561</v>
      </c>
      <c r="K476" s="82" t="s">
        <v>574</v>
      </c>
      <c r="L476" s="96">
        <v>2748568.0</v>
      </c>
      <c r="M476" s="96" t="s">
        <v>1119</v>
      </c>
      <c r="N476" s="96" t="s">
        <v>572</v>
      </c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  <c r="AA476" s="80"/>
    </row>
    <row r="477" ht="36.75" customHeight="1">
      <c r="A477" s="90" t="s">
        <v>485</v>
      </c>
      <c r="B477" s="96" t="s">
        <v>531</v>
      </c>
      <c r="C477" s="96" t="s">
        <v>542</v>
      </c>
      <c r="D477" s="96" t="s">
        <v>546</v>
      </c>
      <c r="E477" s="96">
        <v>2082187.0</v>
      </c>
      <c r="F477" s="96" t="s">
        <v>910</v>
      </c>
      <c r="G477" s="96" t="s">
        <v>531</v>
      </c>
      <c r="H477" s="90" t="s">
        <v>560</v>
      </c>
      <c r="I477" s="96" t="s">
        <v>561</v>
      </c>
      <c r="J477" s="96" t="s">
        <v>561</v>
      </c>
      <c r="K477" s="82" t="s">
        <v>575</v>
      </c>
      <c r="L477" s="96">
        <v>2748568.0</v>
      </c>
      <c r="M477" s="96" t="s">
        <v>1119</v>
      </c>
      <c r="N477" s="96" t="s">
        <v>572</v>
      </c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  <c r="AA477" s="80"/>
    </row>
    <row r="478" ht="36.75" customHeight="1">
      <c r="A478" s="90" t="s">
        <v>485</v>
      </c>
      <c r="B478" s="96" t="s">
        <v>531</v>
      </c>
      <c r="C478" s="96" t="s">
        <v>542</v>
      </c>
      <c r="D478" s="96" t="s">
        <v>547</v>
      </c>
      <c r="E478" s="96">
        <v>2082187.0</v>
      </c>
      <c r="F478" s="96" t="s">
        <v>910</v>
      </c>
      <c r="G478" s="96" t="s">
        <v>531</v>
      </c>
      <c r="H478" s="90" t="s">
        <v>560</v>
      </c>
      <c r="I478" s="96" t="s">
        <v>561</v>
      </c>
      <c r="J478" s="96" t="s">
        <v>561</v>
      </c>
      <c r="K478" s="82" t="s">
        <v>561</v>
      </c>
      <c r="L478" s="96">
        <v>2772310.0</v>
      </c>
      <c r="M478" s="96" t="s">
        <v>914</v>
      </c>
      <c r="N478" s="96" t="s">
        <v>561</v>
      </c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  <c r="AA478" s="80"/>
    </row>
    <row r="479" ht="36.75" customHeight="1">
      <c r="A479" s="90" t="s">
        <v>485</v>
      </c>
      <c r="B479" s="96" t="s">
        <v>531</v>
      </c>
      <c r="C479" s="96" t="s">
        <v>542</v>
      </c>
      <c r="D479" s="96" t="s">
        <v>548</v>
      </c>
      <c r="E479" s="96">
        <v>2082187.0</v>
      </c>
      <c r="F479" s="96" t="s">
        <v>910</v>
      </c>
      <c r="G479" s="96" t="s">
        <v>531</v>
      </c>
      <c r="H479" s="90" t="s">
        <v>560</v>
      </c>
      <c r="I479" s="96" t="s">
        <v>561</v>
      </c>
      <c r="J479" s="96" t="s">
        <v>561</v>
      </c>
      <c r="K479" s="82" t="s">
        <v>561</v>
      </c>
      <c r="L479" s="96">
        <v>2087057.0</v>
      </c>
      <c r="M479" s="96" t="s">
        <v>915</v>
      </c>
      <c r="N479" s="96" t="s">
        <v>561</v>
      </c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  <c r="AA479" s="80"/>
    </row>
    <row r="480" ht="36.75" customHeight="1">
      <c r="A480" s="90" t="s">
        <v>485</v>
      </c>
      <c r="B480" s="96" t="s">
        <v>531</v>
      </c>
      <c r="C480" s="96" t="s">
        <v>542</v>
      </c>
      <c r="D480" s="96" t="s">
        <v>549</v>
      </c>
      <c r="E480" s="96">
        <v>2082187.0</v>
      </c>
      <c r="F480" s="96" t="s">
        <v>910</v>
      </c>
      <c r="G480" s="96" t="s">
        <v>531</v>
      </c>
      <c r="H480" s="90" t="s">
        <v>560</v>
      </c>
      <c r="I480" s="96" t="s">
        <v>561</v>
      </c>
      <c r="J480" s="96" t="s">
        <v>561</v>
      </c>
      <c r="K480" s="82" t="s">
        <v>576</v>
      </c>
      <c r="L480" s="96">
        <v>2748568.0</v>
      </c>
      <c r="M480" s="96" t="s">
        <v>1119</v>
      </c>
      <c r="N480" s="96" t="s">
        <v>572</v>
      </c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  <c r="AA480" s="80"/>
    </row>
    <row r="481" ht="36.75" customHeight="1">
      <c r="A481" s="90" t="s">
        <v>485</v>
      </c>
      <c r="B481" s="96" t="s">
        <v>531</v>
      </c>
      <c r="C481" s="96" t="s">
        <v>542</v>
      </c>
      <c r="D481" s="96" t="s">
        <v>550</v>
      </c>
      <c r="E481" s="96">
        <v>2082187.0</v>
      </c>
      <c r="F481" s="96" t="s">
        <v>910</v>
      </c>
      <c r="G481" s="96" t="s">
        <v>531</v>
      </c>
      <c r="H481" s="90" t="s">
        <v>560</v>
      </c>
      <c r="I481" s="96" t="s">
        <v>561</v>
      </c>
      <c r="J481" s="96" t="s">
        <v>561</v>
      </c>
      <c r="K481" s="82" t="s">
        <v>577</v>
      </c>
      <c r="L481" s="96">
        <v>2772310.0</v>
      </c>
      <c r="M481" s="96" t="s">
        <v>914</v>
      </c>
      <c r="N481" s="96" t="s">
        <v>561</v>
      </c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  <c r="AA481" s="80"/>
    </row>
    <row r="482" ht="36.75" customHeight="1">
      <c r="A482" s="90" t="s">
        <v>485</v>
      </c>
      <c r="B482" s="96" t="s">
        <v>531</v>
      </c>
      <c r="C482" s="96" t="s">
        <v>542</v>
      </c>
      <c r="D482" s="96" t="s">
        <v>551</v>
      </c>
      <c r="E482" s="96">
        <v>2082187.0</v>
      </c>
      <c r="F482" s="96" t="s">
        <v>910</v>
      </c>
      <c r="G482" s="96" t="s">
        <v>531</v>
      </c>
      <c r="H482" s="90" t="s">
        <v>560</v>
      </c>
      <c r="I482" s="96" t="s">
        <v>561</v>
      </c>
      <c r="J482" s="96" t="s">
        <v>561</v>
      </c>
      <c r="K482" s="82" t="s">
        <v>577</v>
      </c>
      <c r="L482" s="96">
        <v>2087057.0</v>
      </c>
      <c r="M482" s="96" t="s">
        <v>915</v>
      </c>
      <c r="N482" s="96" t="s">
        <v>561</v>
      </c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  <c r="AA482" s="80"/>
    </row>
    <row r="483" ht="36.75" customHeight="1">
      <c r="A483" s="90" t="s">
        <v>485</v>
      </c>
      <c r="B483" s="96" t="s">
        <v>531</v>
      </c>
      <c r="C483" s="96" t="s">
        <v>552</v>
      </c>
      <c r="D483" s="96" t="s">
        <v>553</v>
      </c>
      <c r="E483" s="96">
        <v>2082187.0</v>
      </c>
      <c r="F483" s="96" t="s">
        <v>910</v>
      </c>
      <c r="G483" s="96" t="s">
        <v>531</v>
      </c>
      <c r="H483" s="90" t="s">
        <v>560</v>
      </c>
      <c r="I483" s="96" t="s">
        <v>561</v>
      </c>
      <c r="J483" s="96" t="s">
        <v>561</v>
      </c>
      <c r="K483" s="82" t="s">
        <v>578</v>
      </c>
      <c r="L483" s="96">
        <v>2772310.0</v>
      </c>
      <c r="M483" s="96" t="s">
        <v>914</v>
      </c>
      <c r="N483" s="96" t="s">
        <v>561</v>
      </c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</row>
    <row r="484" ht="36.75" customHeight="1">
      <c r="A484" s="90" t="s">
        <v>485</v>
      </c>
      <c r="B484" s="96" t="s">
        <v>531</v>
      </c>
      <c r="C484" s="96" t="s">
        <v>552</v>
      </c>
      <c r="D484" s="96" t="s">
        <v>554</v>
      </c>
      <c r="E484" s="96">
        <v>2082187.0</v>
      </c>
      <c r="F484" s="96" t="s">
        <v>910</v>
      </c>
      <c r="G484" s="96" t="s">
        <v>531</v>
      </c>
      <c r="H484" s="90" t="s">
        <v>560</v>
      </c>
      <c r="I484" s="96" t="s">
        <v>561</v>
      </c>
      <c r="J484" s="96" t="s">
        <v>561</v>
      </c>
      <c r="K484" s="82" t="s">
        <v>578</v>
      </c>
      <c r="L484" s="96">
        <v>2087057.0</v>
      </c>
      <c r="M484" s="96" t="s">
        <v>915</v>
      </c>
      <c r="N484" s="96" t="s">
        <v>561</v>
      </c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  <c r="AA484" s="80"/>
    </row>
    <row r="485" ht="36.75" customHeight="1">
      <c r="A485" s="90" t="s">
        <v>485</v>
      </c>
      <c r="B485" s="96" t="s">
        <v>531</v>
      </c>
      <c r="C485" s="96" t="s">
        <v>552</v>
      </c>
      <c r="D485" s="96" t="s">
        <v>555</v>
      </c>
      <c r="E485" s="96">
        <v>2082187.0</v>
      </c>
      <c r="F485" s="96" t="s">
        <v>910</v>
      </c>
      <c r="G485" s="96" t="s">
        <v>531</v>
      </c>
      <c r="H485" s="90" t="s">
        <v>560</v>
      </c>
      <c r="I485" s="96" t="s">
        <v>561</v>
      </c>
      <c r="J485" s="96" t="s">
        <v>561</v>
      </c>
      <c r="K485" s="82" t="s">
        <v>579</v>
      </c>
      <c r="L485" s="96">
        <v>2084422.0</v>
      </c>
      <c r="M485" s="96" t="s">
        <v>1118</v>
      </c>
      <c r="N485" s="96" t="s">
        <v>580</v>
      </c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  <c r="AA485" s="80"/>
    </row>
    <row r="486" ht="36.75" customHeight="1">
      <c r="A486" s="90" t="s">
        <v>485</v>
      </c>
      <c r="B486" s="96" t="s">
        <v>531</v>
      </c>
      <c r="C486" s="96" t="s">
        <v>552</v>
      </c>
      <c r="D486" s="96" t="s">
        <v>556</v>
      </c>
      <c r="E486" s="96">
        <v>2082187.0</v>
      </c>
      <c r="F486" s="96" t="s">
        <v>910</v>
      </c>
      <c r="G486" s="96" t="s">
        <v>531</v>
      </c>
      <c r="H486" s="90" t="s">
        <v>560</v>
      </c>
      <c r="I486" s="96" t="s">
        <v>561</v>
      </c>
      <c r="J486" s="96" t="s">
        <v>561</v>
      </c>
      <c r="K486" s="82" t="s">
        <v>580</v>
      </c>
      <c r="L486" s="96">
        <v>2084422.0</v>
      </c>
      <c r="M486" s="96" t="s">
        <v>1118</v>
      </c>
      <c r="N486" s="96" t="s">
        <v>580</v>
      </c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  <c r="AA486" s="80"/>
    </row>
    <row r="487" ht="36.75" customHeight="1">
      <c r="A487" s="90" t="s">
        <v>485</v>
      </c>
      <c r="B487" s="96" t="s">
        <v>531</v>
      </c>
      <c r="C487" s="96" t="s">
        <v>552</v>
      </c>
      <c r="D487" s="96" t="s">
        <v>557</v>
      </c>
      <c r="E487" s="96">
        <v>2082187.0</v>
      </c>
      <c r="F487" s="96" t="s">
        <v>910</v>
      </c>
      <c r="G487" s="96" t="s">
        <v>531</v>
      </c>
      <c r="H487" s="90" t="s">
        <v>560</v>
      </c>
      <c r="I487" s="96" t="s">
        <v>561</v>
      </c>
      <c r="J487" s="96" t="s">
        <v>581</v>
      </c>
      <c r="K487" s="82" t="s">
        <v>582</v>
      </c>
      <c r="L487" s="96">
        <v>2082888.0</v>
      </c>
      <c r="M487" s="96" t="s">
        <v>1120</v>
      </c>
      <c r="N487" s="96" t="s">
        <v>581</v>
      </c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  <c r="AA487" s="80"/>
    </row>
    <row r="488" ht="36.75" customHeight="1">
      <c r="A488" s="90" t="s">
        <v>485</v>
      </c>
      <c r="B488" s="96" t="s">
        <v>531</v>
      </c>
      <c r="C488" s="96" t="s">
        <v>552</v>
      </c>
      <c r="D488" s="96" t="s">
        <v>558</v>
      </c>
      <c r="E488" s="96">
        <v>2082187.0</v>
      </c>
      <c r="F488" s="96" t="s">
        <v>910</v>
      </c>
      <c r="G488" s="96" t="s">
        <v>531</v>
      </c>
      <c r="H488" s="90" t="s">
        <v>560</v>
      </c>
      <c r="I488" s="96" t="s">
        <v>561</v>
      </c>
      <c r="J488" s="96" t="s">
        <v>581</v>
      </c>
      <c r="K488" s="82" t="s">
        <v>583</v>
      </c>
      <c r="L488" s="96">
        <v>2082888.0</v>
      </c>
      <c r="M488" s="96" t="s">
        <v>1120</v>
      </c>
      <c r="N488" s="96" t="s">
        <v>581</v>
      </c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</row>
    <row r="489" ht="36.75" customHeight="1">
      <c r="A489" s="90" t="s">
        <v>485</v>
      </c>
      <c r="B489" s="96" t="s">
        <v>531</v>
      </c>
      <c r="C489" s="96" t="s">
        <v>552</v>
      </c>
      <c r="D489" s="96" t="s">
        <v>559</v>
      </c>
      <c r="E489" s="96">
        <v>2082187.0</v>
      </c>
      <c r="F489" s="96" t="s">
        <v>910</v>
      </c>
      <c r="G489" s="96" t="s">
        <v>531</v>
      </c>
      <c r="H489" s="90" t="s">
        <v>560</v>
      </c>
      <c r="I489" s="96" t="s">
        <v>561</v>
      </c>
      <c r="J489" s="96" t="s">
        <v>581</v>
      </c>
      <c r="K489" s="82" t="s">
        <v>584</v>
      </c>
      <c r="L489" s="96">
        <v>2082888.0</v>
      </c>
      <c r="M489" s="96" t="s">
        <v>1120</v>
      </c>
      <c r="N489" s="96" t="s">
        <v>581</v>
      </c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  <c r="AA489" s="80"/>
    </row>
    <row r="490" ht="36.75" customHeight="1">
      <c r="A490" s="90" t="s">
        <v>560</v>
      </c>
      <c r="B490" s="96" t="s">
        <v>561</v>
      </c>
      <c r="C490" s="96" t="s">
        <v>562</v>
      </c>
      <c r="D490" s="82" t="s">
        <v>562</v>
      </c>
      <c r="E490" s="96">
        <v>2081253.0</v>
      </c>
      <c r="F490" s="96" t="s">
        <v>912</v>
      </c>
      <c r="G490" s="96" t="s">
        <v>562</v>
      </c>
      <c r="H490" s="90" t="s">
        <v>560</v>
      </c>
      <c r="I490" s="96" t="s">
        <v>561</v>
      </c>
      <c r="J490" s="96" t="s">
        <v>581</v>
      </c>
      <c r="K490" s="82" t="s">
        <v>585</v>
      </c>
      <c r="L490" s="96">
        <v>2082888.0</v>
      </c>
      <c r="M490" s="96" t="s">
        <v>1120</v>
      </c>
      <c r="N490" s="96" t="s">
        <v>581</v>
      </c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  <c r="AA490" s="80"/>
    </row>
    <row r="491" ht="36.75" customHeight="1">
      <c r="A491" s="90" t="s">
        <v>560</v>
      </c>
      <c r="B491" s="96" t="s">
        <v>561</v>
      </c>
      <c r="C491" s="96" t="s">
        <v>562</v>
      </c>
      <c r="D491" s="82" t="s">
        <v>563</v>
      </c>
      <c r="E491" s="96">
        <v>2081253.0</v>
      </c>
      <c r="F491" s="96" t="s">
        <v>912</v>
      </c>
      <c r="G491" s="96" t="s">
        <v>562</v>
      </c>
      <c r="H491" s="90" t="s">
        <v>560</v>
      </c>
      <c r="I491" s="96" t="s">
        <v>561</v>
      </c>
      <c r="J491" s="96" t="s">
        <v>581</v>
      </c>
      <c r="K491" s="82" t="s">
        <v>581</v>
      </c>
      <c r="L491" s="96">
        <v>2082888.0</v>
      </c>
      <c r="M491" s="96" t="s">
        <v>1120</v>
      </c>
      <c r="N491" s="96" t="s">
        <v>581</v>
      </c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  <c r="AA491" s="80"/>
    </row>
    <row r="492" ht="36.75" customHeight="1">
      <c r="A492" s="90" t="s">
        <v>560</v>
      </c>
      <c r="B492" s="96" t="s">
        <v>561</v>
      </c>
      <c r="C492" s="96" t="s">
        <v>562</v>
      </c>
      <c r="D492" s="82" t="s">
        <v>564</v>
      </c>
      <c r="E492" s="96">
        <v>2081253.0</v>
      </c>
      <c r="F492" s="96" t="s">
        <v>912</v>
      </c>
      <c r="G492" s="96" t="s">
        <v>562</v>
      </c>
      <c r="H492" s="90" t="s">
        <v>560</v>
      </c>
      <c r="I492" s="96" t="s">
        <v>561</v>
      </c>
      <c r="J492" s="96" t="s">
        <v>581</v>
      </c>
      <c r="K492" s="82" t="s">
        <v>586</v>
      </c>
      <c r="L492" s="96">
        <v>2082888.0</v>
      </c>
      <c r="M492" s="96" t="s">
        <v>1120</v>
      </c>
      <c r="N492" s="96" t="s">
        <v>581</v>
      </c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  <c r="AA492" s="80"/>
    </row>
    <row r="493" ht="36.75" customHeight="1">
      <c r="A493" s="90" t="s">
        <v>560</v>
      </c>
      <c r="B493" s="96" t="s">
        <v>561</v>
      </c>
      <c r="C493" s="96" t="s">
        <v>562</v>
      </c>
      <c r="D493" s="82" t="s">
        <v>565</v>
      </c>
      <c r="E493" s="96">
        <v>2081253.0</v>
      </c>
      <c r="F493" s="96" t="s">
        <v>912</v>
      </c>
      <c r="G493" s="96" t="s">
        <v>562</v>
      </c>
      <c r="H493" s="90" t="s">
        <v>587</v>
      </c>
      <c r="I493" s="96" t="s">
        <v>588</v>
      </c>
      <c r="J493" s="96" t="s">
        <v>589</v>
      </c>
      <c r="K493" s="96" t="s">
        <v>590</v>
      </c>
      <c r="L493" s="96">
        <v>2077558.0</v>
      </c>
      <c r="M493" s="96" t="s">
        <v>1121</v>
      </c>
      <c r="N493" s="96" t="s">
        <v>590</v>
      </c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  <c r="AA493" s="80"/>
    </row>
    <row r="494" ht="36.75" customHeight="1">
      <c r="A494" s="90" t="s">
        <v>560</v>
      </c>
      <c r="B494" s="96" t="s">
        <v>561</v>
      </c>
      <c r="C494" s="96" t="s">
        <v>562</v>
      </c>
      <c r="D494" s="82" t="s">
        <v>566</v>
      </c>
      <c r="E494" s="96">
        <v>2081253.0</v>
      </c>
      <c r="F494" s="96" t="s">
        <v>912</v>
      </c>
      <c r="G494" s="96" t="s">
        <v>562</v>
      </c>
      <c r="H494" s="90" t="s">
        <v>587</v>
      </c>
      <c r="I494" s="96" t="s">
        <v>588</v>
      </c>
      <c r="J494" s="96" t="s">
        <v>591</v>
      </c>
      <c r="K494" s="96" t="s">
        <v>592</v>
      </c>
      <c r="L494" s="96">
        <v>2058790.0</v>
      </c>
      <c r="M494" s="96" t="s">
        <v>1122</v>
      </c>
      <c r="N494" s="96" t="s">
        <v>592</v>
      </c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  <c r="AA494" s="80"/>
    </row>
    <row r="495" ht="36.75" customHeight="1">
      <c r="A495" s="90" t="s">
        <v>560</v>
      </c>
      <c r="B495" s="96" t="s">
        <v>561</v>
      </c>
      <c r="C495" s="96" t="s">
        <v>567</v>
      </c>
      <c r="D495" s="82" t="s">
        <v>568</v>
      </c>
      <c r="E495" s="96">
        <v>7505221.0</v>
      </c>
      <c r="F495" s="96" t="s">
        <v>913</v>
      </c>
      <c r="G495" s="96" t="s">
        <v>567</v>
      </c>
      <c r="H495" s="90" t="s">
        <v>587</v>
      </c>
      <c r="I495" s="96" t="s">
        <v>588</v>
      </c>
      <c r="J495" s="96" t="s">
        <v>589</v>
      </c>
      <c r="K495" s="96" t="s">
        <v>594</v>
      </c>
      <c r="L495" s="96">
        <v>2078848.0</v>
      </c>
      <c r="M495" s="96" t="s">
        <v>1123</v>
      </c>
      <c r="N495" s="96" t="s">
        <v>594</v>
      </c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  <c r="AA495" s="80"/>
    </row>
    <row r="496" ht="36.75" customHeight="1">
      <c r="A496" s="90" t="s">
        <v>560</v>
      </c>
      <c r="B496" s="96" t="s">
        <v>561</v>
      </c>
      <c r="C496" s="96" t="s">
        <v>567</v>
      </c>
      <c r="D496" s="82" t="s">
        <v>569</v>
      </c>
      <c r="E496" s="96">
        <v>7505221.0</v>
      </c>
      <c r="F496" s="96" t="s">
        <v>913</v>
      </c>
      <c r="G496" s="96" t="s">
        <v>567</v>
      </c>
      <c r="H496" s="90" t="s">
        <v>587</v>
      </c>
      <c r="I496" s="96" t="s">
        <v>588</v>
      </c>
      <c r="J496" s="96" t="s">
        <v>591</v>
      </c>
      <c r="K496" s="96" t="s">
        <v>595</v>
      </c>
      <c r="L496" s="96">
        <v>2037297.0</v>
      </c>
      <c r="M496" s="96" t="s">
        <v>1124</v>
      </c>
      <c r="N496" s="96" t="s">
        <v>595</v>
      </c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  <c r="AA496" s="80"/>
    </row>
    <row r="497" ht="36.75" customHeight="1">
      <c r="A497" s="90" t="s">
        <v>560</v>
      </c>
      <c r="B497" s="96" t="s">
        <v>561</v>
      </c>
      <c r="C497" s="96" t="s">
        <v>567</v>
      </c>
      <c r="D497" s="82" t="s">
        <v>570</v>
      </c>
      <c r="E497" s="96">
        <v>7505221.0</v>
      </c>
      <c r="F497" s="96" t="s">
        <v>913</v>
      </c>
      <c r="G497" s="96" t="s">
        <v>567</v>
      </c>
      <c r="H497" s="90" t="s">
        <v>587</v>
      </c>
      <c r="I497" s="96" t="s">
        <v>588</v>
      </c>
      <c r="J497" s="96" t="s">
        <v>591</v>
      </c>
      <c r="K497" s="96" t="s">
        <v>588</v>
      </c>
      <c r="L497" s="96">
        <v>2082128.0</v>
      </c>
      <c r="M497" s="96" t="s">
        <v>1125</v>
      </c>
      <c r="N497" s="96" t="s">
        <v>588</v>
      </c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  <c r="AA497" s="80"/>
    </row>
    <row r="498" ht="36.75" customHeight="1">
      <c r="A498" s="90" t="s">
        <v>560</v>
      </c>
      <c r="B498" s="96" t="s">
        <v>561</v>
      </c>
      <c r="C498" s="96" t="s">
        <v>567</v>
      </c>
      <c r="D498" s="82" t="s">
        <v>567</v>
      </c>
      <c r="E498" s="96">
        <v>7505221.0</v>
      </c>
      <c r="F498" s="96" t="s">
        <v>913</v>
      </c>
      <c r="G498" s="96" t="s">
        <v>567</v>
      </c>
      <c r="H498" s="90" t="s">
        <v>587</v>
      </c>
      <c r="I498" s="96" t="s">
        <v>588</v>
      </c>
      <c r="J498" s="96" t="s">
        <v>591</v>
      </c>
      <c r="K498" s="96" t="s">
        <v>588</v>
      </c>
      <c r="L498" s="96">
        <v>2022621.0</v>
      </c>
      <c r="M498" s="96" t="s">
        <v>1126</v>
      </c>
      <c r="N498" s="96" t="s">
        <v>588</v>
      </c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  <c r="AA498" s="80"/>
    </row>
    <row r="499" ht="36.75" customHeight="1">
      <c r="A499" s="90" t="s">
        <v>560</v>
      </c>
      <c r="B499" s="96" t="s">
        <v>561</v>
      </c>
      <c r="C499" s="96" t="s">
        <v>561</v>
      </c>
      <c r="D499" s="82" t="s">
        <v>571</v>
      </c>
      <c r="E499" s="96">
        <v>2772310.0</v>
      </c>
      <c r="F499" s="96" t="s">
        <v>914</v>
      </c>
      <c r="G499" s="96" t="s">
        <v>561</v>
      </c>
      <c r="H499" s="90" t="s">
        <v>587</v>
      </c>
      <c r="I499" s="96" t="s">
        <v>588</v>
      </c>
      <c r="J499" s="96" t="s">
        <v>591</v>
      </c>
      <c r="K499" s="96" t="s">
        <v>598</v>
      </c>
      <c r="L499" s="96">
        <v>2023644.0</v>
      </c>
      <c r="M499" s="96" t="s">
        <v>1127</v>
      </c>
      <c r="N499" s="96" t="s">
        <v>598</v>
      </c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  <c r="AA499" s="80"/>
    </row>
    <row r="500" ht="36.75" customHeight="1">
      <c r="A500" s="90" t="s">
        <v>560</v>
      </c>
      <c r="B500" s="96" t="s">
        <v>561</v>
      </c>
      <c r="C500" s="96" t="s">
        <v>561</v>
      </c>
      <c r="D500" s="82" t="s">
        <v>571</v>
      </c>
      <c r="E500" s="96">
        <v>2087057.0</v>
      </c>
      <c r="F500" s="96" t="s">
        <v>915</v>
      </c>
      <c r="G500" s="96" t="s">
        <v>561</v>
      </c>
      <c r="H500" s="90" t="s">
        <v>587</v>
      </c>
      <c r="I500" s="96" t="s">
        <v>588</v>
      </c>
      <c r="J500" s="96" t="s">
        <v>591</v>
      </c>
      <c r="K500" s="96" t="s">
        <v>600</v>
      </c>
      <c r="L500" s="96">
        <v>2023474.0</v>
      </c>
      <c r="M500" s="96" t="s">
        <v>1128</v>
      </c>
      <c r="N500" s="96" t="s">
        <v>606</v>
      </c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  <c r="AA500" s="80"/>
    </row>
    <row r="501" ht="36.75" customHeight="1">
      <c r="A501" s="90" t="s">
        <v>560</v>
      </c>
      <c r="B501" s="96" t="s">
        <v>561</v>
      </c>
      <c r="C501" s="96" t="s">
        <v>561</v>
      </c>
      <c r="D501" s="82" t="s">
        <v>572</v>
      </c>
      <c r="E501" s="96">
        <v>2772310.0</v>
      </c>
      <c r="F501" s="96" t="s">
        <v>914</v>
      </c>
      <c r="G501" s="96" t="s">
        <v>561</v>
      </c>
      <c r="H501" s="90" t="s">
        <v>587</v>
      </c>
      <c r="I501" s="96" t="s">
        <v>588</v>
      </c>
      <c r="J501" s="96" t="s">
        <v>591</v>
      </c>
      <c r="K501" s="96" t="s">
        <v>601</v>
      </c>
      <c r="L501" s="96">
        <v>2087715.0</v>
      </c>
      <c r="M501" s="96" t="s">
        <v>1129</v>
      </c>
      <c r="N501" s="96" t="s">
        <v>601</v>
      </c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  <c r="AA501" s="80"/>
    </row>
    <row r="502" ht="36.75" customHeight="1">
      <c r="A502" s="90" t="s">
        <v>560</v>
      </c>
      <c r="B502" s="96" t="s">
        <v>561</v>
      </c>
      <c r="C502" s="96" t="s">
        <v>561</v>
      </c>
      <c r="D502" s="82" t="s">
        <v>572</v>
      </c>
      <c r="E502" s="96">
        <v>2087057.0</v>
      </c>
      <c r="F502" s="96" t="s">
        <v>915</v>
      </c>
      <c r="G502" s="96" t="s">
        <v>561</v>
      </c>
      <c r="H502" s="90" t="s">
        <v>587</v>
      </c>
      <c r="I502" s="96" t="s">
        <v>588</v>
      </c>
      <c r="J502" s="96" t="s">
        <v>591</v>
      </c>
      <c r="K502" s="96" t="s">
        <v>603</v>
      </c>
      <c r="L502" s="96">
        <v>5075688.0</v>
      </c>
      <c r="M502" s="96" t="s">
        <v>1130</v>
      </c>
      <c r="N502" s="96" t="s">
        <v>603</v>
      </c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  <c r="AA502" s="80"/>
    </row>
    <row r="503" ht="36.75" customHeight="1">
      <c r="A503" s="90" t="s">
        <v>560</v>
      </c>
      <c r="B503" s="96" t="s">
        <v>561</v>
      </c>
      <c r="C503" s="96" t="s">
        <v>561</v>
      </c>
      <c r="D503" s="82" t="s">
        <v>573</v>
      </c>
      <c r="E503" s="96">
        <v>2772310.0</v>
      </c>
      <c r="F503" s="96" t="s">
        <v>914</v>
      </c>
      <c r="G503" s="96" t="s">
        <v>561</v>
      </c>
      <c r="H503" s="90" t="s">
        <v>587</v>
      </c>
      <c r="I503" s="96" t="s">
        <v>588</v>
      </c>
      <c r="J503" s="96" t="s">
        <v>591</v>
      </c>
      <c r="K503" s="96" t="s">
        <v>604</v>
      </c>
      <c r="L503" s="96">
        <v>2023709.0</v>
      </c>
      <c r="M503" s="96" t="s">
        <v>1131</v>
      </c>
      <c r="N503" s="96" t="s">
        <v>604</v>
      </c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  <c r="AA503" s="80"/>
    </row>
    <row r="504" ht="36.75" customHeight="1">
      <c r="A504" s="90" t="s">
        <v>560</v>
      </c>
      <c r="B504" s="96" t="s">
        <v>561</v>
      </c>
      <c r="C504" s="96" t="s">
        <v>561</v>
      </c>
      <c r="D504" s="82" t="s">
        <v>573</v>
      </c>
      <c r="E504" s="96">
        <v>2087057.0</v>
      </c>
      <c r="F504" s="96" t="s">
        <v>915</v>
      </c>
      <c r="G504" s="96" t="s">
        <v>561</v>
      </c>
      <c r="H504" s="90" t="s">
        <v>587</v>
      </c>
      <c r="I504" s="96" t="s">
        <v>588</v>
      </c>
      <c r="J504" s="96" t="s">
        <v>591</v>
      </c>
      <c r="K504" s="96" t="s">
        <v>606</v>
      </c>
      <c r="L504" s="96">
        <v>2023474.0</v>
      </c>
      <c r="M504" s="96" t="s">
        <v>1128</v>
      </c>
      <c r="N504" s="96" t="s">
        <v>606</v>
      </c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  <c r="AA504" s="80"/>
    </row>
    <row r="505" ht="36.75" customHeight="1">
      <c r="A505" s="90" t="s">
        <v>560</v>
      </c>
      <c r="B505" s="96" t="s">
        <v>561</v>
      </c>
      <c r="C505" s="96" t="s">
        <v>561</v>
      </c>
      <c r="D505" s="82" t="s">
        <v>574</v>
      </c>
      <c r="E505" s="96">
        <v>2772310.0</v>
      </c>
      <c r="F505" s="96" t="s">
        <v>914</v>
      </c>
      <c r="G505" s="96" t="s">
        <v>561</v>
      </c>
      <c r="H505" s="90" t="s">
        <v>587</v>
      </c>
      <c r="I505" s="96" t="s">
        <v>588</v>
      </c>
      <c r="J505" s="96" t="s">
        <v>589</v>
      </c>
      <c r="K505" s="96" t="s">
        <v>608</v>
      </c>
      <c r="L505" s="102"/>
      <c r="M505" s="102"/>
      <c r="N505" s="105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  <c r="AA505" s="80"/>
    </row>
    <row r="506" ht="36.75" customHeight="1">
      <c r="A506" s="90" t="s">
        <v>560</v>
      </c>
      <c r="B506" s="96" t="s">
        <v>561</v>
      </c>
      <c r="C506" s="96" t="s">
        <v>561</v>
      </c>
      <c r="D506" s="82" t="s">
        <v>574</v>
      </c>
      <c r="E506" s="96">
        <v>2087057.0</v>
      </c>
      <c r="F506" s="96" t="s">
        <v>915</v>
      </c>
      <c r="G506" s="96" t="s">
        <v>561</v>
      </c>
      <c r="H506" s="90" t="s">
        <v>587</v>
      </c>
      <c r="I506" s="96" t="s">
        <v>588</v>
      </c>
      <c r="J506" s="96" t="s">
        <v>589</v>
      </c>
      <c r="K506" s="96" t="s">
        <v>609</v>
      </c>
      <c r="L506" s="96">
        <v>2078848.0</v>
      </c>
      <c r="M506" s="96" t="s">
        <v>1123</v>
      </c>
      <c r="N506" s="96" t="s">
        <v>594</v>
      </c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  <c r="AA506" s="80"/>
    </row>
    <row r="507" ht="36.75" customHeight="1">
      <c r="A507" s="90" t="s">
        <v>560</v>
      </c>
      <c r="B507" s="96" t="s">
        <v>561</v>
      </c>
      <c r="C507" s="96" t="s">
        <v>561</v>
      </c>
      <c r="D507" s="82" t="s">
        <v>575</v>
      </c>
      <c r="E507" s="96">
        <v>2772310.0</v>
      </c>
      <c r="F507" s="96" t="s">
        <v>914</v>
      </c>
      <c r="G507" s="96" t="s">
        <v>561</v>
      </c>
      <c r="H507" s="90" t="s">
        <v>587</v>
      </c>
      <c r="I507" s="96" t="s">
        <v>588</v>
      </c>
      <c r="J507" s="96" t="s">
        <v>591</v>
      </c>
      <c r="K507" s="96" t="s">
        <v>611</v>
      </c>
      <c r="L507" s="96">
        <v>2078341.0</v>
      </c>
      <c r="M507" s="96" t="s">
        <v>1132</v>
      </c>
      <c r="N507" s="96" t="s">
        <v>611</v>
      </c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  <c r="AA507" s="80"/>
    </row>
    <row r="508" ht="36.75" customHeight="1">
      <c r="A508" s="90" t="s">
        <v>560</v>
      </c>
      <c r="B508" s="96" t="s">
        <v>561</v>
      </c>
      <c r="C508" s="96" t="s">
        <v>561</v>
      </c>
      <c r="D508" s="82" t="s">
        <v>575</v>
      </c>
      <c r="E508" s="96">
        <v>2087057.0</v>
      </c>
      <c r="F508" s="96" t="s">
        <v>915</v>
      </c>
      <c r="G508" s="96" t="s">
        <v>561</v>
      </c>
      <c r="H508" s="90" t="s">
        <v>587</v>
      </c>
      <c r="I508" s="96" t="s">
        <v>588</v>
      </c>
      <c r="J508" s="96" t="s">
        <v>591</v>
      </c>
      <c r="K508" s="96" t="s">
        <v>613</v>
      </c>
      <c r="L508" s="96">
        <v>2023709.0</v>
      </c>
      <c r="M508" s="96" t="s">
        <v>1131</v>
      </c>
      <c r="N508" s="96" t="s">
        <v>604</v>
      </c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  <c r="AA508" s="80"/>
    </row>
    <row r="509" ht="36.75" customHeight="1">
      <c r="A509" s="90" t="s">
        <v>560</v>
      </c>
      <c r="B509" s="96" t="s">
        <v>561</v>
      </c>
      <c r="C509" s="96" t="s">
        <v>561</v>
      </c>
      <c r="D509" s="82" t="s">
        <v>561</v>
      </c>
      <c r="E509" s="96">
        <v>2772310.0</v>
      </c>
      <c r="F509" s="96" t="s">
        <v>914</v>
      </c>
      <c r="G509" s="96" t="s">
        <v>561</v>
      </c>
      <c r="H509" s="90" t="s">
        <v>587</v>
      </c>
      <c r="I509" s="96" t="s">
        <v>588</v>
      </c>
      <c r="J509" s="96" t="s">
        <v>591</v>
      </c>
      <c r="K509" s="96" t="s">
        <v>614</v>
      </c>
      <c r="L509" s="96">
        <v>2058308.0</v>
      </c>
      <c r="M509" s="96" t="s">
        <v>1133</v>
      </c>
      <c r="N509" s="82" t="s">
        <v>614</v>
      </c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  <c r="AA509" s="80"/>
    </row>
    <row r="510" ht="36.75" customHeight="1">
      <c r="A510" s="90" t="s">
        <v>560</v>
      </c>
      <c r="B510" s="96" t="s">
        <v>561</v>
      </c>
      <c r="C510" s="96" t="s">
        <v>561</v>
      </c>
      <c r="D510" s="82" t="s">
        <v>561</v>
      </c>
      <c r="E510" s="96">
        <v>2087057.0</v>
      </c>
      <c r="F510" s="96" t="s">
        <v>915</v>
      </c>
      <c r="G510" s="96" t="s">
        <v>561</v>
      </c>
      <c r="H510" s="90" t="s">
        <v>587</v>
      </c>
      <c r="I510" s="96" t="s">
        <v>588</v>
      </c>
      <c r="J510" s="96" t="s">
        <v>591</v>
      </c>
      <c r="K510" s="96" t="s">
        <v>616</v>
      </c>
      <c r="L510" s="96">
        <v>2051059.0</v>
      </c>
      <c r="M510" s="96" t="s">
        <v>1134</v>
      </c>
      <c r="N510" s="96" t="s">
        <v>616</v>
      </c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  <c r="AA510" s="80"/>
    </row>
    <row r="511" ht="36.75" customHeight="1">
      <c r="A511" s="90" t="s">
        <v>560</v>
      </c>
      <c r="B511" s="96" t="s">
        <v>561</v>
      </c>
      <c r="C511" s="96" t="s">
        <v>561</v>
      </c>
      <c r="D511" s="82" t="s">
        <v>576</v>
      </c>
      <c r="E511" s="96">
        <v>2772310.0</v>
      </c>
      <c r="F511" s="96" t="s">
        <v>914</v>
      </c>
      <c r="G511" s="96" t="s">
        <v>561</v>
      </c>
      <c r="H511" s="90" t="s">
        <v>587</v>
      </c>
      <c r="I511" s="96" t="s">
        <v>588</v>
      </c>
      <c r="J511" s="96" t="s">
        <v>591</v>
      </c>
      <c r="K511" s="96" t="s">
        <v>618</v>
      </c>
      <c r="L511" s="96">
        <v>2023474.0</v>
      </c>
      <c r="M511" s="96" t="s">
        <v>1128</v>
      </c>
      <c r="N511" s="100" t="s">
        <v>606</v>
      </c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  <c r="AA511" s="80"/>
    </row>
    <row r="512" ht="36.75" customHeight="1">
      <c r="A512" s="90" t="s">
        <v>560</v>
      </c>
      <c r="B512" s="96" t="s">
        <v>561</v>
      </c>
      <c r="C512" s="96" t="s">
        <v>561</v>
      </c>
      <c r="D512" s="82" t="s">
        <v>576</v>
      </c>
      <c r="E512" s="96">
        <v>2087057.0</v>
      </c>
      <c r="F512" s="96" t="s">
        <v>915</v>
      </c>
      <c r="G512" s="96" t="s">
        <v>561</v>
      </c>
      <c r="H512" s="90" t="s">
        <v>587</v>
      </c>
      <c r="I512" s="96" t="s">
        <v>588</v>
      </c>
      <c r="J512" s="96" t="s">
        <v>591</v>
      </c>
      <c r="K512" s="96" t="s">
        <v>620</v>
      </c>
      <c r="L512" s="96">
        <v>2079232.0</v>
      </c>
      <c r="M512" s="96" t="s">
        <v>1135</v>
      </c>
      <c r="N512" s="100" t="s">
        <v>927</v>
      </c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  <c r="AA512" s="80"/>
    </row>
    <row r="513" ht="36.75" customHeight="1">
      <c r="A513" s="90" t="s">
        <v>560</v>
      </c>
      <c r="B513" s="96" t="s">
        <v>561</v>
      </c>
      <c r="C513" s="96" t="s">
        <v>561</v>
      </c>
      <c r="D513" s="82" t="s">
        <v>577</v>
      </c>
      <c r="E513" s="96">
        <v>2772310.0</v>
      </c>
      <c r="F513" s="96" t="s">
        <v>914</v>
      </c>
      <c r="G513" s="96" t="s">
        <v>561</v>
      </c>
      <c r="H513" s="90" t="s">
        <v>587</v>
      </c>
      <c r="I513" s="96" t="s">
        <v>588</v>
      </c>
      <c r="J513" s="96" t="s">
        <v>591</v>
      </c>
      <c r="K513" s="96" t="s">
        <v>622</v>
      </c>
      <c r="L513" s="96">
        <v>2078848.0</v>
      </c>
      <c r="M513" s="96" t="s">
        <v>1123</v>
      </c>
      <c r="N513" s="96" t="s">
        <v>594</v>
      </c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  <c r="AA513" s="80"/>
    </row>
    <row r="514" ht="36.75" customHeight="1">
      <c r="A514" s="90" t="s">
        <v>560</v>
      </c>
      <c r="B514" s="96" t="s">
        <v>561</v>
      </c>
      <c r="C514" s="96" t="s">
        <v>561</v>
      </c>
      <c r="D514" s="82" t="s">
        <v>577</v>
      </c>
      <c r="E514" s="96">
        <v>2087057.0</v>
      </c>
      <c r="F514" s="96" t="s">
        <v>915</v>
      </c>
      <c r="G514" s="96" t="s">
        <v>561</v>
      </c>
      <c r="H514" s="90" t="s">
        <v>587</v>
      </c>
      <c r="I514" s="96" t="s">
        <v>588</v>
      </c>
      <c r="J514" s="96" t="s">
        <v>589</v>
      </c>
      <c r="K514" s="96" t="s">
        <v>624</v>
      </c>
      <c r="L514" s="96">
        <v>2081393.0</v>
      </c>
      <c r="M514" s="96" t="s">
        <v>1136</v>
      </c>
      <c r="N514" s="96" t="s">
        <v>624</v>
      </c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  <c r="AA514" s="80"/>
    </row>
    <row r="515" ht="36.75" customHeight="1">
      <c r="A515" s="90" t="s">
        <v>560</v>
      </c>
      <c r="B515" s="96" t="s">
        <v>561</v>
      </c>
      <c r="C515" s="96" t="s">
        <v>561</v>
      </c>
      <c r="D515" s="82" t="s">
        <v>578</v>
      </c>
      <c r="E515" s="96">
        <v>2772310.0</v>
      </c>
      <c r="F515" s="96" t="s">
        <v>914</v>
      </c>
      <c r="G515" s="96" t="s">
        <v>561</v>
      </c>
      <c r="H515" s="90" t="s">
        <v>587</v>
      </c>
      <c r="I515" s="96" t="s">
        <v>588</v>
      </c>
      <c r="J515" s="96" t="s">
        <v>591</v>
      </c>
      <c r="K515" s="96" t="s">
        <v>625</v>
      </c>
      <c r="L515" s="96">
        <v>2083981.0</v>
      </c>
      <c r="M515" s="96" t="s">
        <v>918</v>
      </c>
      <c r="N515" s="96" t="s">
        <v>625</v>
      </c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  <c r="AA515" s="80"/>
    </row>
    <row r="516" ht="36.75" customHeight="1">
      <c r="A516" s="90" t="s">
        <v>560</v>
      </c>
      <c r="B516" s="96" t="s">
        <v>561</v>
      </c>
      <c r="C516" s="96" t="s">
        <v>561</v>
      </c>
      <c r="D516" s="82" t="s">
        <v>578</v>
      </c>
      <c r="E516" s="96">
        <v>2087057.0</v>
      </c>
      <c r="F516" s="96" t="s">
        <v>915</v>
      </c>
      <c r="G516" s="96" t="s">
        <v>561</v>
      </c>
      <c r="H516" s="90" t="s">
        <v>587</v>
      </c>
      <c r="I516" s="96" t="s">
        <v>588</v>
      </c>
      <c r="J516" s="96" t="s">
        <v>591</v>
      </c>
      <c r="K516" s="96" t="s">
        <v>627</v>
      </c>
      <c r="L516" s="96">
        <v>2097877.0</v>
      </c>
      <c r="M516" s="96" t="s">
        <v>1137</v>
      </c>
      <c r="N516" s="96" t="s">
        <v>627</v>
      </c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  <c r="AA516" s="80"/>
    </row>
    <row r="517" ht="36.75" customHeight="1">
      <c r="A517" s="90" t="s">
        <v>560</v>
      </c>
      <c r="B517" s="96" t="s">
        <v>561</v>
      </c>
      <c r="C517" s="96" t="s">
        <v>561</v>
      </c>
      <c r="D517" s="82" t="s">
        <v>579</v>
      </c>
      <c r="E517" s="96">
        <v>2772310.0</v>
      </c>
      <c r="F517" s="96" t="s">
        <v>914</v>
      </c>
      <c r="G517" s="96" t="s">
        <v>561</v>
      </c>
      <c r="H517" s="90" t="s">
        <v>587</v>
      </c>
      <c r="I517" s="96" t="s">
        <v>588</v>
      </c>
      <c r="J517" s="96" t="s">
        <v>591</v>
      </c>
      <c r="K517" s="96" t="s">
        <v>629</v>
      </c>
      <c r="L517" s="96">
        <v>2699915.0</v>
      </c>
      <c r="M517" s="96" t="s">
        <v>1138</v>
      </c>
      <c r="N517" s="96" t="s">
        <v>629</v>
      </c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  <c r="AA517" s="80"/>
    </row>
    <row r="518" ht="36.75" customHeight="1">
      <c r="A518" s="90" t="s">
        <v>560</v>
      </c>
      <c r="B518" s="96" t="s">
        <v>561</v>
      </c>
      <c r="C518" s="96" t="s">
        <v>561</v>
      </c>
      <c r="D518" s="82" t="s">
        <v>579</v>
      </c>
      <c r="E518" s="96">
        <v>2087057.0</v>
      </c>
      <c r="F518" s="96" t="s">
        <v>915</v>
      </c>
      <c r="G518" s="96" t="s">
        <v>561</v>
      </c>
      <c r="H518" s="90" t="s">
        <v>587</v>
      </c>
      <c r="I518" s="82" t="s">
        <v>630</v>
      </c>
      <c r="J518" s="82" t="s">
        <v>631</v>
      </c>
      <c r="K518" s="82" t="s">
        <v>632</v>
      </c>
      <c r="L518" s="82">
        <v>2084228.0</v>
      </c>
      <c r="M518" s="82" t="s">
        <v>1139</v>
      </c>
      <c r="N518" s="82" t="s">
        <v>630</v>
      </c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</row>
    <row r="519" ht="36.75" customHeight="1">
      <c r="A519" s="90" t="s">
        <v>560</v>
      </c>
      <c r="B519" s="96" t="s">
        <v>561</v>
      </c>
      <c r="C519" s="96" t="s">
        <v>561</v>
      </c>
      <c r="D519" s="82" t="s">
        <v>580</v>
      </c>
      <c r="E519" s="96">
        <v>2772310.0</v>
      </c>
      <c r="F519" s="96" t="s">
        <v>914</v>
      </c>
      <c r="G519" s="96" t="s">
        <v>561</v>
      </c>
      <c r="H519" s="90" t="s">
        <v>587</v>
      </c>
      <c r="I519" s="82" t="s">
        <v>630</v>
      </c>
      <c r="J519" s="82" t="s">
        <v>631</v>
      </c>
      <c r="K519" s="82" t="s">
        <v>633</v>
      </c>
      <c r="L519" s="82">
        <v>2084228.0</v>
      </c>
      <c r="M519" s="82" t="s">
        <v>1139</v>
      </c>
      <c r="N519" s="82" t="s">
        <v>630</v>
      </c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  <c r="AA519" s="80"/>
    </row>
    <row r="520" ht="36.75" customHeight="1">
      <c r="A520" s="90" t="s">
        <v>560</v>
      </c>
      <c r="B520" s="96" t="s">
        <v>561</v>
      </c>
      <c r="C520" s="96" t="s">
        <v>561</v>
      </c>
      <c r="D520" s="82" t="s">
        <v>580</v>
      </c>
      <c r="E520" s="96">
        <v>2087057.0</v>
      </c>
      <c r="F520" s="96" t="s">
        <v>915</v>
      </c>
      <c r="G520" s="96" t="s">
        <v>561</v>
      </c>
      <c r="H520" s="90" t="s">
        <v>587</v>
      </c>
      <c r="I520" s="82" t="s">
        <v>630</v>
      </c>
      <c r="J520" s="82" t="s">
        <v>634</v>
      </c>
      <c r="K520" s="82" t="s">
        <v>635</v>
      </c>
      <c r="L520" s="82">
        <v>2080923.0</v>
      </c>
      <c r="M520" s="82" t="s">
        <v>1140</v>
      </c>
      <c r="N520" s="82" t="s">
        <v>649</v>
      </c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  <c r="AA520" s="80"/>
    </row>
    <row r="521" ht="36.75" customHeight="1">
      <c r="A521" s="90" t="s">
        <v>560</v>
      </c>
      <c r="B521" s="96" t="s">
        <v>561</v>
      </c>
      <c r="C521" s="96" t="s">
        <v>581</v>
      </c>
      <c r="D521" s="82" t="s">
        <v>582</v>
      </c>
      <c r="E521" s="96">
        <v>2060027.0</v>
      </c>
      <c r="F521" s="96" t="s">
        <v>916</v>
      </c>
      <c r="G521" s="96" t="s">
        <v>581</v>
      </c>
      <c r="H521" s="90" t="s">
        <v>587</v>
      </c>
      <c r="I521" s="82" t="s">
        <v>630</v>
      </c>
      <c r="J521" s="82" t="s">
        <v>634</v>
      </c>
      <c r="K521" s="82" t="s">
        <v>637</v>
      </c>
      <c r="L521" s="82">
        <v>2705222.0</v>
      </c>
      <c r="M521" s="82" t="s">
        <v>1141</v>
      </c>
      <c r="N521" s="82" t="s">
        <v>644</v>
      </c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</row>
    <row r="522" ht="36.75" customHeight="1">
      <c r="A522" s="90" t="s">
        <v>560</v>
      </c>
      <c r="B522" s="96" t="s">
        <v>561</v>
      </c>
      <c r="C522" s="96" t="s">
        <v>581</v>
      </c>
      <c r="D522" s="82" t="s">
        <v>583</v>
      </c>
      <c r="E522" s="96">
        <v>2060027.0</v>
      </c>
      <c r="F522" s="96" t="s">
        <v>916</v>
      </c>
      <c r="G522" s="96" t="s">
        <v>581</v>
      </c>
      <c r="H522" s="90" t="s">
        <v>587</v>
      </c>
      <c r="I522" s="82" t="s">
        <v>630</v>
      </c>
      <c r="J522" s="82" t="s">
        <v>634</v>
      </c>
      <c r="K522" s="82" t="s">
        <v>638</v>
      </c>
      <c r="L522" s="82">
        <v>2080923.0</v>
      </c>
      <c r="M522" s="82" t="s">
        <v>1140</v>
      </c>
      <c r="N522" s="82" t="s">
        <v>649</v>
      </c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</row>
    <row r="523" ht="36.75" customHeight="1">
      <c r="A523" s="90" t="s">
        <v>560</v>
      </c>
      <c r="B523" s="96" t="s">
        <v>561</v>
      </c>
      <c r="C523" s="96" t="s">
        <v>581</v>
      </c>
      <c r="D523" s="82" t="s">
        <v>584</v>
      </c>
      <c r="E523" s="96">
        <v>2060027.0</v>
      </c>
      <c r="F523" s="96" t="s">
        <v>916</v>
      </c>
      <c r="G523" s="96" t="s">
        <v>581</v>
      </c>
      <c r="H523" s="90" t="s">
        <v>587</v>
      </c>
      <c r="I523" s="82" t="s">
        <v>630</v>
      </c>
      <c r="J523" s="82" t="s">
        <v>631</v>
      </c>
      <c r="K523" s="82" t="s">
        <v>639</v>
      </c>
      <c r="L523" s="82">
        <v>2751623.0</v>
      </c>
      <c r="M523" s="82" t="s">
        <v>1142</v>
      </c>
      <c r="N523" s="82" t="s">
        <v>639</v>
      </c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</row>
    <row r="524" ht="36.75" customHeight="1">
      <c r="A524" s="90" t="s">
        <v>560</v>
      </c>
      <c r="B524" s="96" t="s">
        <v>561</v>
      </c>
      <c r="C524" s="96" t="s">
        <v>581</v>
      </c>
      <c r="D524" s="82" t="s">
        <v>585</v>
      </c>
      <c r="E524" s="96">
        <v>2060027.0</v>
      </c>
      <c r="F524" s="96" t="s">
        <v>916</v>
      </c>
      <c r="G524" s="96" t="s">
        <v>581</v>
      </c>
      <c r="H524" s="90" t="s">
        <v>587</v>
      </c>
      <c r="I524" s="82" t="s">
        <v>630</v>
      </c>
      <c r="J524" s="82" t="s">
        <v>640</v>
      </c>
      <c r="K524" s="82" t="s">
        <v>641</v>
      </c>
      <c r="L524" s="82">
        <v>2096463.0</v>
      </c>
      <c r="M524" s="82" t="s">
        <v>1143</v>
      </c>
      <c r="N524" s="82" t="s">
        <v>645</v>
      </c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  <c r="AA524" s="80"/>
    </row>
    <row r="525" ht="36.75" customHeight="1">
      <c r="A525" s="90" t="s">
        <v>560</v>
      </c>
      <c r="B525" s="96" t="s">
        <v>561</v>
      </c>
      <c r="C525" s="96" t="s">
        <v>581</v>
      </c>
      <c r="D525" s="82" t="s">
        <v>581</v>
      </c>
      <c r="E525" s="96">
        <v>2060027.0</v>
      </c>
      <c r="F525" s="96" t="s">
        <v>916</v>
      </c>
      <c r="G525" s="96" t="s">
        <v>581</v>
      </c>
      <c r="H525" s="90" t="s">
        <v>587</v>
      </c>
      <c r="I525" s="82" t="s">
        <v>630</v>
      </c>
      <c r="J525" s="82" t="s">
        <v>640</v>
      </c>
      <c r="K525" s="82" t="s">
        <v>642</v>
      </c>
      <c r="L525" s="82">
        <v>2081091.0</v>
      </c>
      <c r="M525" s="82" t="s">
        <v>1144</v>
      </c>
      <c r="N525" s="82" t="s">
        <v>642</v>
      </c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  <c r="AA525" s="80"/>
    </row>
    <row r="526" ht="36.75" customHeight="1">
      <c r="A526" s="90" t="s">
        <v>560</v>
      </c>
      <c r="B526" s="96" t="s">
        <v>561</v>
      </c>
      <c r="C526" s="96" t="s">
        <v>581</v>
      </c>
      <c r="D526" s="82" t="s">
        <v>586</v>
      </c>
      <c r="E526" s="96">
        <v>2060027.0</v>
      </c>
      <c r="F526" s="96" t="s">
        <v>916</v>
      </c>
      <c r="G526" s="96" t="s">
        <v>581</v>
      </c>
      <c r="H526" s="90" t="s">
        <v>587</v>
      </c>
      <c r="I526" s="82" t="s">
        <v>630</v>
      </c>
      <c r="J526" s="82" t="s">
        <v>634</v>
      </c>
      <c r="K526" s="82" t="s">
        <v>643</v>
      </c>
      <c r="L526" s="82">
        <v>2080923.0</v>
      </c>
      <c r="M526" s="82" t="s">
        <v>1140</v>
      </c>
      <c r="N526" s="82" t="s">
        <v>649</v>
      </c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</row>
    <row r="527" ht="36.75" customHeight="1">
      <c r="A527" s="90" t="s">
        <v>587</v>
      </c>
      <c r="B527" s="96" t="s">
        <v>588</v>
      </c>
      <c r="C527" s="96" t="s">
        <v>589</v>
      </c>
      <c r="D527" s="96" t="s">
        <v>590</v>
      </c>
      <c r="E527" s="96">
        <v>2082152.0</v>
      </c>
      <c r="F527" s="82" t="s">
        <v>917</v>
      </c>
      <c r="G527" s="96" t="s">
        <v>588</v>
      </c>
      <c r="H527" s="90" t="s">
        <v>587</v>
      </c>
      <c r="I527" s="82" t="s">
        <v>630</v>
      </c>
      <c r="J527" s="82" t="s">
        <v>634</v>
      </c>
      <c r="K527" s="82" t="s">
        <v>644</v>
      </c>
      <c r="L527" s="82">
        <v>2705222.0</v>
      </c>
      <c r="M527" s="82" t="s">
        <v>1141</v>
      </c>
      <c r="N527" s="82" t="s">
        <v>644</v>
      </c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  <c r="AA527" s="80"/>
    </row>
    <row r="528" ht="36.75" customHeight="1">
      <c r="A528" s="90" t="s">
        <v>587</v>
      </c>
      <c r="B528" s="96" t="s">
        <v>588</v>
      </c>
      <c r="C528" s="96" t="s">
        <v>591</v>
      </c>
      <c r="D528" s="96" t="s">
        <v>592</v>
      </c>
      <c r="E528" s="96">
        <v>2083981.0</v>
      </c>
      <c r="F528" s="96" t="s">
        <v>918</v>
      </c>
      <c r="G528" s="96" t="s">
        <v>592</v>
      </c>
      <c r="H528" s="90" t="s">
        <v>587</v>
      </c>
      <c r="I528" s="82" t="s">
        <v>630</v>
      </c>
      <c r="J528" s="82" t="s">
        <v>640</v>
      </c>
      <c r="K528" s="82" t="s">
        <v>645</v>
      </c>
      <c r="L528" s="82">
        <v>2096463.0</v>
      </c>
      <c r="M528" s="82" t="s">
        <v>1143</v>
      </c>
      <c r="N528" s="82" t="s">
        <v>645</v>
      </c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  <c r="AA528" s="80"/>
    </row>
    <row r="529" ht="36.75" customHeight="1">
      <c r="A529" s="90" t="s">
        <v>587</v>
      </c>
      <c r="B529" s="96" t="s">
        <v>588</v>
      </c>
      <c r="C529" s="96" t="s">
        <v>589</v>
      </c>
      <c r="D529" s="96" t="s">
        <v>594</v>
      </c>
      <c r="E529" s="96">
        <v>2073323.0</v>
      </c>
      <c r="F529" s="96" t="s">
        <v>919</v>
      </c>
      <c r="G529" s="96" t="s">
        <v>594</v>
      </c>
      <c r="H529" s="90" t="s">
        <v>587</v>
      </c>
      <c r="I529" s="82" t="s">
        <v>630</v>
      </c>
      <c r="J529" s="82" t="s">
        <v>640</v>
      </c>
      <c r="K529" s="82" t="s">
        <v>646</v>
      </c>
      <c r="L529" s="82">
        <v>2088193.0</v>
      </c>
      <c r="M529" s="82" t="s">
        <v>1145</v>
      </c>
      <c r="N529" s="82" t="s">
        <v>646</v>
      </c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  <c r="AA529" s="80"/>
    </row>
    <row r="530" ht="36.75" customHeight="1">
      <c r="A530" s="90" t="s">
        <v>587</v>
      </c>
      <c r="B530" s="96" t="s">
        <v>588</v>
      </c>
      <c r="C530" s="96" t="s">
        <v>589</v>
      </c>
      <c r="D530" s="96" t="s">
        <v>594</v>
      </c>
      <c r="E530" s="96">
        <v>2082152.0</v>
      </c>
      <c r="F530" s="82" t="s">
        <v>917</v>
      </c>
      <c r="G530" s="96" t="s">
        <v>588</v>
      </c>
      <c r="H530" s="90" t="s">
        <v>587</v>
      </c>
      <c r="I530" s="82" t="s">
        <v>630</v>
      </c>
      <c r="J530" s="82" t="s">
        <v>631</v>
      </c>
      <c r="K530" s="82" t="s">
        <v>647</v>
      </c>
      <c r="L530" s="82">
        <v>2080745.0</v>
      </c>
      <c r="M530" s="82" t="s">
        <v>1146</v>
      </c>
      <c r="N530" s="82" t="s">
        <v>647</v>
      </c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</row>
    <row r="531" ht="36.75" customHeight="1">
      <c r="A531" s="90" t="s">
        <v>587</v>
      </c>
      <c r="B531" s="96" t="s">
        <v>588</v>
      </c>
      <c r="C531" s="96" t="s">
        <v>591</v>
      </c>
      <c r="D531" s="96" t="s">
        <v>595</v>
      </c>
      <c r="E531" s="96">
        <v>2082152.0</v>
      </c>
      <c r="F531" s="82" t="s">
        <v>917</v>
      </c>
      <c r="G531" s="96" t="s">
        <v>588</v>
      </c>
      <c r="H531" s="90" t="s">
        <v>587</v>
      </c>
      <c r="I531" s="82" t="s">
        <v>630</v>
      </c>
      <c r="J531" s="82" t="s">
        <v>631</v>
      </c>
      <c r="K531" s="82" t="s">
        <v>648</v>
      </c>
      <c r="L531" s="82">
        <v>2751623.0</v>
      </c>
      <c r="M531" s="82" t="s">
        <v>1142</v>
      </c>
      <c r="N531" s="82" t="s">
        <v>639</v>
      </c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  <c r="AA531" s="80"/>
    </row>
    <row r="532" ht="36.75" customHeight="1">
      <c r="A532" s="90" t="s">
        <v>587</v>
      </c>
      <c r="B532" s="96" t="s">
        <v>588</v>
      </c>
      <c r="C532" s="96" t="s">
        <v>591</v>
      </c>
      <c r="D532" s="96" t="s">
        <v>588</v>
      </c>
      <c r="E532" s="96">
        <v>2082128.0</v>
      </c>
      <c r="F532" s="96" t="s">
        <v>920</v>
      </c>
      <c r="G532" s="96" t="s">
        <v>588</v>
      </c>
      <c r="H532" s="90" t="s">
        <v>587</v>
      </c>
      <c r="I532" s="82" t="s">
        <v>630</v>
      </c>
      <c r="J532" s="82" t="s">
        <v>631</v>
      </c>
      <c r="K532" s="82" t="s">
        <v>630</v>
      </c>
      <c r="L532" s="82">
        <v>2084228.0</v>
      </c>
      <c r="M532" s="82" t="s">
        <v>1139</v>
      </c>
      <c r="N532" s="82" t="s">
        <v>630</v>
      </c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  <c r="AA532" s="80"/>
    </row>
    <row r="533" ht="36.75" customHeight="1">
      <c r="A533" s="90" t="s">
        <v>587</v>
      </c>
      <c r="B533" s="96" t="s">
        <v>588</v>
      </c>
      <c r="C533" s="96" t="s">
        <v>591</v>
      </c>
      <c r="D533" s="96" t="s">
        <v>588</v>
      </c>
      <c r="E533" s="96">
        <v>2022710.0</v>
      </c>
      <c r="F533" s="96" t="s">
        <v>921</v>
      </c>
      <c r="G533" s="96" t="s">
        <v>588</v>
      </c>
      <c r="H533" s="90" t="s">
        <v>587</v>
      </c>
      <c r="I533" s="82" t="s">
        <v>630</v>
      </c>
      <c r="J533" s="82" t="s">
        <v>634</v>
      </c>
      <c r="K533" s="82" t="s">
        <v>649</v>
      </c>
      <c r="L533" s="82">
        <v>2080923.0</v>
      </c>
      <c r="M533" s="82" t="s">
        <v>1140</v>
      </c>
      <c r="N533" s="82" t="s">
        <v>649</v>
      </c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  <c r="AA533" s="80"/>
    </row>
    <row r="534" ht="36.75" customHeight="1">
      <c r="A534" s="90" t="s">
        <v>587</v>
      </c>
      <c r="B534" s="96" t="s">
        <v>588</v>
      </c>
      <c r="C534" s="96" t="s">
        <v>591</v>
      </c>
      <c r="D534" s="96" t="s">
        <v>588</v>
      </c>
      <c r="E534" s="96">
        <v>2082152.0</v>
      </c>
      <c r="F534" s="82" t="s">
        <v>917</v>
      </c>
      <c r="G534" s="96" t="s">
        <v>588</v>
      </c>
      <c r="H534" s="90" t="s">
        <v>587</v>
      </c>
      <c r="I534" s="82" t="s">
        <v>630</v>
      </c>
      <c r="J534" s="82" t="s">
        <v>634</v>
      </c>
      <c r="K534" s="82" t="s">
        <v>650</v>
      </c>
      <c r="L534" s="82">
        <v>2705222.0</v>
      </c>
      <c r="M534" s="82" t="s">
        <v>1141</v>
      </c>
      <c r="N534" s="82" t="s">
        <v>644</v>
      </c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</row>
    <row r="535" ht="36.75" customHeight="1">
      <c r="A535" s="90" t="s">
        <v>587</v>
      </c>
      <c r="B535" s="96" t="s">
        <v>588</v>
      </c>
      <c r="C535" s="96" t="s">
        <v>591</v>
      </c>
      <c r="D535" s="96" t="s">
        <v>598</v>
      </c>
      <c r="E535" s="96">
        <v>2082152.0</v>
      </c>
      <c r="F535" s="82" t="s">
        <v>917</v>
      </c>
      <c r="G535" s="96" t="s">
        <v>588</v>
      </c>
      <c r="H535" s="90" t="s">
        <v>587</v>
      </c>
      <c r="I535" s="82" t="s">
        <v>630</v>
      </c>
      <c r="J535" s="82" t="s">
        <v>631</v>
      </c>
      <c r="K535" s="82" t="s">
        <v>651</v>
      </c>
      <c r="L535" s="82">
        <v>2749149.0</v>
      </c>
      <c r="M535" s="82" t="s">
        <v>1147</v>
      </c>
      <c r="N535" s="82" t="s">
        <v>651</v>
      </c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</row>
    <row r="536" ht="36.75" customHeight="1">
      <c r="A536" s="90" t="s">
        <v>587</v>
      </c>
      <c r="B536" s="96" t="s">
        <v>588</v>
      </c>
      <c r="C536" s="96" t="s">
        <v>591</v>
      </c>
      <c r="D536" s="96" t="s">
        <v>600</v>
      </c>
      <c r="E536" s="96">
        <v>2082152.0</v>
      </c>
      <c r="F536" s="82" t="s">
        <v>917</v>
      </c>
      <c r="G536" s="96" t="s">
        <v>588</v>
      </c>
      <c r="H536" s="90" t="s">
        <v>587</v>
      </c>
      <c r="I536" s="82" t="s">
        <v>630</v>
      </c>
      <c r="J536" s="82" t="s">
        <v>634</v>
      </c>
      <c r="K536" s="82" t="s">
        <v>652</v>
      </c>
      <c r="L536" s="82">
        <v>2705222.0</v>
      </c>
      <c r="M536" s="82" t="s">
        <v>1141</v>
      </c>
      <c r="N536" s="82" t="s">
        <v>644</v>
      </c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  <c r="AA536" s="80"/>
    </row>
    <row r="537" ht="36.75" customHeight="1">
      <c r="A537" s="90" t="s">
        <v>587</v>
      </c>
      <c r="B537" s="96" t="s">
        <v>588</v>
      </c>
      <c r="C537" s="96" t="s">
        <v>591</v>
      </c>
      <c r="D537" s="96" t="s">
        <v>601</v>
      </c>
      <c r="E537" s="96">
        <v>7206739.0</v>
      </c>
      <c r="F537" s="96" t="s">
        <v>922</v>
      </c>
      <c r="G537" s="96" t="s">
        <v>601</v>
      </c>
      <c r="H537" s="90" t="s">
        <v>587</v>
      </c>
      <c r="I537" s="82" t="s">
        <v>630</v>
      </c>
      <c r="J537" s="82" t="s">
        <v>631</v>
      </c>
      <c r="K537" s="82" t="s">
        <v>653</v>
      </c>
      <c r="L537" s="82">
        <v>2081903.0</v>
      </c>
      <c r="M537" s="82" t="s">
        <v>1148</v>
      </c>
      <c r="N537" s="82" t="s">
        <v>653</v>
      </c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  <c r="AA537" s="80"/>
    </row>
    <row r="538" ht="36.75" customHeight="1">
      <c r="A538" s="90" t="s">
        <v>587</v>
      </c>
      <c r="B538" s="96" t="s">
        <v>588</v>
      </c>
      <c r="C538" s="96" t="s">
        <v>591</v>
      </c>
      <c r="D538" s="96" t="s">
        <v>601</v>
      </c>
      <c r="E538" s="96">
        <v>2083981.0</v>
      </c>
      <c r="F538" s="96" t="s">
        <v>923</v>
      </c>
      <c r="G538" s="96" t="s">
        <v>625</v>
      </c>
      <c r="H538" s="90" t="s">
        <v>654</v>
      </c>
      <c r="I538" s="96" t="s">
        <v>588</v>
      </c>
      <c r="J538" s="96" t="s">
        <v>655</v>
      </c>
      <c r="K538" s="96" t="s">
        <v>656</v>
      </c>
      <c r="L538" s="96">
        <v>5366828.0</v>
      </c>
      <c r="M538" s="96" t="s">
        <v>1149</v>
      </c>
      <c r="N538" s="96" t="s">
        <v>656</v>
      </c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  <c r="AA538" s="80"/>
    </row>
    <row r="539" ht="36.75" customHeight="1">
      <c r="A539" s="90" t="s">
        <v>587</v>
      </c>
      <c r="B539" s="96" t="s">
        <v>588</v>
      </c>
      <c r="C539" s="96" t="s">
        <v>591</v>
      </c>
      <c r="D539" s="96" t="s">
        <v>603</v>
      </c>
      <c r="E539" s="96">
        <v>2026651.0</v>
      </c>
      <c r="F539" s="96" t="s">
        <v>924</v>
      </c>
      <c r="G539" s="96" t="s">
        <v>603</v>
      </c>
      <c r="H539" s="90" t="s">
        <v>654</v>
      </c>
      <c r="I539" s="96" t="s">
        <v>588</v>
      </c>
      <c r="J539" s="96" t="s">
        <v>655</v>
      </c>
      <c r="K539" s="96" t="s">
        <v>657</v>
      </c>
      <c r="L539" s="96">
        <v>5366828.0</v>
      </c>
      <c r="M539" s="96" t="s">
        <v>1149</v>
      </c>
      <c r="N539" s="96" t="s">
        <v>656</v>
      </c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  <c r="AA539" s="80"/>
    </row>
    <row r="540" ht="36.75" customHeight="1">
      <c r="A540" s="90" t="s">
        <v>587</v>
      </c>
      <c r="B540" s="96" t="s">
        <v>588</v>
      </c>
      <c r="C540" s="96" t="s">
        <v>591</v>
      </c>
      <c r="D540" s="96" t="s">
        <v>603</v>
      </c>
      <c r="E540" s="96">
        <v>2082152.0</v>
      </c>
      <c r="F540" s="82" t="s">
        <v>917</v>
      </c>
      <c r="G540" s="96" t="s">
        <v>588</v>
      </c>
      <c r="H540" s="90" t="s">
        <v>654</v>
      </c>
      <c r="I540" s="96" t="s">
        <v>588</v>
      </c>
      <c r="J540" s="96" t="s">
        <v>655</v>
      </c>
      <c r="K540" s="96" t="s">
        <v>658</v>
      </c>
      <c r="L540" s="96">
        <v>2688433.0</v>
      </c>
      <c r="M540" s="96" t="s">
        <v>1150</v>
      </c>
      <c r="N540" s="96" t="s">
        <v>658</v>
      </c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  <c r="AA540" s="80"/>
    </row>
    <row r="541" ht="36.75" customHeight="1">
      <c r="A541" s="90" t="s">
        <v>587</v>
      </c>
      <c r="B541" s="96" t="s">
        <v>588</v>
      </c>
      <c r="C541" s="96" t="s">
        <v>591</v>
      </c>
      <c r="D541" s="96" t="s">
        <v>604</v>
      </c>
      <c r="E541" s="96">
        <v>6396968.0</v>
      </c>
      <c r="F541" s="96" t="s">
        <v>925</v>
      </c>
      <c r="G541" s="96" t="s">
        <v>604</v>
      </c>
      <c r="H541" s="90" t="s">
        <v>654</v>
      </c>
      <c r="I541" s="96" t="s">
        <v>588</v>
      </c>
      <c r="J541" s="96" t="s">
        <v>655</v>
      </c>
      <c r="K541" s="96" t="s">
        <v>659</v>
      </c>
      <c r="L541" s="96">
        <v>2688433.0</v>
      </c>
      <c r="M541" s="96" t="s">
        <v>1150</v>
      </c>
      <c r="N541" s="96" t="s">
        <v>658</v>
      </c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  <c r="AA541" s="80"/>
    </row>
    <row r="542" ht="36.75" customHeight="1">
      <c r="A542" s="90" t="s">
        <v>587</v>
      </c>
      <c r="B542" s="96" t="s">
        <v>588</v>
      </c>
      <c r="C542" s="96" t="s">
        <v>591</v>
      </c>
      <c r="D542" s="96" t="s">
        <v>604</v>
      </c>
      <c r="E542" s="96">
        <v>2082152.0</v>
      </c>
      <c r="F542" s="82" t="s">
        <v>917</v>
      </c>
      <c r="G542" s="96" t="s">
        <v>588</v>
      </c>
      <c r="H542" s="90" t="s">
        <v>654</v>
      </c>
      <c r="I542" s="96" t="s">
        <v>588</v>
      </c>
      <c r="J542" s="96" t="s">
        <v>655</v>
      </c>
      <c r="K542" s="96" t="s">
        <v>660</v>
      </c>
      <c r="L542" s="96">
        <v>5366828.0</v>
      </c>
      <c r="M542" s="96" t="s">
        <v>1149</v>
      </c>
      <c r="N542" s="96" t="s">
        <v>656</v>
      </c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  <c r="AA542" s="80"/>
    </row>
    <row r="543" ht="36.75" customHeight="1">
      <c r="A543" s="90" t="s">
        <v>587</v>
      </c>
      <c r="B543" s="96" t="s">
        <v>588</v>
      </c>
      <c r="C543" s="96" t="s">
        <v>591</v>
      </c>
      <c r="D543" s="96" t="s">
        <v>606</v>
      </c>
      <c r="E543" s="96">
        <v>2082152.0</v>
      </c>
      <c r="F543" s="82" t="s">
        <v>917</v>
      </c>
      <c r="G543" s="96" t="s">
        <v>588</v>
      </c>
      <c r="H543" s="90" t="s">
        <v>654</v>
      </c>
      <c r="I543" s="96" t="s">
        <v>588</v>
      </c>
      <c r="J543" s="96" t="s">
        <v>655</v>
      </c>
      <c r="K543" s="96" t="s">
        <v>661</v>
      </c>
      <c r="L543" s="96">
        <v>2688433.0</v>
      </c>
      <c r="M543" s="96" t="s">
        <v>1150</v>
      </c>
      <c r="N543" s="96" t="s">
        <v>658</v>
      </c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  <c r="AA543" s="80"/>
    </row>
    <row r="544" ht="36.75" customHeight="1">
      <c r="A544" s="90" t="s">
        <v>587</v>
      </c>
      <c r="B544" s="96" t="s">
        <v>588</v>
      </c>
      <c r="C544" s="96" t="s">
        <v>589</v>
      </c>
      <c r="D544" s="96" t="s">
        <v>608</v>
      </c>
      <c r="E544" s="96">
        <v>2082152.0</v>
      </c>
      <c r="F544" s="82" t="s">
        <v>917</v>
      </c>
      <c r="G544" s="96" t="s">
        <v>588</v>
      </c>
      <c r="H544" s="90" t="s">
        <v>654</v>
      </c>
      <c r="I544" s="96" t="s">
        <v>588</v>
      </c>
      <c r="J544" s="96" t="s">
        <v>655</v>
      </c>
      <c r="K544" s="96" t="s">
        <v>662</v>
      </c>
      <c r="L544" s="96">
        <v>2688433.0</v>
      </c>
      <c r="M544" s="96" t="s">
        <v>1150</v>
      </c>
      <c r="N544" s="96" t="s">
        <v>658</v>
      </c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  <c r="AA544" s="80"/>
    </row>
    <row r="545" ht="36.75" customHeight="1">
      <c r="A545" s="90" t="s">
        <v>587</v>
      </c>
      <c r="B545" s="96" t="s">
        <v>588</v>
      </c>
      <c r="C545" s="96" t="s">
        <v>589</v>
      </c>
      <c r="D545" s="96" t="s">
        <v>609</v>
      </c>
      <c r="E545" s="96">
        <v>2082152.0</v>
      </c>
      <c r="F545" s="82" t="s">
        <v>917</v>
      </c>
      <c r="G545" s="96" t="s">
        <v>588</v>
      </c>
      <c r="H545" s="90" t="s">
        <v>654</v>
      </c>
      <c r="I545" s="96" t="s">
        <v>588</v>
      </c>
      <c r="J545" s="96" t="s">
        <v>655</v>
      </c>
      <c r="K545" s="96" t="s">
        <v>663</v>
      </c>
      <c r="L545" s="96">
        <v>2079852.0</v>
      </c>
      <c r="M545" s="96" t="s">
        <v>1151</v>
      </c>
      <c r="N545" s="96" t="s">
        <v>663</v>
      </c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  <c r="AA545" s="80"/>
    </row>
    <row r="546" ht="36.75" customHeight="1">
      <c r="A546" s="90" t="s">
        <v>587</v>
      </c>
      <c r="B546" s="96" t="s">
        <v>588</v>
      </c>
      <c r="C546" s="96" t="s">
        <v>591</v>
      </c>
      <c r="D546" s="96" t="s">
        <v>611</v>
      </c>
      <c r="E546" s="96">
        <v>2083981.0</v>
      </c>
      <c r="F546" s="96" t="s">
        <v>923</v>
      </c>
      <c r="G546" s="98" t="s">
        <v>625</v>
      </c>
      <c r="H546" s="90" t="s">
        <v>654</v>
      </c>
      <c r="I546" s="96" t="s">
        <v>588</v>
      </c>
      <c r="J546" s="96" t="s">
        <v>655</v>
      </c>
      <c r="K546" s="96" t="s">
        <v>664</v>
      </c>
      <c r="L546" s="96">
        <v>2079704.0</v>
      </c>
      <c r="M546" s="96" t="s">
        <v>1152</v>
      </c>
      <c r="N546" s="96" t="s">
        <v>664</v>
      </c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  <c r="AA546" s="80"/>
    </row>
    <row r="547" ht="36.75" customHeight="1">
      <c r="A547" s="90" t="s">
        <v>587</v>
      </c>
      <c r="B547" s="96" t="s">
        <v>588</v>
      </c>
      <c r="C547" s="96" t="s">
        <v>591</v>
      </c>
      <c r="D547" s="96" t="s">
        <v>613</v>
      </c>
      <c r="E547" s="96">
        <v>6396968.0</v>
      </c>
      <c r="F547" s="96" t="s">
        <v>925</v>
      </c>
      <c r="G547" s="98" t="s">
        <v>604</v>
      </c>
      <c r="H547" s="90" t="s">
        <v>654</v>
      </c>
      <c r="I547" s="96" t="s">
        <v>588</v>
      </c>
      <c r="J547" s="96" t="s">
        <v>655</v>
      </c>
      <c r="K547" s="96" t="s">
        <v>665</v>
      </c>
      <c r="L547" s="96">
        <v>2688433.0</v>
      </c>
      <c r="M547" s="96" t="s">
        <v>1150</v>
      </c>
      <c r="N547" s="96" t="s">
        <v>658</v>
      </c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  <c r="AA547" s="80"/>
    </row>
    <row r="548" ht="36.75" customHeight="1">
      <c r="A548" s="90" t="s">
        <v>587</v>
      </c>
      <c r="B548" s="96" t="s">
        <v>588</v>
      </c>
      <c r="C548" s="96" t="s">
        <v>591</v>
      </c>
      <c r="D548" s="96" t="s">
        <v>613</v>
      </c>
      <c r="E548" s="96">
        <v>2082152.0</v>
      </c>
      <c r="F548" s="82" t="s">
        <v>917</v>
      </c>
      <c r="G548" s="96" t="s">
        <v>588</v>
      </c>
      <c r="H548" s="90" t="s">
        <v>654</v>
      </c>
      <c r="I548" s="96" t="s">
        <v>588</v>
      </c>
      <c r="J548" s="96" t="s">
        <v>655</v>
      </c>
      <c r="K548" s="96" t="s">
        <v>666</v>
      </c>
      <c r="L548" s="96">
        <v>2688433.0</v>
      </c>
      <c r="M548" s="96" t="s">
        <v>1150</v>
      </c>
      <c r="N548" s="96" t="s">
        <v>658</v>
      </c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  <c r="AA548" s="80"/>
    </row>
    <row r="549" ht="36.75" customHeight="1">
      <c r="A549" s="90" t="s">
        <v>587</v>
      </c>
      <c r="B549" s="96" t="s">
        <v>588</v>
      </c>
      <c r="C549" s="96" t="s">
        <v>591</v>
      </c>
      <c r="D549" s="96" t="s">
        <v>614</v>
      </c>
      <c r="E549" s="96">
        <v>2083981.0</v>
      </c>
      <c r="F549" s="96" t="s">
        <v>923</v>
      </c>
      <c r="G549" s="98" t="s">
        <v>625</v>
      </c>
      <c r="H549" s="90" t="s">
        <v>654</v>
      </c>
      <c r="I549" s="96" t="s">
        <v>588</v>
      </c>
      <c r="J549" s="96" t="s">
        <v>667</v>
      </c>
      <c r="K549" s="96" t="s">
        <v>668</v>
      </c>
      <c r="L549" s="96">
        <v>2079313.0</v>
      </c>
      <c r="M549" s="96" t="s">
        <v>1153</v>
      </c>
      <c r="N549" s="96" t="s">
        <v>668</v>
      </c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</row>
    <row r="550" ht="36.75" customHeight="1">
      <c r="A550" s="90" t="s">
        <v>587</v>
      </c>
      <c r="B550" s="96" t="s">
        <v>588</v>
      </c>
      <c r="C550" s="96" t="s">
        <v>591</v>
      </c>
      <c r="D550" s="96" t="s">
        <v>616</v>
      </c>
      <c r="E550" s="96">
        <v>2082152.0</v>
      </c>
      <c r="F550" s="82" t="s">
        <v>917</v>
      </c>
      <c r="G550" s="99" t="s">
        <v>588</v>
      </c>
      <c r="H550" s="90" t="s">
        <v>654</v>
      </c>
      <c r="I550" s="96" t="s">
        <v>588</v>
      </c>
      <c r="J550" s="96" t="s">
        <v>667</v>
      </c>
      <c r="K550" s="96" t="s">
        <v>669</v>
      </c>
      <c r="L550" s="96">
        <v>2087219.0</v>
      </c>
      <c r="M550" s="96" t="s">
        <v>1154</v>
      </c>
      <c r="N550" s="96" t="s">
        <v>669</v>
      </c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  <c r="AA550" s="80"/>
    </row>
    <row r="551" ht="36.75" customHeight="1">
      <c r="A551" s="90" t="s">
        <v>587</v>
      </c>
      <c r="B551" s="96" t="s">
        <v>588</v>
      </c>
      <c r="C551" s="96" t="s">
        <v>591</v>
      </c>
      <c r="D551" s="96" t="s">
        <v>618</v>
      </c>
      <c r="E551" s="96">
        <v>2082152.0</v>
      </c>
      <c r="F551" s="82" t="s">
        <v>917</v>
      </c>
      <c r="G551" s="99" t="s">
        <v>588</v>
      </c>
      <c r="H551" s="90" t="s">
        <v>654</v>
      </c>
      <c r="I551" s="96" t="s">
        <v>588</v>
      </c>
      <c r="J551" s="96" t="s">
        <v>667</v>
      </c>
      <c r="K551" s="96" t="s">
        <v>670</v>
      </c>
      <c r="L551" s="96">
        <v>2078538.0</v>
      </c>
      <c r="M551" s="96" t="s">
        <v>1155</v>
      </c>
      <c r="N551" s="96" t="s">
        <v>670</v>
      </c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  <c r="AA551" s="80"/>
    </row>
    <row r="552" ht="36.75" customHeight="1">
      <c r="A552" s="90" t="s">
        <v>587</v>
      </c>
      <c r="B552" s="96" t="s">
        <v>588</v>
      </c>
      <c r="C552" s="96" t="s">
        <v>591</v>
      </c>
      <c r="D552" s="96" t="s">
        <v>620</v>
      </c>
      <c r="E552" s="100">
        <v>7242247.0</v>
      </c>
      <c r="F552" s="100" t="s">
        <v>926</v>
      </c>
      <c r="G552" s="99" t="s">
        <v>927</v>
      </c>
      <c r="H552" s="90" t="s">
        <v>654</v>
      </c>
      <c r="I552" s="96" t="s">
        <v>588</v>
      </c>
      <c r="J552" s="96" t="s">
        <v>667</v>
      </c>
      <c r="K552" s="96" t="s">
        <v>671</v>
      </c>
      <c r="L552" s="96">
        <v>2087219.0</v>
      </c>
      <c r="M552" s="96" t="s">
        <v>1154</v>
      </c>
      <c r="N552" s="96" t="s">
        <v>669</v>
      </c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  <c r="AA552" s="80"/>
    </row>
    <row r="553" ht="36.75" customHeight="1">
      <c r="A553" s="90" t="s">
        <v>587</v>
      </c>
      <c r="B553" s="96" t="s">
        <v>588</v>
      </c>
      <c r="C553" s="96" t="s">
        <v>591</v>
      </c>
      <c r="D553" s="96" t="s">
        <v>620</v>
      </c>
      <c r="E553" s="101">
        <v>2083981.0</v>
      </c>
      <c r="F553" s="101" t="s">
        <v>923</v>
      </c>
      <c r="G553" s="96" t="s">
        <v>625</v>
      </c>
      <c r="H553" s="90" t="s">
        <v>654</v>
      </c>
      <c r="I553" s="96" t="s">
        <v>588</v>
      </c>
      <c r="J553" s="96" t="s">
        <v>667</v>
      </c>
      <c r="K553" s="96" t="s">
        <v>667</v>
      </c>
      <c r="L553" s="96">
        <v>3012212.0</v>
      </c>
      <c r="M553" s="96" t="s">
        <v>1156</v>
      </c>
      <c r="N553" s="96" t="s">
        <v>667</v>
      </c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  <c r="AA553" s="80"/>
    </row>
    <row r="554" ht="36.75" customHeight="1">
      <c r="A554" s="90" t="s">
        <v>587</v>
      </c>
      <c r="B554" s="96" t="s">
        <v>588</v>
      </c>
      <c r="C554" s="96" t="s">
        <v>591</v>
      </c>
      <c r="D554" s="96" t="s">
        <v>622</v>
      </c>
      <c r="E554" s="96">
        <v>2082152.0</v>
      </c>
      <c r="F554" s="82" t="s">
        <v>917</v>
      </c>
      <c r="G554" s="96" t="s">
        <v>588</v>
      </c>
      <c r="H554" s="90" t="s">
        <v>654</v>
      </c>
      <c r="I554" s="96" t="s">
        <v>588</v>
      </c>
      <c r="J554" s="96" t="s">
        <v>667</v>
      </c>
      <c r="K554" s="96" t="s">
        <v>672</v>
      </c>
      <c r="L554" s="96">
        <v>2079917.0</v>
      </c>
      <c r="M554" s="96" t="s">
        <v>1157</v>
      </c>
      <c r="N554" s="96" t="s">
        <v>672</v>
      </c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  <c r="AA554" s="80"/>
    </row>
    <row r="555" ht="36.75" customHeight="1">
      <c r="A555" s="90" t="s">
        <v>587</v>
      </c>
      <c r="B555" s="96" t="s">
        <v>588</v>
      </c>
      <c r="C555" s="96" t="s">
        <v>589</v>
      </c>
      <c r="D555" s="96" t="s">
        <v>624</v>
      </c>
      <c r="E555" s="102"/>
      <c r="F555" s="102"/>
      <c r="G555" s="96" t="s">
        <v>624</v>
      </c>
      <c r="H555" s="90" t="s">
        <v>654</v>
      </c>
      <c r="I555" s="96" t="s">
        <v>588</v>
      </c>
      <c r="J555" s="96" t="s">
        <v>667</v>
      </c>
      <c r="K555" s="96" t="s">
        <v>673</v>
      </c>
      <c r="L555" s="96">
        <v>2087219.0</v>
      </c>
      <c r="M555" s="96" t="s">
        <v>1154</v>
      </c>
      <c r="N555" s="96" t="s">
        <v>667</v>
      </c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  <c r="AA555" s="80"/>
    </row>
    <row r="556" ht="36.75" customHeight="1">
      <c r="A556" s="90" t="s">
        <v>587</v>
      </c>
      <c r="B556" s="96" t="s">
        <v>588</v>
      </c>
      <c r="C556" s="96" t="s">
        <v>591</v>
      </c>
      <c r="D556" s="96" t="s">
        <v>625</v>
      </c>
      <c r="E556" s="96">
        <v>9609652.0</v>
      </c>
      <c r="F556" s="96" t="s">
        <v>928</v>
      </c>
      <c r="G556" s="96" t="s">
        <v>625</v>
      </c>
      <c r="H556" s="90" t="s">
        <v>674</v>
      </c>
      <c r="I556" s="96" t="s">
        <v>675</v>
      </c>
      <c r="J556" s="96" t="s">
        <v>676</v>
      </c>
      <c r="K556" s="96" t="s">
        <v>677</v>
      </c>
      <c r="L556" s="96">
        <v>2024756.0</v>
      </c>
      <c r="M556" s="96" t="s">
        <v>1158</v>
      </c>
      <c r="N556" s="96" t="s">
        <v>677</v>
      </c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  <c r="AA556" s="80"/>
    </row>
    <row r="557" ht="36.75" customHeight="1">
      <c r="A557" s="90" t="s">
        <v>587</v>
      </c>
      <c r="B557" s="96" t="s">
        <v>588</v>
      </c>
      <c r="C557" s="96" t="s">
        <v>591</v>
      </c>
      <c r="D557" s="96" t="s">
        <v>625</v>
      </c>
      <c r="E557" s="96">
        <v>2083981.0</v>
      </c>
      <c r="F557" s="96" t="s">
        <v>923</v>
      </c>
      <c r="G557" s="96" t="s">
        <v>625</v>
      </c>
      <c r="H557" s="90" t="s">
        <v>674</v>
      </c>
      <c r="I557" s="96" t="s">
        <v>675</v>
      </c>
      <c r="J557" s="96" t="s">
        <v>676</v>
      </c>
      <c r="K557" s="96" t="s">
        <v>678</v>
      </c>
      <c r="L557" s="96">
        <v>2085194.0</v>
      </c>
      <c r="M557" s="96" t="s">
        <v>1159</v>
      </c>
      <c r="N557" s="96" t="s">
        <v>679</v>
      </c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</row>
    <row r="558" ht="36.75" customHeight="1">
      <c r="A558" s="90" t="s">
        <v>587</v>
      </c>
      <c r="B558" s="96" t="s">
        <v>588</v>
      </c>
      <c r="C558" s="96" t="s">
        <v>591</v>
      </c>
      <c r="D558" s="96" t="s">
        <v>627</v>
      </c>
      <c r="E558" s="96">
        <v>9022309.0</v>
      </c>
      <c r="F558" s="96" t="s">
        <v>929</v>
      </c>
      <c r="G558" s="96" t="s">
        <v>627</v>
      </c>
      <c r="H558" s="90" t="s">
        <v>674</v>
      </c>
      <c r="I558" s="96" t="s">
        <v>675</v>
      </c>
      <c r="J558" s="96" t="s">
        <v>676</v>
      </c>
      <c r="K558" s="96" t="s">
        <v>679</v>
      </c>
      <c r="L558" s="96">
        <v>2085194.0</v>
      </c>
      <c r="M558" s="96" t="s">
        <v>1159</v>
      </c>
      <c r="N558" s="96" t="s">
        <v>679</v>
      </c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</row>
    <row r="559" ht="36.75" customHeight="1">
      <c r="A559" s="90" t="s">
        <v>587</v>
      </c>
      <c r="B559" s="96" t="s">
        <v>588</v>
      </c>
      <c r="C559" s="96" t="s">
        <v>591</v>
      </c>
      <c r="D559" s="96" t="s">
        <v>627</v>
      </c>
      <c r="E559" s="96">
        <v>2082152.0</v>
      </c>
      <c r="F559" s="82" t="s">
        <v>917</v>
      </c>
      <c r="G559" s="96" t="s">
        <v>588</v>
      </c>
      <c r="H559" s="90" t="s">
        <v>674</v>
      </c>
      <c r="I559" s="96" t="s">
        <v>675</v>
      </c>
      <c r="J559" s="96" t="s">
        <v>676</v>
      </c>
      <c r="K559" s="96" t="s">
        <v>680</v>
      </c>
      <c r="L559" s="96">
        <v>2024756.0</v>
      </c>
      <c r="M559" s="96" t="s">
        <v>1158</v>
      </c>
      <c r="N559" s="96" t="s">
        <v>677</v>
      </c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  <c r="AA559" s="80"/>
    </row>
    <row r="560" ht="36.75" customHeight="1">
      <c r="A560" s="90" t="s">
        <v>587</v>
      </c>
      <c r="B560" s="96" t="s">
        <v>588</v>
      </c>
      <c r="C560" s="96" t="s">
        <v>591</v>
      </c>
      <c r="D560" s="96" t="s">
        <v>629</v>
      </c>
      <c r="E560" s="96">
        <v>6886582.0</v>
      </c>
      <c r="F560" s="96" t="s">
        <v>930</v>
      </c>
      <c r="G560" s="96" t="s">
        <v>629</v>
      </c>
      <c r="H560" s="90" t="s">
        <v>674</v>
      </c>
      <c r="I560" s="96" t="s">
        <v>675</v>
      </c>
      <c r="J560" s="96" t="s">
        <v>676</v>
      </c>
      <c r="K560" s="96" t="s">
        <v>681</v>
      </c>
      <c r="L560" s="96">
        <v>9628.0</v>
      </c>
      <c r="M560" s="96" t="s">
        <v>1160</v>
      </c>
      <c r="N560" s="96" t="s">
        <v>684</v>
      </c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  <c r="AA560" s="80"/>
    </row>
    <row r="561" ht="36.75" customHeight="1">
      <c r="A561" s="90" t="s">
        <v>587</v>
      </c>
      <c r="B561" s="96" t="s">
        <v>588</v>
      </c>
      <c r="C561" s="96" t="s">
        <v>591</v>
      </c>
      <c r="D561" s="96" t="s">
        <v>629</v>
      </c>
      <c r="E561" s="82">
        <v>2082152.0</v>
      </c>
      <c r="F561" s="82" t="s">
        <v>917</v>
      </c>
      <c r="G561" s="96" t="s">
        <v>588</v>
      </c>
      <c r="H561" s="90" t="s">
        <v>674</v>
      </c>
      <c r="I561" s="96" t="s">
        <v>675</v>
      </c>
      <c r="J561" s="96" t="s">
        <v>676</v>
      </c>
      <c r="K561" s="96" t="s">
        <v>682</v>
      </c>
      <c r="L561" s="96">
        <v>9628.0</v>
      </c>
      <c r="M561" s="96" t="s">
        <v>1160</v>
      </c>
      <c r="N561" s="96" t="s">
        <v>684</v>
      </c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</row>
    <row r="562" ht="36.75" customHeight="1">
      <c r="A562" s="90" t="s">
        <v>587</v>
      </c>
      <c r="B562" s="82" t="s">
        <v>630</v>
      </c>
      <c r="C562" s="82" t="s">
        <v>631</v>
      </c>
      <c r="D562" s="82" t="s">
        <v>632</v>
      </c>
      <c r="E562" s="82">
        <v>2749025.0</v>
      </c>
      <c r="F562" s="82" t="s">
        <v>931</v>
      </c>
      <c r="G562" s="82" t="s">
        <v>632</v>
      </c>
      <c r="H562" s="90" t="s">
        <v>674</v>
      </c>
      <c r="I562" s="96" t="s">
        <v>675</v>
      </c>
      <c r="J562" s="96" t="s">
        <v>676</v>
      </c>
      <c r="K562" s="96" t="s">
        <v>683</v>
      </c>
      <c r="L562" s="96">
        <v>2085194.0</v>
      </c>
      <c r="M562" s="96" t="s">
        <v>1159</v>
      </c>
      <c r="N562" s="96" t="s">
        <v>679</v>
      </c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</row>
    <row r="563" ht="36.75" customHeight="1">
      <c r="A563" s="90" t="s">
        <v>587</v>
      </c>
      <c r="B563" s="82" t="s">
        <v>630</v>
      </c>
      <c r="C563" s="82" t="s">
        <v>631</v>
      </c>
      <c r="D563" s="82" t="s">
        <v>632</v>
      </c>
      <c r="E563" s="82">
        <v>2082152.0</v>
      </c>
      <c r="F563" s="82" t="s">
        <v>917</v>
      </c>
      <c r="G563" s="82" t="s">
        <v>588</v>
      </c>
      <c r="H563" s="90" t="s">
        <v>674</v>
      </c>
      <c r="I563" s="96" t="s">
        <v>675</v>
      </c>
      <c r="J563" s="96" t="s">
        <v>676</v>
      </c>
      <c r="K563" s="96" t="s">
        <v>684</v>
      </c>
      <c r="L563" s="96">
        <v>9628.0</v>
      </c>
      <c r="M563" s="96" t="s">
        <v>1160</v>
      </c>
      <c r="N563" s="96" t="s">
        <v>684</v>
      </c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</row>
    <row r="564" ht="36.75" customHeight="1">
      <c r="A564" s="90" t="s">
        <v>587</v>
      </c>
      <c r="B564" s="82" t="s">
        <v>630</v>
      </c>
      <c r="C564" s="82" t="s">
        <v>631</v>
      </c>
      <c r="D564" s="82" t="s">
        <v>633</v>
      </c>
      <c r="E564" s="82">
        <v>2082152.0</v>
      </c>
      <c r="F564" s="82" t="s">
        <v>917</v>
      </c>
      <c r="G564" s="82" t="s">
        <v>588</v>
      </c>
      <c r="H564" s="90" t="s">
        <v>674</v>
      </c>
      <c r="I564" s="96" t="s">
        <v>675</v>
      </c>
      <c r="J564" s="96" t="s">
        <v>685</v>
      </c>
      <c r="K564" s="96" t="s">
        <v>686</v>
      </c>
      <c r="L564" s="96">
        <v>2087111.0</v>
      </c>
      <c r="M564" s="96" t="s">
        <v>948</v>
      </c>
      <c r="N564" s="96" t="s">
        <v>696</v>
      </c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</row>
    <row r="565" ht="36.75" customHeight="1">
      <c r="A565" s="90" t="s">
        <v>587</v>
      </c>
      <c r="B565" s="82" t="s">
        <v>630</v>
      </c>
      <c r="C565" s="82" t="s">
        <v>634</v>
      </c>
      <c r="D565" s="82" t="s">
        <v>635</v>
      </c>
      <c r="E565" s="82">
        <v>2082152.0</v>
      </c>
      <c r="F565" s="82" t="s">
        <v>917</v>
      </c>
      <c r="G565" s="82" t="s">
        <v>588</v>
      </c>
      <c r="H565" s="90" t="s">
        <v>674</v>
      </c>
      <c r="I565" s="96" t="s">
        <v>675</v>
      </c>
      <c r="J565" s="96" t="s">
        <v>685</v>
      </c>
      <c r="K565" s="96" t="s">
        <v>687</v>
      </c>
      <c r="L565" s="96">
        <v>2024691.0</v>
      </c>
      <c r="M565" s="96" t="s">
        <v>1161</v>
      </c>
      <c r="N565" s="96" t="s">
        <v>692</v>
      </c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</row>
    <row r="566" ht="36.75" customHeight="1">
      <c r="A566" s="90" t="s">
        <v>587</v>
      </c>
      <c r="B566" s="82" t="s">
        <v>630</v>
      </c>
      <c r="C566" s="82" t="s">
        <v>634</v>
      </c>
      <c r="D566" s="82" t="s">
        <v>637</v>
      </c>
      <c r="E566" s="82">
        <v>9464093.0</v>
      </c>
      <c r="F566" s="82" t="s">
        <v>932</v>
      </c>
      <c r="G566" s="82" t="s">
        <v>637</v>
      </c>
      <c r="H566" s="90" t="s">
        <v>674</v>
      </c>
      <c r="I566" s="96" t="s">
        <v>675</v>
      </c>
      <c r="J566" s="96" t="s">
        <v>685</v>
      </c>
      <c r="K566" s="96" t="s">
        <v>688</v>
      </c>
      <c r="L566" s="96">
        <v>2024691.0</v>
      </c>
      <c r="M566" s="96" t="s">
        <v>1161</v>
      </c>
      <c r="N566" s="96" t="s">
        <v>692</v>
      </c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</row>
    <row r="567" ht="36.75" customHeight="1">
      <c r="A567" s="90" t="s">
        <v>587</v>
      </c>
      <c r="B567" s="82" t="s">
        <v>630</v>
      </c>
      <c r="C567" s="82" t="s">
        <v>634</v>
      </c>
      <c r="D567" s="82" t="s">
        <v>637</v>
      </c>
      <c r="E567" s="82">
        <v>2082152.0</v>
      </c>
      <c r="F567" s="82" t="s">
        <v>917</v>
      </c>
      <c r="G567" s="82" t="s">
        <v>588</v>
      </c>
      <c r="H567" s="90" t="s">
        <v>674</v>
      </c>
      <c r="I567" s="96" t="s">
        <v>675</v>
      </c>
      <c r="J567" s="96" t="s">
        <v>685</v>
      </c>
      <c r="K567" s="96" t="s">
        <v>689</v>
      </c>
      <c r="L567" s="96">
        <v>2024691.0</v>
      </c>
      <c r="M567" s="96" t="s">
        <v>1161</v>
      </c>
      <c r="N567" s="96" t="s">
        <v>692</v>
      </c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  <c r="AA567" s="80"/>
    </row>
    <row r="568" ht="36.75" customHeight="1">
      <c r="A568" s="90" t="s">
        <v>587</v>
      </c>
      <c r="B568" s="82" t="s">
        <v>630</v>
      </c>
      <c r="C568" s="82" t="s">
        <v>634</v>
      </c>
      <c r="D568" s="82" t="s">
        <v>638</v>
      </c>
      <c r="E568" s="82">
        <v>2082152.0</v>
      </c>
      <c r="F568" s="82" t="s">
        <v>917</v>
      </c>
      <c r="G568" s="82" t="s">
        <v>588</v>
      </c>
      <c r="H568" s="90" t="s">
        <v>674</v>
      </c>
      <c r="I568" s="96" t="s">
        <v>675</v>
      </c>
      <c r="J568" s="96" t="s">
        <v>685</v>
      </c>
      <c r="K568" s="96" t="s">
        <v>690</v>
      </c>
      <c r="L568" s="96">
        <v>2087111.0</v>
      </c>
      <c r="M568" s="96" t="s">
        <v>948</v>
      </c>
      <c r="N568" s="96" t="s">
        <v>696</v>
      </c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  <c r="AA568" s="80"/>
    </row>
    <row r="569" ht="36.75" customHeight="1">
      <c r="A569" s="90" t="s">
        <v>587</v>
      </c>
      <c r="B569" s="82" t="s">
        <v>630</v>
      </c>
      <c r="C569" s="82" t="s">
        <v>631</v>
      </c>
      <c r="D569" s="82" t="s">
        <v>639</v>
      </c>
      <c r="E569" s="82">
        <v>2096358.0</v>
      </c>
      <c r="F569" s="82" t="s">
        <v>933</v>
      </c>
      <c r="G569" s="82" t="s">
        <v>639</v>
      </c>
      <c r="H569" s="90" t="s">
        <v>674</v>
      </c>
      <c r="I569" s="96" t="s">
        <v>675</v>
      </c>
      <c r="J569" s="96" t="s">
        <v>685</v>
      </c>
      <c r="K569" s="96" t="s">
        <v>691</v>
      </c>
      <c r="L569" s="96">
        <v>2087111.0</v>
      </c>
      <c r="M569" s="96" t="s">
        <v>948</v>
      </c>
      <c r="N569" s="96" t="s">
        <v>696</v>
      </c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  <c r="AA569" s="80"/>
    </row>
    <row r="570" ht="36.75" customHeight="1">
      <c r="A570" s="90" t="s">
        <v>587</v>
      </c>
      <c r="B570" s="82" t="s">
        <v>630</v>
      </c>
      <c r="C570" s="82" t="s">
        <v>631</v>
      </c>
      <c r="D570" s="82" t="s">
        <v>639</v>
      </c>
      <c r="E570" s="82">
        <v>2082152.0</v>
      </c>
      <c r="F570" s="82" t="s">
        <v>917</v>
      </c>
      <c r="G570" s="82" t="s">
        <v>588</v>
      </c>
      <c r="H570" s="90" t="s">
        <v>674</v>
      </c>
      <c r="I570" s="96" t="s">
        <v>675</v>
      </c>
      <c r="J570" s="96" t="s">
        <v>685</v>
      </c>
      <c r="K570" s="96" t="s">
        <v>692</v>
      </c>
      <c r="L570" s="96">
        <v>2024691.0</v>
      </c>
      <c r="M570" s="96" t="s">
        <v>1161</v>
      </c>
      <c r="N570" s="96" t="s">
        <v>692</v>
      </c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  <c r="AA570" s="80"/>
    </row>
    <row r="571" ht="36.75" customHeight="1">
      <c r="A571" s="90" t="s">
        <v>587</v>
      </c>
      <c r="B571" s="82" t="s">
        <v>630</v>
      </c>
      <c r="C571" s="82" t="s">
        <v>640</v>
      </c>
      <c r="D571" s="82" t="s">
        <v>641</v>
      </c>
      <c r="E571" s="82">
        <v>2820447.0</v>
      </c>
      <c r="F571" s="82" t="s">
        <v>934</v>
      </c>
      <c r="G571" s="82" t="s">
        <v>645</v>
      </c>
      <c r="H571" s="90" t="s">
        <v>674</v>
      </c>
      <c r="I571" s="96" t="s">
        <v>675</v>
      </c>
      <c r="J571" s="96" t="s">
        <v>685</v>
      </c>
      <c r="K571" s="96" t="s">
        <v>693</v>
      </c>
      <c r="L571" s="96">
        <v>2079518.0</v>
      </c>
      <c r="M571" s="96" t="s">
        <v>1162</v>
      </c>
      <c r="N571" s="96" t="s">
        <v>693</v>
      </c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  <c r="AA571" s="80"/>
    </row>
    <row r="572" ht="36.75" customHeight="1">
      <c r="A572" s="90" t="s">
        <v>587</v>
      </c>
      <c r="B572" s="82" t="s">
        <v>630</v>
      </c>
      <c r="C572" s="82" t="s">
        <v>640</v>
      </c>
      <c r="D572" s="82" t="s">
        <v>641</v>
      </c>
      <c r="E572" s="82">
        <v>2082152.0</v>
      </c>
      <c r="F572" s="82" t="s">
        <v>917</v>
      </c>
      <c r="G572" s="82" t="s">
        <v>588</v>
      </c>
      <c r="H572" s="90" t="s">
        <v>674</v>
      </c>
      <c r="I572" s="96" t="s">
        <v>675</v>
      </c>
      <c r="J572" s="96" t="s">
        <v>685</v>
      </c>
      <c r="K572" s="96" t="s">
        <v>694</v>
      </c>
      <c r="L572" s="96">
        <v>2081512.0</v>
      </c>
      <c r="M572" s="96" t="s">
        <v>1163</v>
      </c>
      <c r="N572" s="96" t="s">
        <v>694</v>
      </c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  <c r="AA572" s="80"/>
    </row>
    <row r="573" ht="36.75" customHeight="1">
      <c r="A573" s="90" t="s">
        <v>587</v>
      </c>
      <c r="B573" s="82" t="s">
        <v>630</v>
      </c>
      <c r="C573" s="82" t="s">
        <v>640</v>
      </c>
      <c r="D573" s="82" t="s">
        <v>642</v>
      </c>
      <c r="E573" s="82">
        <v>2081091.0</v>
      </c>
      <c r="F573" s="82" t="s">
        <v>935</v>
      </c>
      <c r="G573" s="82" t="s">
        <v>642</v>
      </c>
      <c r="H573" s="90" t="s">
        <v>674</v>
      </c>
      <c r="I573" s="96" t="s">
        <v>675</v>
      </c>
      <c r="J573" s="96" t="s">
        <v>685</v>
      </c>
      <c r="K573" s="96" t="s">
        <v>695</v>
      </c>
      <c r="L573" s="96">
        <v>2024691.0</v>
      </c>
      <c r="M573" s="96" t="s">
        <v>1161</v>
      </c>
      <c r="N573" s="96" t="s">
        <v>692</v>
      </c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  <c r="AA573" s="80"/>
    </row>
    <row r="574" ht="36.75" customHeight="1">
      <c r="A574" s="90" t="s">
        <v>587</v>
      </c>
      <c r="B574" s="82" t="s">
        <v>630</v>
      </c>
      <c r="C574" s="82" t="s">
        <v>640</v>
      </c>
      <c r="D574" s="82" t="s">
        <v>642</v>
      </c>
      <c r="E574" s="82">
        <v>2082152.0</v>
      </c>
      <c r="F574" s="82" t="s">
        <v>917</v>
      </c>
      <c r="G574" s="82" t="s">
        <v>588</v>
      </c>
      <c r="H574" s="90" t="s">
        <v>674</v>
      </c>
      <c r="I574" s="96" t="s">
        <v>675</v>
      </c>
      <c r="J574" s="96" t="s">
        <v>685</v>
      </c>
      <c r="K574" s="96" t="s">
        <v>696</v>
      </c>
      <c r="L574" s="96">
        <v>2087111.0</v>
      </c>
      <c r="M574" s="96" t="s">
        <v>948</v>
      </c>
      <c r="N574" s="96" t="s">
        <v>696</v>
      </c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  <c r="AA574" s="80"/>
    </row>
    <row r="575" ht="36.75" customHeight="1">
      <c r="A575" s="90" t="s">
        <v>587</v>
      </c>
      <c r="B575" s="82" t="s">
        <v>630</v>
      </c>
      <c r="C575" s="82" t="s">
        <v>634</v>
      </c>
      <c r="D575" s="82" t="s">
        <v>643</v>
      </c>
      <c r="E575" s="82">
        <v>2082152.0</v>
      </c>
      <c r="F575" s="82" t="s">
        <v>917</v>
      </c>
      <c r="G575" s="82" t="s">
        <v>588</v>
      </c>
      <c r="H575" s="90" t="s">
        <v>674</v>
      </c>
      <c r="I575" s="96" t="s">
        <v>675</v>
      </c>
      <c r="J575" s="96" t="s">
        <v>685</v>
      </c>
      <c r="K575" s="96" t="s">
        <v>697</v>
      </c>
      <c r="L575" s="96">
        <v>2087111.0</v>
      </c>
      <c r="M575" s="96" t="s">
        <v>948</v>
      </c>
      <c r="N575" s="96" t="s">
        <v>696</v>
      </c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  <c r="AA575" s="80"/>
    </row>
    <row r="576" ht="36.75" customHeight="1">
      <c r="A576" s="90" t="s">
        <v>587</v>
      </c>
      <c r="B576" s="82" t="s">
        <v>630</v>
      </c>
      <c r="C576" s="82" t="s">
        <v>634</v>
      </c>
      <c r="D576" s="82" t="s">
        <v>644</v>
      </c>
      <c r="E576" s="82">
        <v>6993850.0</v>
      </c>
      <c r="F576" s="82" t="s">
        <v>936</v>
      </c>
      <c r="G576" s="82" t="s">
        <v>644</v>
      </c>
      <c r="H576" s="90" t="s">
        <v>674</v>
      </c>
      <c r="I576" s="96" t="s">
        <v>675</v>
      </c>
      <c r="J576" s="96" t="s">
        <v>685</v>
      </c>
      <c r="K576" s="96" t="s">
        <v>698</v>
      </c>
      <c r="L576" s="96">
        <v>2087111.0</v>
      </c>
      <c r="M576" s="96" t="s">
        <v>948</v>
      </c>
      <c r="N576" s="96" t="s">
        <v>696</v>
      </c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  <c r="AA576" s="80"/>
    </row>
    <row r="577" ht="36.75" customHeight="1">
      <c r="A577" s="90" t="s">
        <v>587</v>
      </c>
      <c r="B577" s="82" t="s">
        <v>630</v>
      </c>
      <c r="C577" s="82" t="s">
        <v>634</v>
      </c>
      <c r="D577" s="82" t="s">
        <v>644</v>
      </c>
      <c r="E577" s="82">
        <v>2082152.0</v>
      </c>
      <c r="F577" s="82" t="s">
        <v>917</v>
      </c>
      <c r="G577" s="82" t="s">
        <v>588</v>
      </c>
      <c r="H577" s="90" t="s">
        <v>674</v>
      </c>
      <c r="I577" s="96" t="s">
        <v>675</v>
      </c>
      <c r="J577" s="96" t="s">
        <v>685</v>
      </c>
      <c r="K577" s="96" t="s">
        <v>699</v>
      </c>
      <c r="L577" s="96">
        <v>2024691.0</v>
      </c>
      <c r="M577" s="96" t="s">
        <v>1161</v>
      </c>
      <c r="N577" s="96" t="s">
        <v>692</v>
      </c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  <c r="AA577" s="80"/>
    </row>
    <row r="578" ht="36.75" customHeight="1">
      <c r="A578" s="90" t="s">
        <v>587</v>
      </c>
      <c r="B578" s="82" t="s">
        <v>630</v>
      </c>
      <c r="C578" s="82" t="s">
        <v>640</v>
      </c>
      <c r="D578" s="82" t="s">
        <v>645</v>
      </c>
      <c r="E578" s="82">
        <v>2820447.0</v>
      </c>
      <c r="F578" s="82" t="s">
        <v>934</v>
      </c>
      <c r="G578" s="82" t="s">
        <v>645</v>
      </c>
      <c r="H578" s="90" t="s">
        <v>674</v>
      </c>
      <c r="I578" s="96" t="s">
        <v>675</v>
      </c>
      <c r="J578" s="96" t="s">
        <v>685</v>
      </c>
      <c r="K578" s="96" t="s">
        <v>700</v>
      </c>
      <c r="L578" s="96">
        <v>2087111.0</v>
      </c>
      <c r="M578" s="96" t="s">
        <v>948</v>
      </c>
      <c r="N578" s="96" t="s">
        <v>696</v>
      </c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  <c r="AA578" s="80"/>
    </row>
    <row r="579" ht="36.75" customHeight="1">
      <c r="A579" s="90" t="s">
        <v>587</v>
      </c>
      <c r="B579" s="82" t="s">
        <v>630</v>
      </c>
      <c r="C579" s="82" t="s">
        <v>640</v>
      </c>
      <c r="D579" s="82" t="s">
        <v>645</v>
      </c>
      <c r="E579" s="82">
        <v>2082152.0</v>
      </c>
      <c r="F579" s="82" t="s">
        <v>917</v>
      </c>
      <c r="G579" s="82" t="s">
        <v>588</v>
      </c>
      <c r="H579" s="90" t="s">
        <v>674</v>
      </c>
      <c r="I579" s="96" t="s">
        <v>675</v>
      </c>
      <c r="J579" s="96" t="s">
        <v>685</v>
      </c>
      <c r="K579" s="96" t="s">
        <v>701</v>
      </c>
      <c r="L579" s="96">
        <v>2024691.0</v>
      </c>
      <c r="M579" s="96" t="s">
        <v>1161</v>
      </c>
      <c r="N579" s="96" t="s">
        <v>692</v>
      </c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  <c r="AA579" s="80"/>
    </row>
    <row r="580" ht="36.75" customHeight="1">
      <c r="A580" s="90" t="s">
        <v>587</v>
      </c>
      <c r="B580" s="82" t="s">
        <v>630</v>
      </c>
      <c r="C580" s="82" t="s">
        <v>640</v>
      </c>
      <c r="D580" s="82" t="s">
        <v>646</v>
      </c>
      <c r="E580" s="82">
        <v>2025167.0</v>
      </c>
      <c r="F580" s="82" t="s">
        <v>937</v>
      </c>
      <c r="G580" s="82" t="s">
        <v>646</v>
      </c>
      <c r="H580" s="90" t="s">
        <v>674</v>
      </c>
      <c r="I580" s="96" t="s">
        <v>675</v>
      </c>
      <c r="J580" s="96" t="s">
        <v>685</v>
      </c>
      <c r="K580" s="96" t="s">
        <v>702</v>
      </c>
      <c r="L580" s="96">
        <v>2024691.0</v>
      </c>
      <c r="M580" s="96" t="s">
        <v>1161</v>
      </c>
      <c r="N580" s="96" t="s">
        <v>692</v>
      </c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  <c r="AA580" s="80"/>
    </row>
    <row r="581" ht="36.75" customHeight="1">
      <c r="A581" s="90" t="s">
        <v>587</v>
      </c>
      <c r="B581" s="82" t="s">
        <v>630</v>
      </c>
      <c r="C581" s="82" t="s">
        <v>640</v>
      </c>
      <c r="D581" s="82" t="s">
        <v>646</v>
      </c>
      <c r="E581" s="82">
        <v>2082152.0</v>
      </c>
      <c r="F581" s="82" t="s">
        <v>917</v>
      </c>
      <c r="G581" s="82" t="s">
        <v>588</v>
      </c>
      <c r="H581" s="90" t="s">
        <v>674</v>
      </c>
      <c r="I581" s="96" t="s">
        <v>675</v>
      </c>
      <c r="J581" s="96" t="s">
        <v>703</v>
      </c>
      <c r="K581" s="96" t="s">
        <v>704</v>
      </c>
      <c r="L581" s="96">
        <v>2082926.0</v>
      </c>
      <c r="M581" s="96" t="s">
        <v>1164</v>
      </c>
      <c r="N581" s="96" t="s">
        <v>704</v>
      </c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  <c r="AA581" s="80"/>
    </row>
    <row r="582" ht="36.75" customHeight="1">
      <c r="A582" s="90" t="s">
        <v>587</v>
      </c>
      <c r="B582" s="82" t="s">
        <v>630</v>
      </c>
      <c r="C582" s="82" t="s">
        <v>631</v>
      </c>
      <c r="D582" s="82" t="s">
        <v>647</v>
      </c>
      <c r="E582" s="82">
        <v>2082152.0</v>
      </c>
      <c r="F582" s="82" t="s">
        <v>917</v>
      </c>
      <c r="G582" s="82" t="s">
        <v>588</v>
      </c>
      <c r="H582" s="90" t="s">
        <v>674</v>
      </c>
      <c r="I582" s="96" t="s">
        <v>675</v>
      </c>
      <c r="J582" s="96" t="s">
        <v>703</v>
      </c>
      <c r="K582" s="96" t="s">
        <v>705</v>
      </c>
      <c r="L582" s="96">
        <v>2747871.0</v>
      </c>
      <c r="M582" s="96" t="s">
        <v>1165</v>
      </c>
      <c r="N582" s="96" t="s">
        <v>953</v>
      </c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  <c r="AA582" s="80"/>
    </row>
    <row r="583" ht="36.75" customHeight="1">
      <c r="A583" s="90" t="s">
        <v>587</v>
      </c>
      <c r="B583" s="82" t="s">
        <v>630</v>
      </c>
      <c r="C583" s="82" t="s">
        <v>631</v>
      </c>
      <c r="D583" s="82" t="s">
        <v>648</v>
      </c>
      <c r="E583" s="82">
        <v>2082152.0</v>
      </c>
      <c r="F583" s="82" t="s">
        <v>917</v>
      </c>
      <c r="G583" s="82" t="s">
        <v>588</v>
      </c>
      <c r="H583" s="90" t="s">
        <v>674</v>
      </c>
      <c r="I583" s="96" t="s">
        <v>675</v>
      </c>
      <c r="J583" s="96" t="s">
        <v>703</v>
      </c>
      <c r="K583" s="96" t="s">
        <v>706</v>
      </c>
      <c r="L583" s="96">
        <v>2765934.0</v>
      </c>
      <c r="M583" s="96" t="s">
        <v>1166</v>
      </c>
      <c r="N583" s="96" t="s">
        <v>706</v>
      </c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  <c r="AA583" s="80"/>
    </row>
    <row r="584" ht="36.75" customHeight="1">
      <c r="A584" s="90" t="s">
        <v>587</v>
      </c>
      <c r="B584" s="82" t="s">
        <v>630</v>
      </c>
      <c r="C584" s="82" t="s">
        <v>631</v>
      </c>
      <c r="D584" s="82" t="s">
        <v>630</v>
      </c>
      <c r="E584" s="82">
        <v>9064818.0</v>
      </c>
      <c r="F584" s="82" t="s">
        <v>938</v>
      </c>
      <c r="G584" s="82" t="s">
        <v>630</v>
      </c>
      <c r="H584" s="90" t="s">
        <v>674</v>
      </c>
      <c r="I584" s="96" t="s">
        <v>675</v>
      </c>
      <c r="J584" s="96" t="s">
        <v>703</v>
      </c>
      <c r="K584" s="96" t="s">
        <v>707</v>
      </c>
      <c r="L584" s="96">
        <v>2702193.0</v>
      </c>
      <c r="M584" s="96" t="s">
        <v>1167</v>
      </c>
      <c r="N584" s="96" t="s">
        <v>707</v>
      </c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  <c r="AA584" s="80"/>
    </row>
    <row r="585" ht="36.75" customHeight="1">
      <c r="A585" s="90" t="s">
        <v>587</v>
      </c>
      <c r="B585" s="82" t="s">
        <v>630</v>
      </c>
      <c r="C585" s="82" t="s">
        <v>631</v>
      </c>
      <c r="D585" s="82" t="s">
        <v>630</v>
      </c>
      <c r="E585" s="82">
        <v>2082152.0</v>
      </c>
      <c r="F585" s="82" t="s">
        <v>917</v>
      </c>
      <c r="G585" s="82" t="s">
        <v>588</v>
      </c>
      <c r="H585" s="90" t="s">
        <v>674</v>
      </c>
      <c r="I585" s="96" t="s">
        <v>675</v>
      </c>
      <c r="J585" s="96" t="s">
        <v>708</v>
      </c>
      <c r="K585" s="96" t="s">
        <v>709</v>
      </c>
      <c r="L585" s="96">
        <v>7947984.0</v>
      </c>
      <c r="M585" s="96" t="s">
        <v>1168</v>
      </c>
      <c r="N585" s="96" t="s">
        <v>709</v>
      </c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  <c r="AA585" s="80"/>
    </row>
    <row r="586" ht="36.75" customHeight="1">
      <c r="A586" s="90" t="s">
        <v>587</v>
      </c>
      <c r="B586" s="82" t="s">
        <v>630</v>
      </c>
      <c r="C586" s="82" t="s">
        <v>634</v>
      </c>
      <c r="D586" s="82" t="s">
        <v>649</v>
      </c>
      <c r="E586" s="82">
        <v>2058464.0</v>
      </c>
      <c r="F586" s="82" t="s">
        <v>926</v>
      </c>
      <c r="G586" s="82" t="s">
        <v>649</v>
      </c>
      <c r="H586" s="90" t="s">
        <v>674</v>
      </c>
      <c r="I586" s="96" t="s">
        <v>675</v>
      </c>
      <c r="J586" s="96" t="s">
        <v>708</v>
      </c>
      <c r="K586" s="96" t="s">
        <v>711</v>
      </c>
      <c r="L586" s="96">
        <v>2749319.0</v>
      </c>
      <c r="M586" s="96" t="s">
        <v>949</v>
      </c>
      <c r="N586" s="96" t="s">
        <v>675</v>
      </c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80"/>
    </row>
    <row r="587" ht="36.75" customHeight="1">
      <c r="A587" s="90" t="s">
        <v>587</v>
      </c>
      <c r="B587" s="82" t="s">
        <v>630</v>
      </c>
      <c r="C587" s="82" t="s">
        <v>634</v>
      </c>
      <c r="D587" s="82" t="s">
        <v>649</v>
      </c>
      <c r="E587" s="82">
        <v>2082152.0</v>
      </c>
      <c r="F587" s="82" t="s">
        <v>917</v>
      </c>
      <c r="G587" s="82" t="s">
        <v>588</v>
      </c>
      <c r="H587" s="90" t="s">
        <v>674</v>
      </c>
      <c r="I587" s="96" t="s">
        <v>675</v>
      </c>
      <c r="J587" s="96" t="s">
        <v>708</v>
      </c>
      <c r="K587" s="96" t="s">
        <v>711</v>
      </c>
      <c r="L587" s="96">
        <v>2755092.0</v>
      </c>
      <c r="M587" s="96" t="s">
        <v>1169</v>
      </c>
      <c r="N587" s="104" t="s">
        <v>713</v>
      </c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80"/>
    </row>
    <row r="588" ht="36.75" customHeight="1">
      <c r="A588" s="90" t="s">
        <v>587</v>
      </c>
      <c r="B588" s="82" t="s">
        <v>630</v>
      </c>
      <c r="C588" s="82" t="s">
        <v>634</v>
      </c>
      <c r="D588" s="82" t="s">
        <v>650</v>
      </c>
      <c r="E588" s="82">
        <v>2082152.0</v>
      </c>
      <c r="F588" s="82" t="s">
        <v>917</v>
      </c>
      <c r="G588" s="82" t="s">
        <v>588</v>
      </c>
      <c r="H588" s="90" t="s">
        <v>674</v>
      </c>
      <c r="I588" s="96" t="s">
        <v>675</v>
      </c>
      <c r="J588" s="96" t="s">
        <v>708</v>
      </c>
      <c r="K588" s="96" t="s">
        <v>712</v>
      </c>
      <c r="L588" s="96">
        <v>2749319.0</v>
      </c>
      <c r="M588" s="96" t="s">
        <v>949</v>
      </c>
      <c r="N588" s="96" t="s">
        <v>675</v>
      </c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  <c r="AA588" s="80"/>
    </row>
    <row r="589" ht="36.75" customHeight="1">
      <c r="A589" s="90" t="s">
        <v>587</v>
      </c>
      <c r="B589" s="82" t="s">
        <v>630</v>
      </c>
      <c r="C589" s="82" t="s">
        <v>631</v>
      </c>
      <c r="D589" s="82" t="s">
        <v>651</v>
      </c>
      <c r="E589" s="82">
        <v>7080409.0</v>
      </c>
      <c r="F589" s="82" t="s">
        <v>939</v>
      </c>
      <c r="G589" s="82" t="s">
        <v>651</v>
      </c>
      <c r="H589" s="90" t="s">
        <v>674</v>
      </c>
      <c r="I589" s="96" t="s">
        <v>675</v>
      </c>
      <c r="J589" s="96" t="s">
        <v>708</v>
      </c>
      <c r="K589" s="96" t="s">
        <v>712</v>
      </c>
      <c r="L589" s="96">
        <v>2755092.0</v>
      </c>
      <c r="M589" s="96" t="s">
        <v>1170</v>
      </c>
      <c r="N589" s="104" t="s">
        <v>713</v>
      </c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  <c r="AA589" s="80"/>
    </row>
    <row r="590" ht="36.75" customHeight="1">
      <c r="A590" s="90" t="s">
        <v>587</v>
      </c>
      <c r="B590" s="82" t="s">
        <v>630</v>
      </c>
      <c r="C590" s="82" t="s">
        <v>631</v>
      </c>
      <c r="D590" s="82" t="s">
        <v>651</v>
      </c>
      <c r="E590" s="82">
        <v>2082152.0</v>
      </c>
      <c r="F590" s="82" t="s">
        <v>917</v>
      </c>
      <c r="G590" s="82" t="s">
        <v>588</v>
      </c>
      <c r="H590" s="90" t="s">
        <v>674</v>
      </c>
      <c r="I590" s="96" t="s">
        <v>675</v>
      </c>
      <c r="J590" s="96" t="s">
        <v>708</v>
      </c>
      <c r="K590" s="96" t="s">
        <v>712</v>
      </c>
      <c r="L590" s="96">
        <v>2082926.0</v>
      </c>
      <c r="M590" s="96" t="s">
        <v>1164</v>
      </c>
      <c r="N590" s="96" t="s">
        <v>704</v>
      </c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  <c r="AA590" s="80"/>
    </row>
    <row r="591" ht="36.75" customHeight="1">
      <c r="A591" s="90" t="s">
        <v>587</v>
      </c>
      <c r="B591" s="82" t="s">
        <v>630</v>
      </c>
      <c r="C591" s="82" t="s">
        <v>634</v>
      </c>
      <c r="D591" s="82" t="s">
        <v>652</v>
      </c>
      <c r="E591" s="82">
        <v>2082152.0</v>
      </c>
      <c r="F591" s="82" t="s">
        <v>917</v>
      </c>
      <c r="G591" s="82" t="s">
        <v>588</v>
      </c>
      <c r="H591" s="90" t="s">
        <v>674</v>
      </c>
      <c r="I591" s="96" t="s">
        <v>675</v>
      </c>
      <c r="J591" s="96" t="s">
        <v>708</v>
      </c>
      <c r="K591" s="96" t="s">
        <v>713</v>
      </c>
      <c r="L591" s="96">
        <v>2755092.0</v>
      </c>
      <c r="M591" s="96" t="s">
        <v>1169</v>
      </c>
      <c r="N591" s="96" t="s">
        <v>713</v>
      </c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  <c r="AA591" s="80"/>
    </row>
    <row r="592" ht="36.75" customHeight="1">
      <c r="A592" s="90" t="s">
        <v>587</v>
      </c>
      <c r="B592" s="82" t="s">
        <v>630</v>
      </c>
      <c r="C592" s="82" t="s">
        <v>631</v>
      </c>
      <c r="D592" s="82" t="s">
        <v>653</v>
      </c>
      <c r="E592" s="82">
        <v>7212739.0</v>
      </c>
      <c r="F592" s="82" t="s">
        <v>940</v>
      </c>
      <c r="G592" s="82" t="s">
        <v>653</v>
      </c>
      <c r="H592" s="90" t="s">
        <v>674</v>
      </c>
      <c r="I592" s="96" t="s">
        <v>675</v>
      </c>
      <c r="J592" s="96" t="s">
        <v>708</v>
      </c>
      <c r="K592" s="96" t="s">
        <v>715</v>
      </c>
      <c r="L592" s="96">
        <v>2749319.0</v>
      </c>
      <c r="M592" s="96" t="s">
        <v>949</v>
      </c>
      <c r="N592" s="96" t="s">
        <v>675</v>
      </c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  <c r="AA592" s="80"/>
    </row>
    <row r="593" ht="36.75" customHeight="1">
      <c r="A593" s="90" t="s">
        <v>587</v>
      </c>
      <c r="B593" s="82" t="s">
        <v>630</v>
      </c>
      <c r="C593" s="82" t="s">
        <v>631</v>
      </c>
      <c r="D593" s="82" t="s">
        <v>653</v>
      </c>
      <c r="E593" s="82">
        <v>2082152.0</v>
      </c>
      <c r="F593" s="82" t="s">
        <v>917</v>
      </c>
      <c r="G593" s="82" t="s">
        <v>588</v>
      </c>
      <c r="H593" s="90" t="s">
        <v>674</v>
      </c>
      <c r="I593" s="96" t="s">
        <v>675</v>
      </c>
      <c r="J593" s="96" t="s">
        <v>708</v>
      </c>
      <c r="K593" s="96" t="s">
        <v>715</v>
      </c>
      <c r="L593" s="96">
        <v>2755092.0</v>
      </c>
      <c r="M593" s="96" t="s">
        <v>1169</v>
      </c>
      <c r="N593" s="104" t="s">
        <v>713</v>
      </c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  <c r="AA593" s="80"/>
    </row>
    <row r="594" ht="36.75" customHeight="1">
      <c r="A594" s="90" t="s">
        <v>654</v>
      </c>
      <c r="B594" s="96" t="s">
        <v>588</v>
      </c>
      <c r="C594" s="96" t="s">
        <v>655</v>
      </c>
      <c r="D594" s="96" t="s">
        <v>656</v>
      </c>
      <c r="E594" s="96">
        <v>6607119.0</v>
      </c>
      <c r="F594" s="96" t="s">
        <v>941</v>
      </c>
      <c r="G594" s="96" t="s">
        <v>656</v>
      </c>
      <c r="H594" s="90" t="s">
        <v>674</v>
      </c>
      <c r="I594" s="96" t="s">
        <v>675</v>
      </c>
      <c r="J594" s="96" t="s">
        <v>708</v>
      </c>
      <c r="K594" s="96" t="s">
        <v>716</v>
      </c>
      <c r="L594" s="96">
        <v>7947984.0</v>
      </c>
      <c r="M594" s="96" t="s">
        <v>1168</v>
      </c>
      <c r="N594" s="96" t="s">
        <v>709</v>
      </c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</row>
    <row r="595" ht="36.75" customHeight="1">
      <c r="A595" s="90" t="s">
        <v>654</v>
      </c>
      <c r="B595" s="96" t="s">
        <v>588</v>
      </c>
      <c r="C595" s="96" t="s">
        <v>655</v>
      </c>
      <c r="D595" s="96" t="s">
        <v>656</v>
      </c>
      <c r="E595" s="96">
        <v>2704900.0</v>
      </c>
      <c r="F595" s="96" t="s">
        <v>942</v>
      </c>
      <c r="G595" s="96" t="s">
        <v>658</v>
      </c>
      <c r="H595" s="90" t="s">
        <v>674</v>
      </c>
      <c r="I595" s="96" t="s">
        <v>675</v>
      </c>
      <c r="J595" s="96" t="s">
        <v>708</v>
      </c>
      <c r="K595" s="96" t="s">
        <v>716</v>
      </c>
      <c r="L595" s="96">
        <v>2755092.0</v>
      </c>
      <c r="M595" s="96" t="s">
        <v>1169</v>
      </c>
      <c r="N595" s="104" t="s">
        <v>713</v>
      </c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  <c r="AA595" s="80"/>
    </row>
    <row r="596" ht="36.75" customHeight="1">
      <c r="A596" s="90" t="s">
        <v>654</v>
      </c>
      <c r="B596" s="96" t="s">
        <v>588</v>
      </c>
      <c r="C596" s="96" t="s">
        <v>655</v>
      </c>
      <c r="D596" s="96" t="s">
        <v>657</v>
      </c>
      <c r="E596" s="96">
        <v>6607119.0</v>
      </c>
      <c r="F596" s="96" t="s">
        <v>941</v>
      </c>
      <c r="G596" s="96" t="s">
        <v>656</v>
      </c>
      <c r="H596" s="90" t="s">
        <v>674</v>
      </c>
      <c r="I596" s="96" t="s">
        <v>675</v>
      </c>
      <c r="J596" s="96" t="s">
        <v>708</v>
      </c>
      <c r="K596" s="96" t="s">
        <v>717</v>
      </c>
      <c r="L596" s="96">
        <v>2078546.0</v>
      </c>
      <c r="M596" s="96" t="s">
        <v>1171</v>
      </c>
      <c r="N596" s="96" t="s">
        <v>717</v>
      </c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  <c r="AA596" s="80"/>
    </row>
    <row r="597" ht="36.75" customHeight="1">
      <c r="A597" s="90" t="s">
        <v>654</v>
      </c>
      <c r="B597" s="96" t="s">
        <v>588</v>
      </c>
      <c r="C597" s="96" t="s">
        <v>655</v>
      </c>
      <c r="D597" s="96" t="s">
        <v>657</v>
      </c>
      <c r="E597" s="96">
        <v>2704900.0</v>
      </c>
      <c r="F597" s="96" t="s">
        <v>942</v>
      </c>
      <c r="G597" s="96" t="s">
        <v>658</v>
      </c>
      <c r="H597" s="90" t="s">
        <v>674</v>
      </c>
      <c r="I597" s="96" t="s">
        <v>675</v>
      </c>
      <c r="J597" s="96" t="s">
        <v>708</v>
      </c>
      <c r="K597" s="96" t="s">
        <v>717</v>
      </c>
      <c r="L597" s="96">
        <v>7947984.0</v>
      </c>
      <c r="M597" s="96" t="s">
        <v>1168</v>
      </c>
      <c r="N597" s="96" t="s">
        <v>709</v>
      </c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  <c r="AA597" s="80"/>
    </row>
    <row r="598" ht="36.75" customHeight="1">
      <c r="A598" s="90" t="s">
        <v>654</v>
      </c>
      <c r="B598" s="96" t="s">
        <v>588</v>
      </c>
      <c r="C598" s="96" t="s">
        <v>655</v>
      </c>
      <c r="D598" s="96" t="s">
        <v>658</v>
      </c>
      <c r="E598" s="96">
        <v>6607119.0</v>
      </c>
      <c r="F598" s="96" t="s">
        <v>941</v>
      </c>
      <c r="G598" s="96" t="s">
        <v>656</v>
      </c>
      <c r="H598" s="90" t="s">
        <v>674</v>
      </c>
      <c r="I598" s="96" t="s">
        <v>675</v>
      </c>
      <c r="J598" s="96" t="s">
        <v>708</v>
      </c>
      <c r="K598" s="96" t="s">
        <v>718</v>
      </c>
      <c r="L598" s="96">
        <v>2749319.0</v>
      </c>
      <c r="M598" s="96" t="s">
        <v>949</v>
      </c>
      <c r="N598" s="96" t="s">
        <v>675</v>
      </c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</row>
    <row r="599" ht="36.75" customHeight="1">
      <c r="A599" s="90" t="s">
        <v>654</v>
      </c>
      <c r="B599" s="96" t="s">
        <v>588</v>
      </c>
      <c r="C599" s="96" t="s">
        <v>655</v>
      </c>
      <c r="D599" s="96" t="s">
        <v>658</v>
      </c>
      <c r="E599" s="96">
        <v>2704900.0</v>
      </c>
      <c r="F599" s="96" t="s">
        <v>942</v>
      </c>
      <c r="G599" s="96" t="s">
        <v>658</v>
      </c>
      <c r="H599" s="90" t="s">
        <v>674</v>
      </c>
      <c r="I599" s="96" t="s">
        <v>675</v>
      </c>
      <c r="J599" s="96" t="s">
        <v>708</v>
      </c>
      <c r="K599" s="96" t="s">
        <v>718</v>
      </c>
      <c r="L599" s="96">
        <v>2755092.0</v>
      </c>
      <c r="M599" s="96" t="s">
        <v>1169</v>
      </c>
      <c r="N599" s="104" t="s">
        <v>713</v>
      </c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  <c r="AA599" s="80"/>
    </row>
    <row r="600" ht="36.75" customHeight="1">
      <c r="A600" s="90" t="s">
        <v>654</v>
      </c>
      <c r="B600" s="96" t="s">
        <v>588</v>
      </c>
      <c r="C600" s="96" t="s">
        <v>655</v>
      </c>
      <c r="D600" s="96" t="s">
        <v>659</v>
      </c>
      <c r="E600" s="96">
        <v>6607119.0</v>
      </c>
      <c r="F600" s="96" t="s">
        <v>941</v>
      </c>
      <c r="G600" s="96" t="s">
        <v>656</v>
      </c>
      <c r="H600" s="90" t="s">
        <v>674</v>
      </c>
      <c r="I600" s="96" t="s">
        <v>675</v>
      </c>
      <c r="J600" s="96" t="s">
        <v>708</v>
      </c>
      <c r="K600" s="96" t="s">
        <v>675</v>
      </c>
      <c r="L600" s="96">
        <v>2749319.0</v>
      </c>
      <c r="M600" s="96" t="s">
        <v>949</v>
      </c>
      <c r="N600" s="96" t="s">
        <v>675</v>
      </c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  <c r="AA600" s="80"/>
    </row>
    <row r="601" ht="36.75" customHeight="1">
      <c r="A601" s="90" t="s">
        <v>654</v>
      </c>
      <c r="B601" s="96" t="s">
        <v>588</v>
      </c>
      <c r="C601" s="96" t="s">
        <v>655</v>
      </c>
      <c r="D601" s="96" t="s">
        <v>659</v>
      </c>
      <c r="E601" s="96">
        <v>2704900.0</v>
      </c>
      <c r="F601" s="96" t="s">
        <v>942</v>
      </c>
      <c r="G601" s="96" t="s">
        <v>658</v>
      </c>
      <c r="H601" s="90" t="s">
        <v>674</v>
      </c>
      <c r="I601" s="96" t="s">
        <v>675</v>
      </c>
      <c r="J601" s="96" t="s">
        <v>708</v>
      </c>
      <c r="K601" s="96" t="s">
        <v>675</v>
      </c>
      <c r="L601" s="96">
        <v>2755092.0</v>
      </c>
      <c r="M601" s="96" t="s">
        <v>1169</v>
      </c>
      <c r="N601" s="104" t="s">
        <v>713</v>
      </c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  <c r="AA601" s="80"/>
    </row>
    <row r="602" ht="36.75" customHeight="1">
      <c r="A602" s="90" t="s">
        <v>654</v>
      </c>
      <c r="B602" s="96" t="s">
        <v>588</v>
      </c>
      <c r="C602" s="96" t="s">
        <v>655</v>
      </c>
      <c r="D602" s="96" t="s">
        <v>660</v>
      </c>
      <c r="E602" s="96">
        <v>6607119.0</v>
      </c>
      <c r="F602" s="96" t="s">
        <v>941</v>
      </c>
      <c r="G602" s="96" t="s">
        <v>656</v>
      </c>
      <c r="H602" s="90" t="s">
        <v>674</v>
      </c>
      <c r="I602" s="96" t="s">
        <v>675</v>
      </c>
      <c r="J602" s="96" t="s">
        <v>708</v>
      </c>
      <c r="K602" s="96" t="s">
        <v>721</v>
      </c>
      <c r="L602" s="96">
        <v>2749319.0</v>
      </c>
      <c r="M602" s="96" t="s">
        <v>949</v>
      </c>
      <c r="N602" s="96" t="s">
        <v>675</v>
      </c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  <c r="AA602" s="80"/>
    </row>
    <row r="603" ht="36.75" customHeight="1">
      <c r="A603" s="90" t="s">
        <v>654</v>
      </c>
      <c r="B603" s="96" t="s">
        <v>588</v>
      </c>
      <c r="C603" s="96" t="s">
        <v>655</v>
      </c>
      <c r="D603" s="96" t="s">
        <v>660</v>
      </c>
      <c r="E603" s="96">
        <v>2704900.0</v>
      </c>
      <c r="F603" s="96" t="s">
        <v>942</v>
      </c>
      <c r="G603" s="96" t="s">
        <v>658</v>
      </c>
      <c r="H603" s="90" t="s">
        <v>674</v>
      </c>
      <c r="I603" s="96" t="s">
        <v>675</v>
      </c>
      <c r="J603" s="96" t="s">
        <v>708</v>
      </c>
      <c r="K603" s="96" t="s">
        <v>721</v>
      </c>
      <c r="L603" s="104">
        <v>2755092.0</v>
      </c>
      <c r="M603" s="96" t="s">
        <v>1169</v>
      </c>
      <c r="N603" s="104" t="s">
        <v>713</v>
      </c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</row>
    <row r="604" ht="36.75" customHeight="1">
      <c r="A604" s="90" t="s">
        <v>654</v>
      </c>
      <c r="B604" s="96" t="s">
        <v>588</v>
      </c>
      <c r="C604" s="96" t="s">
        <v>655</v>
      </c>
      <c r="D604" s="96" t="s">
        <v>661</v>
      </c>
      <c r="E604" s="96">
        <v>6607119.0</v>
      </c>
      <c r="F604" s="96" t="s">
        <v>941</v>
      </c>
      <c r="G604" s="96" t="s">
        <v>656</v>
      </c>
      <c r="H604" s="90" t="s">
        <v>723</v>
      </c>
      <c r="I604" s="96" t="s">
        <v>724</v>
      </c>
      <c r="J604" s="96" t="s">
        <v>725</v>
      </c>
      <c r="K604" s="96" t="s">
        <v>726</v>
      </c>
      <c r="L604" s="96">
        <v>6943284.0</v>
      </c>
      <c r="M604" s="96" t="s">
        <v>1172</v>
      </c>
      <c r="N604" s="96" t="s">
        <v>960</v>
      </c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  <c r="AA604" s="80"/>
    </row>
    <row r="605" ht="36.75" customHeight="1">
      <c r="A605" s="90" t="s">
        <v>654</v>
      </c>
      <c r="B605" s="96" t="s">
        <v>588</v>
      </c>
      <c r="C605" s="96" t="s">
        <v>655</v>
      </c>
      <c r="D605" s="96" t="s">
        <v>661</v>
      </c>
      <c r="E605" s="96">
        <v>2704900.0</v>
      </c>
      <c r="F605" s="96" t="s">
        <v>942</v>
      </c>
      <c r="G605" s="96" t="s">
        <v>658</v>
      </c>
      <c r="H605" s="90" t="s">
        <v>723</v>
      </c>
      <c r="I605" s="96" t="s">
        <v>724</v>
      </c>
      <c r="J605" s="96" t="s">
        <v>725</v>
      </c>
      <c r="K605" s="96" t="s">
        <v>724</v>
      </c>
      <c r="L605" s="96">
        <v>6943284.0</v>
      </c>
      <c r="M605" s="96" t="s">
        <v>1172</v>
      </c>
      <c r="N605" s="96" t="s">
        <v>960</v>
      </c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  <c r="AA605" s="80"/>
    </row>
    <row r="606" ht="36.75" customHeight="1">
      <c r="A606" s="90" t="s">
        <v>654</v>
      </c>
      <c r="B606" s="96" t="s">
        <v>588</v>
      </c>
      <c r="C606" s="96" t="s">
        <v>655</v>
      </c>
      <c r="D606" s="96" t="s">
        <v>662</v>
      </c>
      <c r="E606" s="96">
        <v>6607119.0</v>
      </c>
      <c r="F606" s="96" t="s">
        <v>941</v>
      </c>
      <c r="G606" s="96" t="s">
        <v>656</v>
      </c>
      <c r="H606" s="90" t="s">
        <v>723</v>
      </c>
      <c r="I606" s="96" t="s">
        <v>724</v>
      </c>
      <c r="J606" s="96" t="s">
        <v>725</v>
      </c>
      <c r="K606" s="96" t="s">
        <v>727</v>
      </c>
      <c r="L606" s="96">
        <v>6943284.0</v>
      </c>
      <c r="M606" s="96" t="s">
        <v>1172</v>
      </c>
      <c r="N606" s="96" t="s">
        <v>960</v>
      </c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  <c r="AA606" s="80"/>
    </row>
    <row r="607" ht="36.75" customHeight="1">
      <c r="A607" s="90" t="s">
        <v>654</v>
      </c>
      <c r="B607" s="96" t="s">
        <v>588</v>
      </c>
      <c r="C607" s="96" t="s">
        <v>655</v>
      </c>
      <c r="D607" s="96" t="s">
        <v>662</v>
      </c>
      <c r="E607" s="96">
        <v>2704900.0</v>
      </c>
      <c r="F607" s="96" t="s">
        <v>942</v>
      </c>
      <c r="G607" s="96" t="s">
        <v>658</v>
      </c>
      <c r="H607" s="90" t="s">
        <v>723</v>
      </c>
      <c r="I607" s="96" t="s">
        <v>724</v>
      </c>
      <c r="J607" s="96" t="s">
        <v>725</v>
      </c>
      <c r="K607" s="96" t="s">
        <v>728</v>
      </c>
      <c r="L607" s="96">
        <v>6943284.0</v>
      </c>
      <c r="M607" s="96" t="s">
        <v>1172</v>
      </c>
      <c r="N607" s="96" t="s">
        <v>960</v>
      </c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  <c r="AA607" s="80"/>
    </row>
    <row r="608" ht="36.75" customHeight="1">
      <c r="A608" s="90" t="s">
        <v>654</v>
      </c>
      <c r="B608" s="96" t="s">
        <v>588</v>
      </c>
      <c r="C608" s="96" t="s">
        <v>655</v>
      </c>
      <c r="D608" s="96" t="s">
        <v>663</v>
      </c>
      <c r="E608" s="96">
        <v>6607119.0</v>
      </c>
      <c r="F608" s="96" t="s">
        <v>941</v>
      </c>
      <c r="G608" s="96" t="s">
        <v>656</v>
      </c>
      <c r="H608" s="90" t="s">
        <v>723</v>
      </c>
      <c r="I608" s="96" t="s">
        <v>724</v>
      </c>
      <c r="J608" s="96" t="s">
        <v>725</v>
      </c>
      <c r="K608" s="96" t="s">
        <v>729</v>
      </c>
      <c r="L608" s="96">
        <v>6943284.0</v>
      </c>
      <c r="M608" s="96" t="s">
        <v>1172</v>
      </c>
      <c r="N608" s="96" t="s">
        <v>960</v>
      </c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  <c r="AA608" s="80"/>
    </row>
    <row r="609" ht="36.75" customHeight="1">
      <c r="A609" s="90" t="s">
        <v>654</v>
      </c>
      <c r="B609" s="96" t="s">
        <v>588</v>
      </c>
      <c r="C609" s="96" t="s">
        <v>655</v>
      </c>
      <c r="D609" s="96" t="s">
        <v>663</v>
      </c>
      <c r="E609" s="96">
        <v>2704900.0</v>
      </c>
      <c r="F609" s="96" t="s">
        <v>942</v>
      </c>
      <c r="G609" s="96" t="s">
        <v>658</v>
      </c>
      <c r="H609" s="90" t="s">
        <v>723</v>
      </c>
      <c r="I609" s="96" t="s">
        <v>724</v>
      </c>
      <c r="J609" s="96" t="s">
        <v>725</v>
      </c>
      <c r="K609" s="96" t="s">
        <v>730</v>
      </c>
      <c r="L609" s="96">
        <v>6943284.0</v>
      </c>
      <c r="M609" s="96" t="s">
        <v>1172</v>
      </c>
      <c r="N609" s="96" t="s">
        <v>960</v>
      </c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  <c r="AA609" s="80"/>
    </row>
    <row r="610" ht="36.75" customHeight="1">
      <c r="A610" s="90" t="s">
        <v>654</v>
      </c>
      <c r="B610" s="96" t="s">
        <v>588</v>
      </c>
      <c r="C610" s="96" t="s">
        <v>655</v>
      </c>
      <c r="D610" s="96" t="s">
        <v>664</v>
      </c>
      <c r="E610" s="96">
        <v>6607119.0</v>
      </c>
      <c r="F610" s="96" t="s">
        <v>941</v>
      </c>
      <c r="G610" s="96" t="s">
        <v>656</v>
      </c>
      <c r="H610" s="90" t="s">
        <v>723</v>
      </c>
      <c r="I610" s="96" t="s">
        <v>724</v>
      </c>
      <c r="J610" s="96" t="s">
        <v>725</v>
      </c>
      <c r="K610" s="96" t="s">
        <v>731</v>
      </c>
      <c r="L610" s="96">
        <v>6943284.0</v>
      </c>
      <c r="M610" s="96" t="s">
        <v>1172</v>
      </c>
      <c r="N610" s="96" t="s">
        <v>960</v>
      </c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  <c r="AA610" s="80"/>
    </row>
    <row r="611" ht="36.75" customHeight="1">
      <c r="A611" s="90" t="s">
        <v>654</v>
      </c>
      <c r="B611" s="96" t="s">
        <v>588</v>
      </c>
      <c r="C611" s="96" t="s">
        <v>655</v>
      </c>
      <c r="D611" s="96" t="s">
        <v>664</v>
      </c>
      <c r="E611" s="96">
        <v>2704900.0</v>
      </c>
      <c r="F611" s="96" t="s">
        <v>942</v>
      </c>
      <c r="G611" s="96" t="s">
        <v>658</v>
      </c>
      <c r="H611" s="90" t="s">
        <v>723</v>
      </c>
      <c r="I611" s="96" t="s">
        <v>724</v>
      </c>
      <c r="J611" s="96" t="s">
        <v>725</v>
      </c>
      <c r="K611" s="96" t="s">
        <v>732</v>
      </c>
      <c r="L611" s="96">
        <v>6943284.0</v>
      </c>
      <c r="M611" s="96" t="s">
        <v>1172</v>
      </c>
      <c r="N611" s="96" t="s">
        <v>960</v>
      </c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  <c r="AA611" s="80"/>
    </row>
    <row r="612" ht="36.75" customHeight="1">
      <c r="A612" s="90" t="s">
        <v>654</v>
      </c>
      <c r="B612" s="96" t="s">
        <v>588</v>
      </c>
      <c r="C612" s="96" t="s">
        <v>655</v>
      </c>
      <c r="D612" s="96" t="s">
        <v>665</v>
      </c>
      <c r="E612" s="96">
        <v>6607119.0</v>
      </c>
      <c r="F612" s="96" t="s">
        <v>941</v>
      </c>
      <c r="G612" s="96" t="s">
        <v>656</v>
      </c>
      <c r="H612" s="90" t="s">
        <v>723</v>
      </c>
      <c r="I612" s="96" t="s">
        <v>724</v>
      </c>
      <c r="J612" s="96" t="s">
        <v>733</v>
      </c>
      <c r="K612" s="96" t="s">
        <v>734</v>
      </c>
      <c r="L612" s="96">
        <v>2081989.0</v>
      </c>
      <c r="M612" s="96" t="s">
        <v>1173</v>
      </c>
      <c r="N612" s="96" t="s">
        <v>1174</v>
      </c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  <c r="AA612" s="80"/>
    </row>
    <row r="613" ht="36.75" customHeight="1">
      <c r="A613" s="90" t="s">
        <v>654</v>
      </c>
      <c r="B613" s="96" t="s">
        <v>588</v>
      </c>
      <c r="C613" s="96" t="s">
        <v>655</v>
      </c>
      <c r="D613" s="96" t="s">
        <v>665</v>
      </c>
      <c r="E613" s="96">
        <v>2704900.0</v>
      </c>
      <c r="F613" s="96" t="s">
        <v>942</v>
      </c>
      <c r="G613" s="96" t="s">
        <v>658</v>
      </c>
      <c r="H613" s="90" t="s">
        <v>723</v>
      </c>
      <c r="I613" s="96" t="s">
        <v>724</v>
      </c>
      <c r="J613" s="96" t="s">
        <v>733</v>
      </c>
      <c r="K613" s="96" t="s">
        <v>735</v>
      </c>
      <c r="L613" s="96">
        <v>2082640.0</v>
      </c>
      <c r="M613" s="96" t="s">
        <v>1175</v>
      </c>
      <c r="N613" s="96" t="s">
        <v>1176</v>
      </c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  <c r="AA613" s="80"/>
    </row>
    <row r="614" ht="36.75" customHeight="1">
      <c r="A614" s="90" t="s">
        <v>654</v>
      </c>
      <c r="B614" s="96" t="s">
        <v>588</v>
      </c>
      <c r="C614" s="96" t="s">
        <v>655</v>
      </c>
      <c r="D614" s="96" t="s">
        <v>666</v>
      </c>
      <c r="E614" s="96">
        <v>6607119.0</v>
      </c>
      <c r="F614" s="96" t="s">
        <v>941</v>
      </c>
      <c r="G614" s="96" t="s">
        <v>656</v>
      </c>
      <c r="H614" s="90" t="s">
        <v>723</v>
      </c>
      <c r="I614" s="96" t="s">
        <v>724</v>
      </c>
      <c r="J614" s="96" t="s">
        <v>733</v>
      </c>
      <c r="K614" s="96" t="s">
        <v>736</v>
      </c>
      <c r="L614" s="96">
        <v>2079836.0</v>
      </c>
      <c r="M614" s="96" t="s">
        <v>1177</v>
      </c>
      <c r="N614" s="96" t="s">
        <v>736</v>
      </c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  <c r="AA614" s="80"/>
    </row>
    <row r="615" ht="36.75" customHeight="1">
      <c r="A615" s="90" t="s">
        <v>654</v>
      </c>
      <c r="B615" s="96" t="s">
        <v>588</v>
      </c>
      <c r="C615" s="96" t="s">
        <v>655</v>
      </c>
      <c r="D615" s="96" t="s">
        <v>666</v>
      </c>
      <c r="E615" s="96">
        <v>2704900.0</v>
      </c>
      <c r="F615" s="96" t="s">
        <v>942</v>
      </c>
      <c r="G615" s="96" t="s">
        <v>658</v>
      </c>
      <c r="H615" s="90" t="s">
        <v>723</v>
      </c>
      <c r="I615" s="96" t="s">
        <v>724</v>
      </c>
      <c r="J615" s="96" t="s">
        <v>733</v>
      </c>
      <c r="K615" s="96" t="s">
        <v>737</v>
      </c>
      <c r="L615" s="96">
        <v>2747685.0</v>
      </c>
      <c r="M615" s="96" t="s">
        <v>1178</v>
      </c>
      <c r="N615" s="96" t="s">
        <v>737</v>
      </c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  <c r="AA615" s="80"/>
    </row>
    <row r="616" ht="36.75" customHeight="1">
      <c r="A616" s="90" t="s">
        <v>654</v>
      </c>
      <c r="B616" s="96" t="s">
        <v>588</v>
      </c>
      <c r="C616" s="96" t="s">
        <v>667</v>
      </c>
      <c r="D616" s="96" t="s">
        <v>668</v>
      </c>
      <c r="E616" s="96">
        <v>2029863.0</v>
      </c>
      <c r="F616" s="96" t="s">
        <v>943</v>
      </c>
      <c r="G616" s="96" t="s">
        <v>667</v>
      </c>
      <c r="H616" s="90" t="s">
        <v>723</v>
      </c>
      <c r="I616" s="96" t="s">
        <v>724</v>
      </c>
      <c r="J616" s="96" t="s">
        <v>733</v>
      </c>
      <c r="K616" s="96" t="s">
        <v>738</v>
      </c>
      <c r="L616" s="96">
        <v>2079399.0</v>
      </c>
      <c r="M616" s="96" t="s">
        <v>1179</v>
      </c>
      <c r="N616" s="96" t="s">
        <v>738</v>
      </c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  <c r="AA616" s="80"/>
    </row>
    <row r="617" ht="36.75" customHeight="1">
      <c r="A617" s="90" t="s">
        <v>654</v>
      </c>
      <c r="B617" s="96" t="s">
        <v>588</v>
      </c>
      <c r="C617" s="96" t="s">
        <v>667</v>
      </c>
      <c r="D617" s="96" t="s">
        <v>669</v>
      </c>
      <c r="E617" s="96">
        <v>2029863.0</v>
      </c>
      <c r="F617" s="96" t="s">
        <v>943</v>
      </c>
      <c r="G617" s="96" t="s">
        <v>667</v>
      </c>
      <c r="H617" s="90" t="s">
        <v>723</v>
      </c>
      <c r="I617" s="96" t="s">
        <v>724</v>
      </c>
      <c r="J617" s="96" t="s">
        <v>739</v>
      </c>
      <c r="K617" s="96" t="s">
        <v>740</v>
      </c>
      <c r="L617" s="96">
        <v>2081717.0</v>
      </c>
      <c r="M617" s="96" t="s">
        <v>1180</v>
      </c>
      <c r="N617" s="96" t="s">
        <v>740</v>
      </c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  <c r="AA617" s="80"/>
    </row>
    <row r="618" ht="36.75" customHeight="1">
      <c r="A618" s="90" t="s">
        <v>654</v>
      </c>
      <c r="B618" s="96" t="s">
        <v>588</v>
      </c>
      <c r="C618" s="96" t="s">
        <v>667</v>
      </c>
      <c r="D618" s="96" t="s">
        <v>670</v>
      </c>
      <c r="E618" s="96">
        <v>2029863.0</v>
      </c>
      <c r="F618" s="96" t="s">
        <v>943</v>
      </c>
      <c r="G618" s="96" t="s">
        <v>667</v>
      </c>
      <c r="H618" s="90" t="s">
        <v>723</v>
      </c>
      <c r="I618" s="96" t="s">
        <v>724</v>
      </c>
      <c r="J618" s="96" t="s">
        <v>739</v>
      </c>
      <c r="K618" s="96" t="s">
        <v>741</v>
      </c>
      <c r="L618" s="96">
        <v>2747022.0</v>
      </c>
      <c r="M618" s="96" t="s">
        <v>1181</v>
      </c>
      <c r="N618" s="96" t="s">
        <v>741</v>
      </c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  <c r="AA618" s="80"/>
    </row>
    <row r="619" ht="36.75" customHeight="1">
      <c r="A619" s="90" t="s">
        <v>654</v>
      </c>
      <c r="B619" s="96" t="s">
        <v>588</v>
      </c>
      <c r="C619" s="96" t="s">
        <v>667</v>
      </c>
      <c r="D619" s="96" t="s">
        <v>671</v>
      </c>
      <c r="E619" s="96">
        <v>2029863.0</v>
      </c>
      <c r="F619" s="96" t="s">
        <v>943</v>
      </c>
      <c r="G619" s="96" t="s">
        <v>667</v>
      </c>
      <c r="H619" s="90" t="s">
        <v>723</v>
      </c>
      <c r="I619" s="96" t="s">
        <v>724</v>
      </c>
      <c r="J619" s="96" t="s">
        <v>739</v>
      </c>
      <c r="K619" s="96" t="s">
        <v>742</v>
      </c>
      <c r="L619" s="96">
        <v>7377738.0</v>
      </c>
      <c r="M619" s="96" t="s">
        <v>1182</v>
      </c>
      <c r="N619" s="96" t="s">
        <v>742</v>
      </c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  <c r="AA619" s="80"/>
    </row>
    <row r="620" ht="36.75" customHeight="1">
      <c r="A620" s="90" t="s">
        <v>654</v>
      </c>
      <c r="B620" s="96" t="s">
        <v>588</v>
      </c>
      <c r="C620" s="96" t="s">
        <v>667</v>
      </c>
      <c r="D620" s="96" t="s">
        <v>667</v>
      </c>
      <c r="E620" s="96">
        <v>2029863.0</v>
      </c>
      <c r="F620" s="96" t="s">
        <v>943</v>
      </c>
      <c r="G620" s="96" t="s">
        <v>667</v>
      </c>
      <c r="H620" s="90" t="s">
        <v>723</v>
      </c>
      <c r="I620" s="96" t="s">
        <v>724</v>
      </c>
      <c r="J620" s="96" t="s">
        <v>739</v>
      </c>
      <c r="K620" s="96" t="s">
        <v>743</v>
      </c>
      <c r="L620" s="96">
        <v>2082322.0</v>
      </c>
      <c r="M620" s="96" t="s">
        <v>1183</v>
      </c>
      <c r="N620" s="96" t="s">
        <v>743</v>
      </c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</row>
    <row r="621" ht="36.75" customHeight="1">
      <c r="A621" s="90" t="s">
        <v>654</v>
      </c>
      <c r="B621" s="96" t="s">
        <v>588</v>
      </c>
      <c r="C621" s="96" t="s">
        <v>667</v>
      </c>
      <c r="D621" s="96" t="s">
        <v>672</v>
      </c>
      <c r="E621" s="96">
        <v>2029863.0</v>
      </c>
      <c r="F621" s="96" t="s">
        <v>943</v>
      </c>
      <c r="G621" s="96" t="s">
        <v>667</v>
      </c>
      <c r="H621" s="90" t="s">
        <v>723</v>
      </c>
      <c r="I621" s="96" t="s">
        <v>724</v>
      </c>
      <c r="J621" s="96" t="s">
        <v>739</v>
      </c>
      <c r="K621" s="96" t="s">
        <v>744</v>
      </c>
      <c r="L621" s="96">
        <v>2747693.0</v>
      </c>
      <c r="M621" s="96" t="s">
        <v>1184</v>
      </c>
      <c r="N621" s="96" t="s">
        <v>744</v>
      </c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  <c r="AA621" s="80"/>
    </row>
    <row r="622" ht="36.75" customHeight="1">
      <c r="A622" s="90" t="s">
        <v>654</v>
      </c>
      <c r="B622" s="96" t="s">
        <v>588</v>
      </c>
      <c r="C622" s="96" t="s">
        <v>667</v>
      </c>
      <c r="D622" s="96" t="s">
        <v>673</v>
      </c>
      <c r="E622" s="96">
        <v>2029863.0</v>
      </c>
      <c r="F622" s="96" t="s">
        <v>943</v>
      </c>
      <c r="G622" s="96" t="s">
        <v>667</v>
      </c>
      <c r="H622" s="90" t="s">
        <v>723</v>
      </c>
      <c r="I622" s="96" t="s">
        <v>724</v>
      </c>
      <c r="J622" s="96" t="s">
        <v>739</v>
      </c>
      <c r="K622" s="96" t="s">
        <v>745</v>
      </c>
      <c r="L622" s="96">
        <v>2080931.0</v>
      </c>
      <c r="M622" s="96" t="s">
        <v>1185</v>
      </c>
      <c r="N622" s="96" t="s">
        <v>745</v>
      </c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</row>
    <row r="623" ht="36.75" customHeight="1">
      <c r="A623" s="90" t="s">
        <v>674</v>
      </c>
      <c r="B623" s="96" t="s">
        <v>675</v>
      </c>
      <c r="C623" s="96" t="s">
        <v>676</v>
      </c>
      <c r="D623" s="96" t="s">
        <v>677</v>
      </c>
      <c r="E623" s="96">
        <v>6294049.0</v>
      </c>
      <c r="F623" s="96" t="s">
        <v>944</v>
      </c>
      <c r="G623" s="96" t="s">
        <v>684</v>
      </c>
      <c r="H623" s="90" t="s">
        <v>723</v>
      </c>
      <c r="I623" s="96" t="s">
        <v>724</v>
      </c>
      <c r="J623" s="96" t="s">
        <v>487</v>
      </c>
      <c r="K623" s="96" t="s">
        <v>746</v>
      </c>
      <c r="L623" s="96">
        <v>2078295.0</v>
      </c>
      <c r="M623" s="96" t="s">
        <v>1186</v>
      </c>
      <c r="N623" s="96" t="s">
        <v>750</v>
      </c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  <c r="AA623" s="80"/>
    </row>
    <row r="624" ht="36.75" customHeight="1">
      <c r="A624" s="90" t="s">
        <v>674</v>
      </c>
      <c r="B624" s="96" t="s">
        <v>675</v>
      </c>
      <c r="C624" s="96" t="s">
        <v>676</v>
      </c>
      <c r="D624" s="96" t="s">
        <v>678</v>
      </c>
      <c r="E624" s="96">
        <v>2085194.0</v>
      </c>
      <c r="F624" s="96" t="s">
        <v>945</v>
      </c>
      <c r="G624" s="96" t="s">
        <v>679</v>
      </c>
      <c r="H624" s="90" t="s">
        <v>723</v>
      </c>
      <c r="I624" s="96" t="s">
        <v>724</v>
      </c>
      <c r="J624" s="96" t="s">
        <v>487</v>
      </c>
      <c r="K624" s="96" t="s">
        <v>747</v>
      </c>
      <c r="L624" s="96">
        <v>2090961.0</v>
      </c>
      <c r="M624" s="96" t="s">
        <v>961</v>
      </c>
      <c r="N624" s="96" t="s">
        <v>962</v>
      </c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  <c r="AA624" s="80"/>
    </row>
    <row r="625" ht="36.75" customHeight="1">
      <c r="A625" s="90" t="s">
        <v>674</v>
      </c>
      <c r="B625" s="96" t="s">
        <v>675</v>
      </c>
      <c r="C625" s="96" t="s">
        <v>676</v>
      </c>
      <c r="D625" s="96" t="s">
        <v>679</v>
      </c>
      <c r="E625" s="96">
        <v>2085194.0</v>
      </c>
      <c r="F625" s="96" t="s">
        <v>945</v>
      </c>
      <c r="G625" s="96" t="s">
        <v>679</v>
      </c>
      <c r="H625" s="90" t="s">
        <v>723</v>
      </c>
      <c r="I625" s="96" t="s">
        <v>724</v>
      </c>
      <c r="J625" s="96" t="s">
        <v>487</v>
      </c>
      <c r="K625" s="96" t="s">
        <v>748</v>
      </c>
      <c r="L625" s="96">
        <v>2090961.0</v>
      </c>
      <c r="M625" s="96" t="s">
        <v>961</v>
      </c>
      <c r="N625" s="96" t="s">
        <v>748</v>
      </c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  <c r="AA625" s="80"/>
    </row>
    <row r="626" ht="36.75" customHeight="1">
      <c r="A626" s="90" t="s">
        <v>674</v>
      </c>
      <c r="B626" s="96" t="s">
        <v>675</v>
      </c>
      <c r="C626" s="96" t="s">
        <v>676</v>
      </c>
      <c r="D626" s="96" t="s">
        <v>680</v>
      </c>
      <c r="E626" s="96">
        <v>6294049.0</v>
      </c>
      <c r="F626" s="96" t="s">
        <v>944</v>
      </c>
      <c r="G626" s="96" t="s">
        <v>684</v>
      </c>
      <c r="H626" s="90" t="s">
        <v>723</v>
      </c>
      <c r="I626" s="96" t="s">
        <v>724</v>
      </c>
      <c r="J626" s="96" t="s">
        <v>487</v>
      </c>
      <c r="K626" s="96" t="s">
        <v>749</v>
      </c>
      <c r="L626" s="96">
        <v>2078295.0</v>
      </c>
      <c r="M626" s="96" t="s">
        <v>1186</v>
      </c>
      <c r="N626" s="96" t="s">
        <v>750</v>
      </c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  <c r="AA626" s="80"/>
    </row>
    <row r="627" ht="36.75" customHeight="1">
      <c r="A627" s="90" t="s">
        <v>674</v>
      </c>
      <c r="B627" s="96" t="s">
        <v>675</v>
      </c>
      <c r="C627" s="96" t="s">
        <v>676</v>
      </c>
      <c r="D627" s="96" t="s">
        <v>681</v>
      </c>
      <c r="E627" s="96">
        <v>6294049.0</v>
      </c>
      <c r="F627" s="96" t="s">
        <v>944</v>
      </c>
      <c r="G627" s="96" t="s">
        <v>684</v>
      </c>
      <c r="H627" s="90" t="s">
        <v>723</v>
      </c>
      <c r="I627" s="96" t="s">
        <v>724</v>
      </c>
      <c r="J627" s="96" t="s">
        <v>487</v>
      </c>
      <c r="K627" s="96" t="s">
        <v>750</v>
      </c>
      <c r="L627" s="96">
        <v>2078295.0</v>
      </c>
      <c r="M627" s="96" t="s">
        <v>1186</v>
      </c>
      <c r="N627" s="96" t="s">
        <v>750</v>
      </c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  <c r="AA627" s="80"/>
    </row>
    <row r="628" ht="36.75" customHeight="1">
      <c r="A628" s="90" t="s">
        <v>674</v>
      </c>
      <c r="B628" s="96" t="s">
        <v>675</v>
      </c>
      <c r="C628" s="96" t="s">
        <v>676</v>
      </c>
      <c r="D628" s="96" t="s">
        <v>682</v>
      </c>
      <c r="E628" s="96">
        <v>6294049.0</v>
      </c>
      <c r="F628" s="96" t="s">
        <v>944</v>
      </c>
      <c r="G628" s="96" t="s">
        <v>684</v>
      </c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  <c r="AA628" s="80"/>
    </row>
    <row r="629" ht="36.75" customHeight="1">
      <c r="A629" s="90" t="s">
        <v>674</v>
      </c>
      <c r="B629" s="96" t="s">
        <v>675</v>
      </c>
      <c r="C629" s="96" t="s">
        <v>676</v>
      </c>
      <c r="D629" s="96" t="s">
        <v>683</v>
      </c>
      <c r="E629" s="96">
        <v>2085194.0</v>
      </c>
      <c r="F629" s="96" t="s">
        <v>945</v>
      </c>
      <c r="G629" s="96" t="s">
        <v>679</v>
      </c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  <c r="AA629" s="80"/>
    </row>
    <row r="630" ht="36.75" customHeight="1">
      <c r="A630" s="90" t="s">
        <v>674</v>
      </c>
      <c r="B630" s="96" t="s">
        <v>675</v>
      </c>
      <c r="C630" s="96" t="s">
        <v>676</v>
      </c>
      <c r="D630" s="96" t="s">
        <v>684</v>
      </c>
      <c r="E630" s="96">
        <v>9628.0</v>
      </c>
      <c r="F630" s="96" t="s">
        <v>946</v>
      </c>
      <c r="G630" s="96" t="s">
        <v>684</v>
      </c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  <c r="AA630" s="80"/>
    </row>
    <row r="631" ht="36.75" customHeight="1">
      <c r="A631" s="90" t="s">
        <v>674</v>
      </c>
      <c r="B631" s="96" t="s">
        <v>675</v>
      </c>
      <c r="C631" s="96" t="s">
        <v>676</v>
      </c>
      <c r="D631" s="96" t="s">
        <v>684</v>
      </c>
      <c r="E631" s="96">
        <v>3363201.0</v>
      </c>
      <c r="F631" s="96" t="s">
        <v>947</v>
      </c>
      <c r="G631" s="96" t="s">
        <v>684</v>
      </c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  <c r="AA631" s="80"/>
    </row>
    <row r="632" ht="36.75" customHeight="1">
      <c r="A632" s="90" t="s">
        <v>674</v>
      </c>
      <c r="B632" s="96" t="s">
        <v>675</v>
      </c>
      <c r="C632" s="96" t="s">
        <v>685</v>
      </c>
      <c r="D632" s="96" t="s">
        <v>686</v>
      </c>
      <c r="E632" s="96">
        <v>2087111.0</v>
      </c>
      <c r="F632" s="96" t="s">
        <v>948</v>
      </c>
      <c r="G632" s="96" t="s">
        <v>696</v>
      </c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  <c r="AA632" s="80"/>
    </row>
    <row r="633" ht="36.75" customHeight="1">
      <c r="A633" s="90" t="s">
        <v>674</v>
      </c>
      <c r="B633" s="96" t="s">
        <v>675</v>
      </c>
      <c r="C633" s="96" t="s">
        <v>685</v>
      </c>
      <c r="D633" s="96" t="s">
        <v>687</v>
      </c>
      <c r="E633" s="96">
        <v>2087111.0</v>
      </c>
      <c r="F633" s="96" t="s">
        <v>948</v>
      </c>
      <c r="G633" s="96" t="s">
        <v>696</v>
      </c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  <c r="AA633" s="80"/>
    </row>
    <row r="634" ht="36.75" customHeight="1">
      <c r="A634" s="90" t="s">
        <v>674</v>
      </c>
      <c r="B634" s="96" t="s">
        <v>675</v>
      </c>
      <c r="C634" s="96" t="s">
        <v>685</v>
      </c>
      <c r="D634" s="96" t="s">
        <v>688</v>
      </c>
      <c r="E634" s="96">
        <v>2087111.0</v>
      </c>
      <c r="F634" s="96" t="s">
        <v>948</v>
      </c>
      <c r="G634" s="96" t="s">
        <v>696</v>
      </c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  <c r="AA634" s="80"/>
    </row>
    <row r="635" ht="36.75" customHeight="1">
      <c r="A635" s="90" t="s">
        <v>674</v>
      </c>
      <c r="B635" s="96" t="s">
        <v>675</v>
      </c>
      <c r="C635" s="96" t="s">
        <v>685</v>
      </c>
      <c r="D635" s="96" t="s">
        <v>689</v>
      </c>
      <c r="E635" s="96">
        <v>2087111.0</v>
      </c>
      <c r="F635" s="96" t="s">
        <v>948</v>
      </c>
      <c r="G635" s="96" t="s">
        <v>696</v>
      </c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  <c r="AA635" s="80"/>
    </row>
    <row r="636" ht="36.75" customHeight="1">
      <c r="A636" s="90" t="s">
        <v>674</v>
      </c>
      <c r="B636" s="96" t="s">
        <v>675</v>
      </c>
      <c r="C636" s="96" t="s">
        <v>685</v>
      </c>
      <c r="D636" s="96" t="s">
        <v>690</v>
      </c>
      <c r="E636" s="96">
        <v>2087111.0</v>
      </c>
      <c r="F636" s="96" t="s">
        <v>948</v>
      </c>
      <c r="G636" s="96" t="s">
        <v>696</v>
      </c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  <c r="AA636" s="80"/>
    </row>
    <row r="637" ht="36.75" customHeight="1">
      <c r="A637" s="90" t="s">
        <v>674</v>
      </c>
      <c r="B637" s="96" t="s">
        <v>675</v>
      </c>
      <c r="C637" s="96" t="s">
        <v>685</v>
      </c>
      <c r="D637" s="96" t="s">
        <v>691</v>
      </c>
      <c r="E637" s="96">
        <v>2087111.0</v>
      </c>
      <c r="F637" s="96" t="s">
        <v>948</v>
      </c>
      <c r="G637" s="96" t="s">
        <v>696</v>
      </c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  <c r="AA637" s="80"/>
    </row>
    <row r="638" ht="36.75" customHeight="1">
      <c r="A638" s="90" t="s">
        <v>674</v>
      </c>
      <c r="B638" s="96" t="s">
        <v>675</v>
      </c>
      <c r="C638" s="96" t="s">
        <v>685</v>
      </c>
      <c r="D638" s="96" t="s">
        <v>692</v>
      </c>
      <c r="E638" s="96">
        <v>2749319.0</v>
      </c>
      <c r="F638" s="96" t="s">
        <v>949</v>
      </c>
      <c r="G638" s="96" t="s">
        <v>675</v>
      </c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  <c r="AA638" s="80"/>
    </row>
    <row r="639" ht="36.75" customHeight="1">
      <c r="A639" s="90" t="s">
        <v>674</v>
      </c>
      <c r="B639" s="96" t="s">
        <v>675</v>
      </c>
      <c r="C639" s="96" t="s">
        <v>685</v>
      </c>
      <c r="D639" s="96" t="s">
        <v>693</v>
      </c>
      <c r="E639" s="96">
        <v>2031027.0</v>
      </c>
      <c r="F639" s="96" t="s">
        <v>950</v>
      </c>
      <c r="G639" s="96" t="s">
        <v>694</v>
      </c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  <c r="AA639" s="80"/>
    </row>
    <row r="640" ht="36.75" customHeight="1">
      <c r="A640" s="90" t="s">
        <v>674</v>
      </c>
      <c r="B640" s="96" t="s">
        <v>675</v>
      </c>
      <c r="C640" s="96" t="s">
        <v>685</v>
      </c>
      <c r="D640" s="96" t="s">
        <v>694</v>
      </c>
      <c r="E640" s="96">
        <v>2031027.0</v>
      </c>
      <c r="F640" s="96" t="s">
        <v>950</v>
      </c>
      <c r="G640" s="96" t="s">
        <v>694</v>
      </c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  <c r="AA640" s="80"/>
    </row>
    <row r="641" ht="36.75" customHeight="1">
      <c r="A641" s="90" t="s">
        <v>674</v>
      </c>
      <c r="B641" s="96" t="s">
        <v>675</v>
      </c>
      <c r="C641" s="96" t="s">
        <v>685</v>
      </c>
      <c r="D641" s="96" t="s">
        <v>695</v>
      </c>
      <c r="E641" s="96">
        <v>2749319.0</v>
      </c>
      <c r="F641" s="96" t="s">
        <v>949</v>
      </c>
      <c r="G641" s="96" t="s">
        <v>675</v>
      </c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  <c r="AA641" s="80"/>
    </row>
    <row r="642" ht="36.75" customHeight="1">
      <c r="A642" s="90" t="s">
        <v>674</v>
      </c>
      <c r="B642" s="96" t="s">
        <v>675</v>
      </c>
      <c r="C642" s="96" t="s">
        <v>685</v>
      </c>
      <c r="D642" s="96" t="s">
        <v>696</v>
      </c>
      <c r="E642" s="96">
        <v>2087111.0</v>
      </c>
      <c r="F642" s="96" t="s">
        <v>948</v>
      </c>
      <c r="G642" s="96" t="s">
        <v>696</v>
      </c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  <c r="AA642" s="80"/>
    </row>
    <row r="643" ht="36.75" customHeight="1">
      <c r="A643" s="90" t="s">
        <v>674</v>
      </c>
      <c r="B643" s="96" t="s">
        <v>675</v>
      </c>
      <c r="C643" s="96" t="s">
        <v>685</v>
      </c>
      <c r="D643" s="96" t="s">
        <v>697</v>
      </c>
      <c r="E643" s="96">
        <v>2087111.0</v>
      </c>
      <c r="F643" s="96" t="s">
        <v>948</v>
      </c>
      <c r="G643" s="96" t="s">
        <v>696</v>
      </c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</row>
    <row r="644" ht="36.75" customHeight="1">
      <c r="A644" s="90" t="s">
        <v>674</v>
      </c>
      <c r="B644" s="96" t="s">
        <v>675</v>
      </c>
      <c r="C644" s="96" t="s">
        <v>685</v>
      </c>
      <c r="D644" s="96" t="s">
        <v>698</v>
      </c>
      <c r="E644" s="96">
        <v>2087111.0</v>
      </c>
      <c r="F644" s="96" t="s">
        <v>948</v>
      </c>
      <c r="G644" s="96" t="s">
        <v>696</v>
      </c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  <c r="AA644" s="80"/>
    </row>
    <row r="645" ht="36.75" customHeight="1">
      <c r="A645" s="90" t="s">
        <v>674</v>
      </c>
      <c r="B645" s="96" t="s">
        <v>675</v>
      </c>
      <c r="C645" s="96" t="s">
        <v>685</v>
      </c>
      <c r="D645" s="96" t="s">
        <v>699</v>
      </c>
      <c r="E645" s="96">
        <v>2087111.0</v>
      </c>
      <c r="F645" s="96" t="s">
        <v>948</v>
      </c>
      <c r="G645" s="96" t="s">
        <v>696</v>
      </c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  <c r="AA645" s="80"/>
    </row>
    <row r="646" ht="36.75" customHeight="1">
      <c r="A646" s="90" t="s">
        <v>674</v>
      </c>
      <c r="B646" s="96" t="s">
        <v>675</v>
      </c>
      <c r="C646" s="96" t="s">
        <v>685</v>
      </c>
      <c r="D646" s="96" t="s">
        <v>700</v>
      </c>
      <c r="E646" s="96">
        <v>2087111.0</v>
      </c>
      <c r="F646" s="96" t="s">
        <v>948</v>
      </c>
      <c r="G646" s="96" t="s">
        <v>696</v>
      </c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  <c r="AA646" s="80"/>
    </row>
    <row r="647" ht="36.75" customHeight="1">
      <c r="A647" s="90" t="s">
        <v>674</v>
      </c>
      <c r="B647" s="96" t="s">
        <v>675</v>
      </c>
      <c r="C647" s="96" t="s">
        <v>685</v>
      </c>
      <c r="D647" s="96" t="s">
        <v>701</v>
      </c>
      <c r="E647" s="96">
        <v>2087111.0</v>
      </c>
      <c r="F647" s="96" t="s">
        <v>948</v>
      </c>
      <c r="G647" s="96" t="s">
        <v>696</v>
      </c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  <c r="AA647" s="80"/>
    </row>
    <row r="648" ht="36.75" customHeight="1">
      <c r="A648" s="90" t="s">
        <v>674</v>
      </c>
      <c r="B648" s="96" t="s">
        <v>675</v>
      </c>
      <c r="C648" s="96" t="s">
        <v>685</v>
      </c>
      <c r="D648" s="96" t="s">
        <v>702</v>
      </c>
      <c r="E648" s="96">
        <v>2087111.0</v>
      </c>
      <c r="F648" s="96" t="s">
        <v>948</v>
      </c>
      <c r="G648" s="96" t="s">
        <v>696</v>
      </c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  <c r="AA648" s="80"/>
    </row>
    <row r="649" ht="36.75" customHeight="1">
      <c r="A649" s="90" t="s">
        <v>674</v>
      </c>
      <c r="B649" s="96" t="s">
        <v>675</v>
      </c>
      <c r="C649" s="96" t="s">
        <v>703</v>
      </c>
      <c r="D649" s="96" t="s">
        <v>704</v>
      </c>
      <c r="E649" s="96">
        <v>9768289.0</v>
      </c>
      <c r="F649" s="96" t="s">
        <v>951</v>
      </c>
      <c r="G649" s="96" t="s">
        <v>704</v>
      </c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  <c r="AA649" s="80"/>
    </row>
    <row r="650" ht="36.75" customHeight="1">
      <c r="A650" s="90" t="s">
        <v>674</v>
      </c>
      <c r="B650" s="96" t="s">
        <v>675</v>
      </c>
      <c r="C650" s="96" t="s">
        <v>703</v>
      </c>
      <c r="D650" s="96" t="s">
        <v>705</v>
      </c>
      <c r="E650" s="96">
        <v>9632786.0</v>
      </c>
      <c r="F650" s="96" t="s">
        <v>952</v>
      </c>
      <c r="G650" s="96" t="s">
        <v>953</v>
      </c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  <c r="AA650" s="80"/>
    </row>
    <row r="651" ht="36.75" customHeight="1">
      <c r="A651" s="90" t="s">
        <v>674</v>
      </c>
      <c r="B651" s="96" t="s">
        <v>675</v>
      </c>
      <c r="C651" s="96" t="s">
        <v>703</v>
      </c>
      <c r="D651" s="96" t="s">
        <v>706</v>
      </c>
      <c r="E651" s="96">
        <v>2086824.0</v>
      </c>
      <c r="F651" s="96" t="s">
        <v>954</v>
      </c>
      <c r="G651" s="96" t="s">
        <v>706</v>
      </c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  <c r="AA651" s="80"/>
    </row>
    <row r="652" ht="36.75" customHeight="1">
      <c r="A652" s="90" t="s">
        <v>674</v>
      </c>
      <c r="B652" s="96" t="s">
        <v>675</v>
      </c>
      <c r="C652" s="96" t="s">
        <v>703</v>
      </c>
      <c r="D652" s="96" t="s">
        <v>706</v>
      </c>
      <c r="E652" s="96">
        <v>4201639.0</v>
      </c>
      <c r="F652" s="96" t="s">
        <v>955</v>
      </c>
      <c r="G652" s="96" t="s">
        <v>706</v>
      </c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  <c r="AA652" s="80"/>
    </row>
    <row r="653" ht="36.75" customHeight="1">
      <c r="A653" s="90" t="s">
        <v>674</v>
      </c>
      <c r="B653" s="96" t="s">
        <v>675</v>
      </c>
      <c r="C653" s="96" t="s">
        <v>703</v>
      </c>
      <c r="D653" s="96" t="s">
        <v>707</v>
      </c>
      <c r="E653" s="96">
        <v>2073285.0</v>
      </c>
      <c r="F653" s="96" t="s">
        <v>956</v>
      </c>
      <c r="G653" s="96" t="s">
        <v>707</v>
      </c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  <c r="AA653" s="80"/>
    </row>
    <row r="654" ht="36.75" customHeight="1">
      <c r="A654" s="90" t="s">
        <v>674</v>
      </c>
      <c r="B654" s="96" t="s">
        <v>675</v>
      </c>
      <c r="C654" s="96" t="s">
        <v>708</v>
      </c>
      <c r="D654" s="96" t="s">
        <v>709</v>
      </c>
      <c r="E654" s="96">
        <v>2749319.0</v>
      </c>
      <c r="F654" s="96" t="s">
        <v>949</v>
      </c>
      <c r="G654" s="96" t="s">
        <v>675</v>
      </c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  <c r="AA654" s="80"/>
    </row>
    <row r="655" ht="36.75" customHeight="1">
      <c r="A655" s="90" t="s">
        <v>674</v>
      </c>
      <c r="B655" s="96" t="s">
        <v>675</v>
      </c>
      <c r="C655" s="96" t="s">
        <v>708</v>
      </c>
      <c r="D655" s="96" t="s">
        <v>711</v>
      </c>
      <c r="E655" s="96">
        <v>2749319.0</v>
      </c>
      <c r="F655" s="96" t="s">
        <v>949</v>
      </c>
      <c r="G655" s="96" t="s">
        <v>675</v>
      </c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  <c r="AA655" s="80"/>
    </row>
    <row r="656" ht="36.75" customHeight="1">
      <c r="A656" s="90" t="s">
        <v>674</v>
      </c>
      <c r="B656" s="96" t="s">
        <v>675</v>
      </c>
      <c r="C656" s="96" t="s">
        <v>708</v>
      </c>
      <c r="D656" s="96" t="s">
        <v>712</v>
      </c>
      <c r="E656" s="96">
        <v>2749319.0</v>
      </c>
      <c r="F656" s="96" t="s">
        <v>949</v>
      </c>
      <c r="G656" s="96" t="s">
        <v>675</v>
      </c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  <c r="AA656" s="80"/>
    </row>
    <row r="657" ht="36.75" customHeight="1">
      <c r="A657" s="90" t="s">
        <v>674</v>
      </c>
      <c r="B657" s="96" t="s">
        <v>675</v>
      </c>
      <c r="C657" s="96" t="s">
        <v>708</v>
      </c>
      <c r="D657" s="96" t="s">
        <v>713</v>
      </c>
      <c r="E657" s="96">
        <v>7911246.0</v>
      </c>
      <c r="F657" s="96" t="s">
        <v>957</v>
      </c>
      <c r="G657" s="96" t="s">
        <v>713</v>
      </c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  <c r="AA657" s="80"/>
    </row>
    <row r="658" ht="36.75" customHeight="1">
      <c r="A658" s="90" t="s">
        <v>674</v>
      </c>
      <c r="B658" s="96" t="s">
        <v>675</v>
      </c>
      <c r="C658" s="96" t="s">
        <v>708</v>
      </c>
      <c r="D658" s="96" t="s">
        <v>715</v>
      </c>
      <c r="E658" s="96">
        <v>2749319.0</v>
      </c>
      <c r="F658" s="96" t="s">
        <v>949</v>
      </c>
      <c r="G658" s="96" t="s">
        <v>675</v>
      </c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  <c r="AA658" s="80"/>
    </row>
    <row r="659" ht="36.75" customHeight="1">
      <c r="A659" s="90" t="s">
        <v>674</v>
      </c>
      <c r="B659" s="96" t="s">
        <v>675</v>
      </c>
      <c r="C659" s="96" t="s">
        <v>708</v>
      </c>
      <c r="D659" s="96" t="s">
        <v>716</v>
      </c>
      <c r="E659" s="96">
        <v>2749319.0</v>
      </c>
      <c r="F659" s="96" t="s">
        <v>949</v>
      </c>
      <c r="G659" s="96" t="s">
        <v>675</v>
      </c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  <c r="AA659" s="80"/>
    </row>
    <row r="660" ht="36.75" customHeight="1">
      <c r="A660" s="90" t="s">
        <v>674</v>
      </c>
      <c r="B660" s="96" t="s">
        <v>675</v>
      </c>
      <c r="C660" s="96" t="s">
        <v>708</v>
      </c>
      <c r="D660" s="96" t="s">
        <v>717</v>
      </c>
      <c r="E660" s="96">
        <v>2749319.0</v>
      </c>
      <c r="F660" s="96" t="s">
        <v>949</v>
      </c>
      <c r="G660" s="96" t="s">
        <v>675</v>
      </c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  <c r="AA660" s="80"/>
    </row>
    <row r="661" ht="36.75" customHeight="1">
      <c r="A661" s="90" t="s">
        <v>674</v>
      </c>
      <c r="B661" s="96" t="s">
        <v>675</v>
      </c>
      <c r="C661" s="96" t="s">
        <v>708</v>
      </c>
      <c r="D661" s="96" t="s">
        <v>718</v>
      </c>
      <c r="E661" s="96">
        <v>2749319.0</v>
      </c>
      <c r="F661" s="96" t="s">
        <v>949</v>
      </c>
      <c r="G661" s="96" t="s">
        <v>675</v>
      </c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  <c r="AA661" s="80"/>
    </row>
    <row r="662" ht="36.75" customHeight="1">
      <c r="A662" s="90" t="s">
        <v>674</v>
      </c>
      <c r="B662" s="96" t="s">
        <v>675</v>
      </c>
      <c r="C662" s="96" t="s">
        <v>708</v>
      </c>
      <c r="D662" s="96" t="s">
        <v>675</v>
      </c>
      <c r="E662" s="96">
        <v>2749300.0</v>
      </c>
      <c r="F662" s="96" t="s">
        <v>958</v>
      </c>
      <c r="G662" s="96" t="s">
        <v>675</v>
      </c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  <c r="AA662" s="80"/>
    </row>
    <row r="663" ht="36.75" customHeight="1">
      <c r="A663" s="90" t="s">
        <v>674</v>
      </c>
      <c r="B663" s="96" t="s">
        <v>675</v>
      </c>
      <c r="C663" s="96" t="s">
        <v>708</v>
      </c>
      <c r="D663" s="96" t="s">
        <v>675</v>
      </c>
      <c r="E663" s="96">
        <v>2749319.0</v>
      </c>
      <c r="F663" s="96" t="s">
        <v>949</v>
      </c>
      <c r="G663" s="96" t="s">
        <v>675</v>
      </c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  <c r="AA663" s="80"/>
    </row>
    <row r="664" ht="36.75" customHeight="1">
      <c r="A664" s="90" t="s">
        <v>674</v>
      </c>
      <c r="B664" s="96" t="s">
        <v>675</v>
      </c>
      <c r="C664" s="96" t="s">
        <v>708</v>
      </c>
      <c r="D664" s="96" t="s">
        <v>721</v>
      </c>
      <c r="E664" s="96">
        <v>2749319.0</v>
      </c>
      <c r="F664" s="96" t="s">
        <v>949</v>
      </c>
      <c r="G664" s="96" t="s">
        <v>675</v>
      </c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  <c r="AA664" s="80"/>
    </row>
    <row r="665" ht="36.75" customHeight="1">
      <c r="A665" s="90" t="s">
        <v>723</v>
      </c>
      <c r="B665" s="96" t="s">
        <v>724</v>
      </c>
      <c r="C665" s="96" t="s">
        <v>725</v>
      </c>
      <c r="D665" s="96" t="s">
        <v>726</v>
      </c>
      <c r="E665" s="96">
        <v>9424377.0</v>
      </c>
      <c r="F665" s="96" t="s">
        <v>959</v>
      </c>
      <c r="G665" s="96" t="s">
        <v>960</v>
      </c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  <c r="AA665" s="80"/>
    </row>
    <row r="666" ht="36.75" customHeight="1">
      <c r="A666" s="90" t="s">
        <v>723</v>
      </c>
      <c r="B666" s="96" t="s">
        <v>724</v>
      </c>
      <c r="C666" s="96" t="s">
        <v>725</v>
      </c>
      <c r="D666" s="96" t="s">
        <v>724</v>
      </c>
      <c r="E666" s="96">
        <v>9424377.0</v>
      </c>
      <c r="F666" s="96" t="s">
        <v>959</v>
      </c>
      <c r="G666" s="96" t="s">
        <v>960</v>
      </c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  <c r="AA666" s="80"/>
    </row>
    <row r="667" ht="36.75" customHeight="1">
      <c r="A667" s="90" t="s">
        <v>723</v>
      </c>
      <c r="B667" s="96" t="s">
        <v>724</v>
      </c>
      <c r="C667" s="96" t="s">
        <v>725</v>
      </c>
      <c r="D667" s="96" t="s">
        <v>727</v>
      </c>
      <c r="E667" s="96">
        <v>9424377.0</v>
      </c>
      <c r="F667" s="96" t="s">
        <v>959</v>
      </c>
      <c r="G667" s="96" t="s">
        <v>960</v>
      </c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  <c r="AA667" s="80"/>
    </row>
    <row r="668" ht="36.75" customHeight="1">
      <c r="A668" s="90" t="s">
        <v>723</v>
      </c>
      <c r="B668" s="96" t="s">
        <v>724</v>
      </c>
      <c r="C668" s="96" t="s">
        <v>725</v>
      </c>
      <c r="D668" s="96" t="s">
        <v>728</v>
      </c>
      <c r="E668" s="96">
        <v>9424377.0</v>
      </c>
      <c r="F668" s="96" t="s">
        <v>959</v>
      </c>
      <c r="G668" s="96" t="s">
        <v>960</v>
      </c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  <c r="AA668" s="80"/>
    </row>
    <row r="669" ht="36.75" customHeight="1">
      <c r="A669" s="90" t="s">
        <v>723</v>
      </c>
      <c r="B669" s="96" t="s">
        <v>724</v>
      </c>
      <c r="C669" s="96" t="s">
        <v>725</v>
      </c>
      <c r="D669" s="96" t="s">
        <v>729</v>
      </c>
      <c r="E669" s="96">
        <v>9424377.0</v>
      </c>
      <c r="F669" s="96" t="s">
        <v>959</v>
      </c>
      <c r="G669" s="96" t="s">
        <v>960</v>
      </c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  <c r="AA669" s="80"/>
    </row>
    <row r="670" ht="36.75" customHeight="1">
      <c r="A670" s="90" t="s">
        <v>723</v>
      </c>
      <c r="B670" s="96" t="s">
        <v>724</v>
      </c>
      <c r="C670" s="96" t="s">
        <v>725</v>
      </c>
      <c r="D670" s="96" t="s">
        <v>730</v>
      </c>
      <c r="E670" s="96">
        <v>9424377.0</v>
      </c>
      <c r="F670" s="96" t="s">
        <v>959</v>
      </c>
      <c r="G670" s="96" t="s">
        <v>960</v>
      </c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</row>
    <row r="671" ht="36.75" customHeight="1">
      <c r="A671" s="90" t="s">
        <v>723</v>
      </c>
      <c r="B671" s="96" t="s">
        <v>724</v>
      </c>
      <c r="C671" s="96" t="s">
        <v>725</v>
      </c>
      <c r="D671" s="96" t="s">
        <v>731</v>
      </c>
      <c r="E671" s="96">
        <v>9424377.0</v>
      </c>
      <c r="F671" s="96" t="s">
        <v>959</v>
      </c>
      <c r="G671" s="96" t="s">
        <v>960</v>
      </c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  <c r="AA671" s="80"/>
    </row>
    <row r="672" ht="36.75" customHeight="1">
      <c r="A672" s="90" t="s">
        <v>723</v>
      </c>
      <c r="B672" s="96" t="s">
        <v>724</v>
      </c>
      <c r="C672" s="96" t="s">
        <v>725</v>
      </c>
      <c r="D672" s="96" t="s">
        <v>732</v>
      </c>
      <c r="E672" s="96">
        <v>9424377.0</v>
      </c>
      <c r="F672" s="96" t="s">
        <v>959</v>
      </c>
      <c r="G672" s="96" t="s">
        <v>960</v>
      </c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  <c r="AA672" s="80"/>
    </row>
    <row r="673" ht="36.75" customHeight="1">
      <c r="A673" s="90" t="s">
        <v>723</v>
      </c>
      <c r="B673" s="96" t="s">
        <v>724</v>
      </c>
      <c r="C673" s="96" t="s">
        <v>733</v>
      </c>
      <c r="D673" s="96" t="s">
        <v>734</v>
      </c>
      <c r="E673" s="96">
        <v>2090961.0</v>
      </c>
      <c r="F673" s="96" t="s">
        <v>961</v>
      </c>
      <c r="G673" s="96" t="s">
        <v>962</v>
      </c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  <c r="AA673" s="80"/>
    </row>
    <row r="674" ht="36.75" customHeight="1">
      <c r="A674" s="90" t="s">
        <v>723</v>
      </c>
      <c r="B674" s="96" t="s">
        <v>724</v>
      </c>
      <c r="C674" s="96" t="s">
        <v>733</v>
      </c>
      <c r="D674" s="96" t="s">
        <v>735</v>
      </c>
      <c r="E674" s="96">
        <v>2090961.0</v>
      </c>
      <c r="F674" s="96" t="s">
        <v>961</v>
      </c>
      <c r="G674" s="96" t="s">
        <v>962</v>
      </c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  <c r="AA674" s="80"/>
    </row>
    <row r="675" ht="36.75" customHeight="1">
      <c r="A675" s="90" t="s">
        <v>723</v>
      </c>
      <c r="B675" s="96" t="s">
        <v>724</v>
      </c>
      <c r="C675" s="96" t="s">
        <v>733</v>
      </c>
      <c r="D675" s="96" t="s">
        <v>736</v>
      </c>
      <c r="E675" s="96">
        <v>2090961.0</v>
      </c>
      <c r="F675" s="96" t="s">
        <v>961</v>
      </c>
      <c r="G675" s="96" t="s">
        <v>962</v>
      </c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  <c r="AA675" s="80"/>
    </row>
    <row r="676" ht="36.75" customHeight="1">
      <c r="A676" s="90" t="s">
        <v>723</v>
      </c>
      <c r="B676" s="96" t="s">
        <v>724</v>
      </c>
      <c r="C676" s="96" t="s">
        <v>733</v>
      </c>
      <c r="D676" s="96" t="s">
        <v>737</v>
      </c>
      <c r="E676" s="96">
        <v>2090961.0</v>
      </c>
      <c r="F676" s="96" t="s">
        <v>961</v>
      </c>
      <c r="G676" s="96" t="s">
        <v>962</v>
      </c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  <c r="AA676" s="80"/>
    </row>
    <row r="677" ht="36.75" customHeight="1">
      <c r="A677" s="90" t="s">
        <v>723</v>
      </c>
      <c r="B677" s="96" t="s">
        <v>724</v>
      </c>
      <c r="C677" s="96" t="s">
        <v>733</v>
      </c>
      <c r="D677" s="96" t="s">
        <v>738</v>
      </c>
      <c r="E677" s="96">
        <v>2090961.0</v>
      </c>
      <c r="F677" s="96" t="s">
        <v>961</v>
      </c>
      <c r="G677" s="96" t="s">
        <v>962</v>
      </c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  <c r="AA677" s="80"/>
    </row>
    <row r="678" ht="36.75" customHeight="1">
      <c r="A678" s="90" t="s">
        <v>723</v>
      </c>
      <c r="B678" s="96" t="s">
        <v>724</v>
      </c>
      <c r="C678" s="96" t="s">
        <v>739</v>
      </c>
      <c r="D678" s="96" t="s">
        <v>740</v>
      </c>
      <c r="E678" s="96">
        <v>2080931.0</v>
      </c>
      <c r="F678" s="96" t="s">
        <v>961</v>
      </c>
      <c r="G678" s="96" t="s">
        <v>963</v>
      </c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  <c r="AA678" s="80"/>
    </row>
    <row r="679" ht="36.75" customHeight="1">
      <c r="A679" s="90" t="s">
        <v>723</v>
      </c>
      <c r="B679" s="96" t="s">
        <v>724</v>
      </c>
      <c r="C679" s="96" t="s">
        <v>739</v>
      </c>
      <c r="D679" s="96" t="s">
        <v>741</v>
      </c>
      <c r="E679" s="96">
        <v>2080931.0</v>
      </c>
      <c r="F679" s="96" t="s">
        <v>961</v>
      </c>
      <c r="G679" s="96" t="s">
        <v>963</v>
      </c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  <c r="AA679" s="80"/>
    </row>
    <row r="680" ht="36.75" customHeight="1">
      <c r="A680" s="90" t="s">
        <v>723</v>
      </c>
      <c r="B680" s="96" t="s">
        <v>724</v>
      </c>
      <c r="C680" s="96" t="s">
        <v>739</v>
      </c>
      <c r="D680" s="96" t="s">
        <v>742</v>
      </c>
      <c r="E680" s="96">
        <v>2080931.0</v>
      </c>
      <c r="F680" s="96" t="s">
        <v>961</v>
      </c>
      <c r="G680" s="96" t="s">
        <v>963</v>
      </c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  <c r="AA680" s="80"/>
    </row>
    <row r="681" ht="36.75" customHeight="1">
      <c r="A681" s="90" t="s">
        <v>723</v>
      </c>
      <c r="B681" s="96" t="s">
        <v>724</v>
      </c>
      <c r="C681" s="96" t="s">
        <v>739</v>
      </c>
      <c r="D681" s="96" t="s">
        <v>743</v>
      </c>
      <c r="E681" s="96">
        <v>2080931.0</v>
      </c>
      <c r="F681" s="96" t="s">
        <v>961</v>
      </c>
      <c r="G681" s="96" t="s">
        <v>963</v>
      </c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  <c r="AA681" s="80"/>
    </row>
    <row r="682" ht="36.75" customHeight="1">
      <c r="A682" s="90" t="s">
        <v>723</v>
      </c>
      <c r="B682" s="96" t="s">
        <v>724</v>
      </c>
      <c r="C682" s="96" t="s">
        <v>739</v>
      </c>
      <c r="D682" s="96" t="s">
        <v>744</v>
      </c>
      <c r="E682" s="96">
        <v>2080931.0</v>
      </c>
      <c r="F682" s="96" t="s">
        <v>961</v>
      </c>
      <c r="G682" s="96" t="s">
        <v>963</v>
      </c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  <c r="AA682" s="80"/>
    </row>
    <row r="683" ht="36.75" customHeight="1">
      <c r="A683" s="90" t="s">
        <v>723</v>
      </c>
      <c r="B683" s="96" t="s">
        <v>724</v>
      </c>
      <c r="C683" s="96" t="s">
        <v>739</v>
      </c>
      <c r="D683" s="96" t="s">
        <v>745</v>
      </c>
      <c r="E683" s="96">
        <v>2080931.0</v>
      </c>
      <c r="F683" s="96" t="s">
        <v>961</v>
      </c>
      <c r="G683" s="96" t="s">
        <v>963</v>
      </c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</row>
    <row r="684" ht="36.75" customHeight="1">
      <c r="A684" s="90" t="s">
        <v>723</v>
      </c>
      <c r="B684" s="96" t="s">
        <v>724</v>
      </c>
      <c r="C684" s="96" t="s">
        <v>487</v>
      </c>
      <c r="D684" s="96" t="s">
        <v>746</v>
      </c>
      <c r="E684" s="96">
        <v>2090961.0</v>
      </c>
      <c r="F684" s="96" t="s">
        <v>961</v>
      </c>
      <c r="G684" s="96" t="s">
        <v>962</v>
      </c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  <c r="AA684" s="80"/>
    </row>
    <row r="685" ht="36.75" customHeight="1">
      <c r="A685" s="90" t="s">
        <v>723</v>
      </c>
      <c r="B685" s="96" t="s">
        <v>724</v>
      </c>
      <c r="C685" s="96" t="s">
        <v>487</v>
      </c>
      <c r="D685" s="96" t="s">
        <v>747</v>
      </c>
      <c r="E685" s="96">
        <v>2090961.0</v>
      </c>
      <c r="F685" s="96" t="s">
        <v>961</v>
      </c>
      <c r="G685" s="96" t="s">
        <v>962</v>
      </c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  <c r="AA685" s="80"/>
    </row>
    <row r="686" ht="36.75" customHeight="1">
      <c r="A686" s="90" t="s">
        <v>723</v>
      </c>
      <c r="B686" s="96" t="s">
        <v>724</v>
      </c>
      <c r="C686" s="96" t="s">
        <v>487</v>
      </c>
      <c r="D686" s="96" t="s">
        <v>748</v>
      </c>
      <c r="E686" s="96">
        <v>2090961.0</v>
      </c>
      <c r="F686" s="96" t="s">
        <v>961</v>
      </c>
      <c r="G686" s="96" t="s">
        <v>962</v>
      </c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  <c r="AA686" s="80"/>
    </row>
    <row r="687" ht="36.75" customHeight="1">
      <c r="A687" s="90" t="s">
        <v>723</v>
      </c>
      <c r="B687" s="96" t="s">
        <v>724</v>
      </c>
      <c r="C687" s="96" t="s">
        <v>487</v>
      </c>
      <c r="D687" s="96" t="s">
        <v>749</v>
      </c>
      <c r="E687" s="96">
        <v>2090961.0</v>
      </c>
      <c r="F687" s="96" t="s">
        <v>961</v>
      </c>
      <c r="G687" s="96" t="s">
        <v>962</v>
      </c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  <c r="AA687" s="80"/>
    </row>
    <row r="688" ht="36.75" customHeight="1">
      <c r="A688" s="90" t="s">
        <v>723</v>
      </c>
      <c r="B688" s="96" t="s">
        <v>724</v>
      </c>
      <c r="C688" s="96" t="s">
        <v>487</v>
      </c>
      <c r="D688" s="96" t="s">
        <v>750</v>
      </c>
      <c r="E688" s="96">
        <v>2090961.0</v>
      </c>
      <c r="F688" s="96" t="s">
        <v>961</v>
      </c>
      <c r="G688" s="96" t="s">
        <v>962</v>
      </c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  <c r="AA688" s="80"/>
    </row>
    <row r="689" ht="15.75" customHeight="1">
      <c r="A689" s="73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  <c r="AA689" s="80"/>
    </row>
    <row r="690" ht="15.75" customHeight="1">
      <c r="A690" s="73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  <c r="AA690" s="80"/>
    </row>
    <row r="691" ht="15.75" customHeight="1">
      <c r="A691" s="73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  <c r="AA691" s="80"/>
    </row>
    <row r="692" ht="15.75" customHeight="1">
      <c r="A692" s="73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  <c r="AA692" s="80"/>
    </row>
    <row r="693" ht="15.75" customHeight="1">
      <c r="A693" s="73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  <c r="AA693" s="80"/>
    </row>
    <row r="694" ht="15.75" customHeight="1">
      <c r="A694" s="73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  <c r="AA694" s="80"/>
    </row>
    <row r="695" ht="15.75" customHeight="1">
      <c r="A695" s="73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  <c r="AA695" s="80"/>
    </row>
    <row r="696" ht="15.75" customHeight="1">
      <c r="A696" s="73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  <c r="AA696" s="80"/>
    </row>
    <row r="697" ht="15.75" customHeight="1">
      <c r="A697" s="73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  <c r="AA697" s="80"/>
    </row>
    <row r="698" ht="15.75" customHeight="1">
      <c r="A698" s="73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  <c r="AA698" s="80"/>
    </row>
    <row r="699" ht="15.75" customHeight="1">
      <c r="A699" s="73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  <c r="AA699" s="80"/>
    </row>
    <row r="700" ht="15.75" customHeight="1">
      <c r="A700" s="73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  <c r="AA700" s="80"/>
    </row>
    <row r="701" ht="15.75" customHeight="1">
      <c r="A701" s="73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  <c r="AA701" s="80"/>
    </row>
    <row r="702" ht="15.75" customHeight="1">
      <c r="A702" s="73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  <c r="AA702" s="80"/>
    </row>
    <row r="703" ht="15.75" customHeight="1">
      <c r="A703" s="73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  <c r="AA703" s="80"/>
    </row>
    <row r="704" ht="15.75" customHeight="1">
      <c r="A704" s="73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  <c r="AA704" s="80"/>
    </row>
    <row r="705" ht="15.75" customHeight="1">
      <c r="A705" s="73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  <c r="AA705" s="80"/>
    </row>
    <row r="706" ht="15.75" customHeight="1">
      <c r="A706" s="73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  <c r="AA706" s="80"/>
    </row>
    <row r="707" ht="15.75" customHeight="1">
      <c r="A707" s="73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  <c r="AA707" s="80"/>
    </row>
    <row r="708" ht="15.75" customHeight="1">
      <c r="A708" s="73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  <c r="AA708" s="80"/>
    </row>
    <row r="709" ht="15.75" customHeight="1">
      <c r="A709" s="73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  <c r="AA709" s="80"/>
    </row>
    <row r="710" ht="15.75" customHeight="1">
      <c r="A710" s="73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  <c r="AA710" s="80"/>
    </row>
    <row r="711" ht="15.75" customHeight="1">
      <c r="A711" s="73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  <c r="AA711" s="80"/>
    </row>
    <row r="712" ht="15.75" customHeight="1">
      <c r="A712" s="73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  <c r="AA712" s="80"/>
    </row>
    <row r="713" ht="15.75" customHeight="1">
      <c r="A713" s="73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  <c r="AA713" s="80"/>
    </row>
    <row r="714" ht="15.75" customHeight="1">
      <c r="A714" s="73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  <c r="AA714" s="80"/>
    </row>
    <row r="715" ht="15.75" customHeight="1">
      <c r="A715" s="73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  <c r="AA715" s="80"/>
    </row>
    <row r="716" ht="15.75" customHeight="1">
      <c r="A716" s="73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  <c r="AA716" s="80"/>
    </row>
    <row r="717" ht="15.75" customHeight="1">
      <c r="A717" s="73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  <c r="AA717" s="80"/>
    </row>
    <row r="718" ht="15.75" customHeight="1">
      <c r="A718" s="73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  <c r="AA718" s="80"/>
    </row>
    <row r="719" ht="15.75" customHeight="1">
      <c r="A719" s="73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  <c r="AA719" s="80"/>
    </row>
    <row r="720" ht="15.75" customHeight="1">
      <c r="A720" s="73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  <c r="AA720" s="80"/>
    </row>
    <row r="721" ht="15.75" customHeight="1">
      <c r="A721" s="73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  <c r="AA721" s="80"/>
    </row>
    <row r="722" ht="15.75" customHeight="1">
      <c r="A722" s="73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  <c r="AA722" s="80"/>
    </row>
    <row r="723" ht="15.75" customHeight="1">
      <c r="A723" s="73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</row>
    <row r="724" ht="15.75" customHeight="1">
      <c r="A724" s="73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  <c r="AA724" s="80"/>
    </row>
    <row r="725" ht="15.75" customHeight="1">
      <c r="A725" s="73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  <c r="AA725" s="80"/>
    </row>
    <row r="726" ht="15.75" customHeight="1">
      <c r="A726" s="73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  <c r="AA726" s="80"/>
    </row>
    <row r="727" ht="15.75" customHeight="1">
      <c r="A727" s="73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  <c r="AA727" s="80"/>
    </row>
    <row r="728" ht="15.75" customHeight="1">
      <c r="A728" s="73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  <c r="AA728" s="80"/>
    </row>
    <row r="729" ht="15.75" customHeight="1">
      <c r="A729" s="73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  <c r="AA729" s="80"/>
    </row>
    <row r="730" ht="15.75" customHeight="1">
      <c r="A730" s="73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  <c r="AA730" s="80"/>
    </row>
    <row r="731" ht="15.75" customHeight="1">
      <c r="A731" s="73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  <c r="AA731" s="80"/>
    </row>
    <row r="732" ht="15.75" customHeight="1">
      <c r="A732" s="73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  <c r="AA732" s="80"/>
    </row>
    <row r="733" ht="15.75" customHeight="1">
      <c r="A733" s="73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  <c r="AA733" s="80"/>
    </row>
    <row r="734" ht="15.75" customHeight="1">
      <c r="A734" s="73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  <c r="AA734" s="80"/>
    </row>
    <row r="735" ht="15.75" customHeight="1">
      <c r="A735" s="73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  <c r="AA735" s="80"/>
    </row>
    <row r="736" ht="15.75" customHeight="1">
      <c r="A736" s="73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  <c r="AA736" s="80"/>
    </row>
    <row r="737" ht="15.75" customHeight="1">
      <c r="A737" s="73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  <c r="AA737" s="80"/>
    </row>
    <row r="738" ht="15.75" customHeight="1">
      <c r="A738" s="73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  <c r="AA738" s="80"/>
    </row>
    <row r="739" ht="15.75" customHeight="1">
      <c r="A739" s="73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  <c r="AA739" s="80"/>
    </row>
    <row r="740" ht="15.75" customHeight="1">
      <c r="A740" s="73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  <c r="AA740" s="80"/>
    </row>
    <row r="741" ht="15.75" customHeight="1">
      <c r="A741" s="73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  <c r="AA741" s="80"/>
    </row>
    <row r="742" ht="15.75" customHeight="1">
      <c r="A742" s="73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  <c r="AA742" s="80"/>
    </row>
    <row r="743" ht="15.75" customHeight="1">
      <c r="A743" s="73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  <c r="AA743" s="80"/>
    </row>
    <row r="744" ht="15.75" customHeight="1">
      <c r="A744" s="73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  <c r="AA744" s="80"/>
    </row>
    <row r="745" ht="15.75" customHeight="1">
      <c r="A745" s="73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  <c r="AA745" s="80"/>
    </row>
    <row r="746" ht="15.75" customHeight="1">
      <c r="A746" s="73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  <c r="AA746" s="80"/>
    </row>
    <row r="747" ht="15.75" customHeight="1">
      <c r="A747" s="73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  <c r="AA747" s="80"/>
    </row>
    <row r="748" ht="15.75" customHeight="1">
      <c r="A748" s="73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  <c r="AA748" s="80"/>
    </row>
    <row r="749" ht="15.75" customHeight="1">
      <c r="A749" s="73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  <c r="AA749" s="80"/>
    </row>
    <row r="750" ht="15.75" customHeight="1">
      <c r="A750" s="73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  <c r="AA750" s="80"/>
    </row>
    <row r="751" ht="15.75" customHeight="1">
      <c r="A751" s="73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  <c r="AA751" s="80"/>
    </row>
    <row r="752" ht="15.75" customHeight="1">
      <c r="A752" s="73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  <c r="AA752" s="80"/>
    </row>
    <row r="753" ht="15.75" customHeight="1">
      <c r="A753" s="73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  <c r="AA753" s="80"/>
    </row>
    <row r="754" ht="15.75" customHeight="1">
      <c r="A754" s="73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  <c r="AA754" s="80"/>
    </row>
    <row r="755" ht="15.75" customHeight="1">
      <c r="A755" s="73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  <c r="AA755" s="80"/>
    </row>
    <row r="756" ht="15.75" customHeight="1">
      <c r="A756" s="73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  <c r="AA756" s="80"/>
    </row>
    <row r="757" ht="15.75" customHeight="1">
      <c r="A757" s="73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  <c r="AA757" s="80"/>
    </row>
    <row r="758" ht="15.75" customHeight="1">
      <c r="A758" s="73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  <c r="AA758" s="80"/>
    </row>
    <row r="759" ht="15.75" customHeight="1">
      <c r="A759" s="73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  <c r="AA759" s="80"/>
    </row>
    <row r="760" ht="15.75" customHeight="1">
      <c r="A760" s="73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  <c r="AA760" s="80"/>
    </row>
    <row r="761" ht="15.75" customHeight="1">
      <c r="A761" s="73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  <c r="AA761" s="80"/>
    </row>
    <row r="762" ht="15.75" customHeight="1">
      <c r="A762" s="73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  <c r="AA762" s="80"/>
    </row>
    <row r="763" ht="15.75" customHeight="1">
      <c r="A763" s="73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</row>
    <row r="764" ht="15.75" customHeight="1">
      <c r="A764" s="73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  <c r="AA764" s="80"/>
    </row>
    <row r="765" ht="15.75" customHeight="1">
      <c r="A765" s="73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  <c r="AA765" s="80"/>
    </row>
    <row r="766" ht="15.75" customHeight="1">
      <c r="A766" s="73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  <c r="AA766" s="80"/>
    </row>
    <row r="767" ht="15.75" customHeight="1">
      <c r="A767" s="73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  <c r="AA767" s="80"/>
    </row>
    <row r="768" ht="15.75" customHeight="1">
      <c r="A768" s="73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  <c r="AA768" s="80"/>
    </row>
    <row r="769" ht="15.75" customHeight="1">
      <c r="A769" s="73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  <c r="AA769" s="80"/>
    </row>
    <row r="770" ht="15.75" customHeight="1">
      <c r="A770" s="73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  <c r="AA770" s="80"/>
    </row>
    <row r="771" ht="15.75" customHeight="1">
      <c r="A771" s="73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  <c r="AA771" s="80"/>
    </row>
    <row r="772" ht="15.75" customHeight="1">
      <c r="A772" s="73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  <c r="AA772" s="80"/>
    </row>
    <row r="773" ht="15.75" customHeight="1">
      <c r="A773" s="73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  <c r="AA773" s="80"/>
    </row>
    <row r="774" ht="15.75" customHeight="1">
      <c r="A774" s="73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  <c r="AA774" s="80"/>
    </row>
    <row r="775" ht="15.75" customHeight="1">
      <c r="A775" s="73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  <c r="AA775" s="80"/>
    </row>
    <row r="776" ht="15.75" customHeight="1">
      <c r="A776" s="73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  <c r="AA776" s="80"/>
    </row>
    <row r="777" ht="15.75" customHeight="1">
      <c r="A777" s="73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  <c r="AA777" s="80"/>
    </row>
    <row r="778" ht="15.75" customHeight="1">
      <c r="A778" s="73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  <c r="AA778" s="80"/>
    </row>
    <row r="779" ht="15.75" customHeight="1">
      <c r="A779" s="73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  <c r="AA779" s="80"/>
    </row>
    <row r="780" ht="15.75" customHeight="1">
      <c r="A780" s="73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  <c r="AA780" s="80"/>
    </row>
    <row r="781" ht="15.75" customHeight="1">
      <c r="A781" s="73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  <c r="AA781" s="80"/>
    </row>
    <row r="782" ht="15.75" customHeight="1">
      <c r="A782" s="73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  <c r="AA782" s="80"/>
    </row>
    <row r="783" ht="15.75" customHeight="1">
      <c r="A783" s="73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  <c r="AA783" s="80"/>
    </row>
    <row r="784" ht="15.75" customHeight="1">
      <c r="A784" s="73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  <c r="AA784" s="80"/>
    </row>
    <row r="785" ht="15.75" customHeight="1">
      <c r="A785" s="73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  <c r="AA785" s="80"/>
    </row>
    <row r="786" ht="15.75" customHeight="1">
      <c r="A786" s="73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  <c r="AA786" s="80"/>
    </row>
    <row r="787" ht="15.75" customHeight="1">
      <c r="A787" s="73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  <c r="AA787" s="80"/>
    </row>
    <row r="788" ht="15.75" customHeight="1">
      <c r="A788" s="73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  <c r="AA788" s="80"/>
    </row>
    <row r="789" ht="15.75" customHeight="1">
      <c r="A789" s="73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  <c r="AA789" s="80"/>
    </row>
    <row r="790" ht="15.75" customHeight="1">
      <c r="A790" s="73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  <c r="AA790" s="80"/>
    </row>
    <row r="791" ht="15.75" customHeight="1">
      <c r="A791" s="73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  <c r="AA791" s="80"/>
    </row>
    <row r="792" ht="15.75" customHeight="1">
      <c r="A792" s="73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  <c r="AA792" s="80"/>
    </row>
    <row r="793" ht="15.75" customHeight="1">
      <c r="A793" s="73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  <c r="AA793" s="80"/>
    </row>
    <row r="794" ht="15.75" customHeight="1">
      <c r="A794" s="73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  <c r="AA794" s="80"/>
    </row>
    <row r="795" ht="15.75" customHeight="1">
      <c r="A795" s="73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  <c r="AA795" s="80"/>
    </row>
    <row r="796" ht="15.75" customHeight="1">
      <c r="A796" s="73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  <c r="AA796" s="80"/>
    </row>
    <row r="797" ht="15.75" customHeight="1">
      <c r="A797" s="73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  <c r="AA797" s="80"/>
    </row>
    <row r="798" ht="15.75" customHeight="1">
      <c r="A798" s="73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  <c r="AA798" s="80"/>
    </row>
    <row r="799" ht="15.75" customHeight="1">
      <c r="A799" s="73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  <c r="AA799" s="80"/>
    </row>
    <row r="800" ht="15.75" customHeight="1">
      <c r="A800" s="73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  <c r="AA800" s="80"/>
    </row>
    <row r="801" ht="15.75" customHeight="1">
      <c r="A801" s="73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  <c r="AA801" s="80"/>
    </row>
    <row r="802" ht="15.75" customHeight="1">
      <c r="A802" s="73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  <c r="AA802" s="80"/>
    </row>
    <row r="803" ht="15.75" customHeight="1">
      <c r="A803" s="73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</row>
    <row r="804" ht="15.75" customHeight="1">
      <c r="A804" s="73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  <c r="AA804" s="80"/>
    </row>
    <row r="805" ht="15.75" customHeight="1">
      <c r="A805" s="73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  <c r="AA805" s="80"/>
    </row>
    <row r="806" ht="15.75" customHeight="1">
      <c r="A806" s="73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  <c r="AA806" s="80"/>
    </row>
    <row r="807" ht="15.75" customHeight="1">
      <c r="A807" s="73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  <c r="AA807" s="80"/>
    </row>
    <row r="808" ht="15.75" customHeight="1">
      <c r="A808" s="73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  <c r="AA808" s="80"/>
    </row>
    <row r="809" ht="15.75" customHeight="1">
      <c r="A809" s="73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  <c r="AA809" s="80"/>
    </row>
    <row r="810" ht="15.75" customHeight="1">
      <c r="A810" s="73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  <c r="AA810" s="80"/>
    </row>
    <row r="811" ht="15.75" customHeight="1">
      <c r="A811" s="73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  <c r="AA811" s="80"/>
    </row>
    <row r="812" ht="15.75" customHeight="1">
      <c r="A812" s="73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  <c r="AA812" s="80"/>
    </row>
    <row r="813" ht="15.75" customHeight="1">
      <c r="A813" s="73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  <c r="AA813" s="80"/>
    </row>
    <row r="814" ht="15.75" customHeight="1">
      <c r="A814" s="73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  <c r="AA814" s="80"/>
    </row>
    <row r="815" ht="15.75" customHeight="1">
      <c r="A815" s="73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  <c r="AA815" s="80"/>
    </row>
    <row r="816" ht="15.75" customHeight="1">
      <c r="A816" s="73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  <c r="AA816" s="80"/>
    </row>
    <row r="817" ht="15.75" customHeight="1">
      <c r="A817" s="73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  <c r="AA817" s="80"/>
    </row>
    <row r="818" ht="15.75" customHeight="1">
      <c r="A818" s="73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  <c r="AA818" s="80"/>
    </row>
    <row r="819" ht="15.75" customHeight="1">
      <c r="A819" s="73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  <c r="AA819" s="80"/>
    </row>
    <row r="820" ht="15.75" customHeight="1">
      <c r="A820" s="73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  <c r="AA820" s="80"/>
    </row>
    <row r="821" ht="15.75" customHeight="1">
      <c r="A821" s="73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  <c r="AA821" s="80"/>
    </row>
    <row r="822" ht="15.75" customHeight="1">
      <c r="A822" s="73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  <c r="AA822" s="80"/>
    </row>
    <row r="823" ht="15.75" customHeight="1">
      <c r="A823" s="73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  <c r="AA823" s="80"/>
    </row>
    <row r="824" ht="15.75" customHeight="1">
      <c r="A824" s="73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  <c r="AA824" s="80"/>
    </row>
    <row r="825" ht="15.75" customHeight="1">
      <c r="A825" s="73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  <c r="AA825" s="80"/>
    </row>
    <row r="826" ht="15.75" customHeight="1">
      <c r="A826" s="73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  <c r="AA826" s="80"/>
    </row>
    <row r="827" ht="15.75" customHeight="1">
      <c r="A827" s="73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  <c r="AA827" s="80"/>
    </row>
    <row r="828" ht="15.75" customHeight="1">
      <c r="A828" s="73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  <c r="AA828" s="80"/>
    </row>
    <row r="829" ht="15.75" customHeight="1">
      <c r="A829" s="73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  <c r="AA829" s="80"/>
    </row>
    <row r="830" ht="15.75" customHeight="1">
      <c r="A830" s="73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  <c r="AA830" s="80"/>
    </row>
    <row r="831" ht="15.75" customHeight="1">
      <c r="A831" s="73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  <c r="AA831" s="80"/>
    </row>
    <row r="832" ht="15.75" customHeight="1">
      <c r="A832" s="73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  <c r="AA832" s="80"/>
    </row>
    <row r="833" ht="15.75" customHeight="1">
      <c r="A833" s="73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  <c r="AA833" s="80"/>
    </row>
    <row r="834" ht="15.75" customHeight="1">
      <c r="A834" s="73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  <c r="AA834" s="80"/>
    </row>
    <row r="835" ht="15.75" customHeight="1">
      <c r="A835" s="73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  <c r="AA835" s="80"/>
    </row>
    <row r="836" ht="15.75" customHeight="1">
      <c r="A836" s="73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  <c r="AA836" s="80"/>
    </row>
    <row r="837" ht="15.75" customHeight="1">
      <c r="A837" s="73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  <c r="AA837" s="80"/>
    </row>
    <row r="838" ht="15.75" customHeight="1">
      <c r="A838" s="73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  <c r="AA838" s="80"/>
    </row>
    <row r="839" ht="15.75" customHeight="1">
      <c r="A839" s="73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  <c r="AA839" s="80"/>
    </row>
    <row r="840" ht="15.75" customHeight="1">
      <c r="A840" s="73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  <c r="AA840" s="80"/>
    </row>
    <row r="841" ht="15.75" customHeight="1">
      <c r="A841" s="73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  <c r="AA841" s="80"/>
    </row>
    <row r="842" ht="15.75" customHeight="1">
      <c r="A842" s="73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  <c r="AA842" s="80"/>
    </row>
    <row r="843" ht="15.75" customHeight="1">
      <c r="A843" s="73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</row>
    <row r="844" ht="15.75" customHeight="1">
      <c r="A844" s="73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  <c r="AA844" s="80"/>
    </row>
    <row r="845" ht="15.75" customHeight="1">
      <c r="A845" s="73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  <c r="AA845" s="80"/>
    </row>
    <row r="846" ht="15.75" customHeight="1">
      <c r="A846" s="73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  <c r="AA846" s="80"/>
    </row>
    <row r="847" ht="15.75" customHeight="1">
      <c r="A847" s="73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  <c r="AA847" s="80"/>
    </row>
    <row r="848" ht="15.75" customHeight="1">
      <c r="A848" s="73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  <c r="AA848" s="80"/>
    </row>
    <row r="849" ht="15.75" customHeight="1">
      <c r="A849" s="73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  <c r="AA849" s="80"/>
    </row>
    <row r="850" ht="15.75" customHeight="1">
      <c r="A850" s="73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  <c r="AA850" s="80"/>
    </row>
    <row r="851" ht="15.75" customHeight="1">
      <c r="A851" s="73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  <c r="AA851" s="80"/>
    </row>
    <row r="852" ht="15.75" customHeight="1">
      <c r="A852" s="73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  <c r="AA852" s="80"/>
    </row>
    <row r="853" ht="15.75" customHeight="1">
      <c r="A853" s="73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  <c r="AA853" s="80"/>
    </row>
    <row r="854" ht="15.75" customHeight="1">
      <c r="A854" s="73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  <c r="AA854" s="80"/>
    </row>
    <row r="855" ht="15.75" customHeight="1">
      <c r="A855" s="73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  <c r="AA855" s="80"/>
    </row>
    <row r="856" ht="15.75" customHeight="1">
      <c r="A856" s="73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  <c r="AA856" s="80"/>
    </row>
    <row r="857" ht="15.75" customHeight="1">
      <c r="A857" s="73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  <c r="AA857" s="80"/>
    </row>
    <row r="858" ht="15.75" customHeight="1">
      <c r="A858" s="73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  <c r="AA858" s="80"/>
    </row>
    <row r="859" ht="15.75" customHeight="1">
      <c r="A859" s="73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  <c r="AA859" s="80"/>
    </row>
    <row r="860" ht="15.75" customHeight="1">
      <c r="A860" s="73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  <c r="AA860" s="80"/>
    </row>
    <row r="861" ht="15.75" customHeight="1">
      <c r="A861" s="73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  <c r="AA861" s="80"/>
    </row>
    <row r="862" ht="15.75" customHeight="1">
      <c r="A862" s="73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  <c r="AA862" s="80"/>
    </row>
    <row r="863" ht="15.75" customHeight="1">
      <c r="A863" s="73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  <c r="AA863" s="80"/>
    </row>
    <row r="864" ht="15.75" customHeight="1">
      <c r="A864" s="73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  <c r="AA864" s="80"/>
    </row>
    <row r="865" ht="15.75" customHeight="1">
      <c r="A865" s="73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  <c r="AA865" s="80"/>
    </row>
    <row r="866" ht="15.75" customHeight="1">
      <c r="A866" s="73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  <c r="AA866" s="80"/>
    </row>
    <row r="867" ht="15.75" customHeight="1">
      <c r="A867" s="73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  <c r="AA867" s="80"/>
    </row>
    <row r="868" ht="15.75" customHeight="1">
      <c r="A868" s="73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  <c r="AA868" s="80"/>
    </row>
    <row r="869" ht="15.75" customHeight="1">
      <c r="A869" s="73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  <c r="AA869" s="80"/>
    </row>
    <row r="870" ht="15.75" customHeight="1">
      <c r="A870" s="73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  <c r="AA870" s="80"/>
    </row>
    <row r="871" ht="15.75" customHeight="1">
      <c r="A871" s="73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  <c r="AA871" s="80"/>
    </row>
    <row r="872" ht="15.75" customHeight="1">
      <c r="A872" s="73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  <c r="AA872" s="80"/>
    </row>
    <row r="873" ht="15.75" customHeight="1">
      <c r="A873" s="73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  <c r="AA873" s="80"/>
    </row>
    <row r="874" ht="15.75" customHeight="1">
      <c r="A874" s="73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  <c r="AA874" s="80"/>
    </row>
    <row r="875" ht="15.75" customHeight="1">
      <c r="A875" s="73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  <c r="AA875" s="80"/>
    </row>
    <row r="876" ht="15.75" customHeight="1">
      <c r="A876" s="73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  <c r="AA876" s="80"/>
    </row>
    <row r="877" ht="15.75" customHeight="1">
      <c r="A877" s="73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  <c r="AA877" s="80"/>
    </row>
    <row r="878" ht="15.75" customHeight="1">
      <c r="A878" s="73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  <c r="AA878" s="80"/>
    </row>
    <row r="879" ht="15.75" customHeight="1">
      <c r="A879" s="73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  <c r="AA879" s="80"/>
    </row>
    <row r="880" ht="15.75" customHeight="1">
      <c r="A880" s="73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  <c r="AA880" s="80"/>
    </row>
    <row r="881" ht="15.75" customHeight="1">
      <c r="A881" s="73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  <c r="AA881" s="80"/>
    </row>
    <row r="882" ht="15.75" customHeight="1">
      <c r="A882" s="73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  <c r="AA882" s="80"/>
    </row>
    <row r="883" ht="15.75" customHeight="1">
      <c r="A883" s="73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</row>
    <row r="884" ht="15.75" customHeight="1">
      <c r="A884" s="73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  <c r="AA884" s="80"/>
    </row>
    <row r="885" ht="15.75" customHeight="1">
      <c r="A885" s="73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  <c r="AA885" s="80"/>
    </row>
    <row r="886" ht="15.75" customHeight="1">
      <c r="A886" s="73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  <c r="AA886" s="80"/>
    </row>
    <row r="887" ht="15.75" customHeight="1">
      <c r="A887" s="73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  <c r="AA887" s="80"/>
    </row>
    <row r="888" ht="15.75" customHeight="1">
      <c r="A888" s="73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  <c r="AA888" s="80"/>
    </row>
    <row r="889" ht="15.75" customHeight="1">
      <c r="A889" s="73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  <c r="AA889" s="80"/>
    </row>
    <row r="890" ht="15.75" customHeight="1">
      <c r="A890" s="73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  <c r="AA890" s="80"/>
    </row>
    <row r="891" ht="15.75" customHeight="1">
      <c r="A891" s="73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  <c r="AA891" s="80"/>
    </row>
    <row r="892" ht="15.75" customHeight="1">
      <c r="A892" s="73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  <c r="AA892" s="80"/>
    </row>
    <row r="893" ht="15.75" customHeight="1">
      <c r="A893" s="73"/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  <c r="AA893" s="80"/>
    </row>
    <row r="894" ht="15.75" customHeight="1">
      <c r="A894" s="73"/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  <c r="AA894" s="80"/>
    </row>
    <row r="895" ht="15.75" customHeight="1">
      <c r="A895" s="73"/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  <c r="AA895" s="80"/>
    </row>
    <row r="896" ht="15.75" customHeight="1">
      <c r="A896" s="73"/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  <c r="AA896" s="80"/>
    </row>
    <row r="897" ht="15.75" customHeight="1">
      <c r="A897" s="73"/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  <c r="AA897" s="80"/>
    </row>
    <row r="898" ht="15.75" customHeight="1">
      <c r="A898" s="73"/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  <c r="AA898" s="80"/>
    </row>
    <row r="899" ht="15.75" customHeight="1">
      <c r="A899" s="73"/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  <c r="AA899" s="80"/>
    </row>
    <row r="900" ht="15.75" customHeight="1">
      <c r="A900" s="73"/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  <c r="AA900" s="80"/>
    </row>
    <row r="901" ht="15.75" customHeight="1">
      <c r="A901" s="73"/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  <c r="AA901" s="80"/>
    </row>
    <row r="902" ht="15.75" customHeight="1">
      <c r="A902" s="73"/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  <c r="AA902" s="80"/>
    </row>
    <row r="903" ht="15.75" customHeight="1">
      <c r="A903" s="73"/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  <c r="AA903" s="80"/>
    </row>
    <row r="904" ht="15.75" customHeight="1">
      <c r="A904" s="73"/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  <c r="AA904" s="80"/>
    </row>
    <row r="905" ht="15.75" customHeight="1">
      <c r="A905" s="73"/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  <c r="AA905" s="80"/>
    </row>
    <row r="906" ht="15.75" customHeight="1">
      <c r="A906" s="73"/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  <c r="AA906" s="80"/>
    </row>
    <row r="907" ht="15.75" customHeight="1">
      <c r="A907" s="73"/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  <c r="AA907" s="80"/>
    </row>
    <row r="908" ht="15.75" customHeight="1">
      <c r="A908" s="73"/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  <c r="AA908" s="80"/>
    </row>
    <row r="909" ht="15.75" customHeight="1">
      <c r="A909" s="73"/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  <c r="AA909" s="80"/>
    </row>
    <row r="910" ht="15.75" customHeight="1">
      <c r="A910" s="73"/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  <c r="AA910" s="80"/>
    </row>
    <row r="911" ht="15.75" customHeight="1">
      <c r="A911" s="73"/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  <c r="AA911" s="80"/>
    </row>
    <row r="912" ht="15.75" customHeight="1">
      <c r="A912" s="73"/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  <c r="AA912" s="80"/>
    </row>
    <row r="913" ht="15.75" customHeight="1">
      <c r="A913" s="73"/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  <c r="AA913" s="80"/>
    </row>
    <row r="914" ht="15.75" customHeight="1">
      <c r="A914" s="73"/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  <c r="AA914" s="80"/>
    </row>
    <row r="915" ht="15.75" customHeight="1">
      <c r="A915" s="73"/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  <c r="AA915" s="80"/>
    </row>
    <row r="916" ht="15.75" customHeight="1">
      <c r="A916" s="73"/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  <c r="AA916" s="80"/>
    </row>
    <row r="917" ht="15.75" customHeight="1">
      <c r="A917" s="73"/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  <c r="AA917" s="80"/>
    </row>
    <row r="918" ht="15.75" customHeight="1">
      <c r="A918" s="73"/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  <c r="AA918" s="80"/>
    </row>
    <row r="919" ht="15.75" customHeight="1">
      <c r="A919" s="73"/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  <c r="AA919" s="80"/>
    </row>
    <row r="920" ht="15.75" customHeight="1">
      <c r="A920" s="73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  <c r="AA920" s="80"/>
    </row>
    <row r="921" ht="15.75" customHeight="1">
      <c r="A921" s="73"/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  <c r="AA921" s="80"/>
    </row>
    <row r="922" ht="15.75" customHeight="1">
      <c r="A922" s="73"/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  <c r="AA922" s="80"/>
    </row>
    <row r="923" ht="15.75" customHeight="1">
      <c r="A923" s="73"/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</row>
    <row r="924" ht="15.75" customHeight="1">
      <c r="A924" s="73"/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  <c r="AA924" s="80"/>
    </row>
    <row r="925" ht="15.75" customHeight="1">
      <c r="A925" s="73"/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  <c r="AA925" s="80"/>
    </row>
    <row r="926" ht="15.75" customHeight="1">
      <c r="A926" s="73"/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  <c r="AA926" s="80"/>
    </row>
    <row r="927" ht="15.75" customHeight="1">
      <c r="A927" s="73"/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  <c r="AA927" s="80"/>
    </row>
    <row r="928" ht="15.75" customHeight="1">
      <c r="A928" s="73"/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  <c r="AA928" s="80"/>
    </row>
    <row r="929" ht="15.75" customHeight="1">
      <c r="A929" s="73"/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  <c r="AA929" s="80"/>
    </row>
    <row r="930" ht="15.75" customHeight="1">
      <c r="A930" s="73"/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  <c r="AA930" s="80"/>
    </row>
    <row r="931" ht="15.75" customHeight="1">
      <c r="A931" s="73"/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  <c r="AA931" s="80"/>
    </row>
    <row r="932" ht="15.75" customHeight="1">
      <c r="A932" s="73"/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  <c r="AA932" s="80"/>
    </row>
    <row r="933" ht="15.75" customHeight="1">
      <c r="A933" s="73"/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  <c r="AA933" s="80"/>
    </row>
    <row r="934" ht="15.75" customHeight="1">
      <c r="A934" s="73"/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  <c r="AA934" s="80"/>
    </row>
    <row r="935" ht="15.75" customHeight="1">
      <c r="A935" s="73"/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  <c r="AA935" s="80"/>
    </row>
    <row r="936" ht="15.75" customHeight="1">
      <c r="A936" s="73"/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  <c r="AA936" s="80"/>
    </row>
    <row r="937" ht="15.75" customHeight="1">
      <c r="A937" s="73"/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  <c r="AA937" s="80"/>
    </row>
    <row r="938" ht="15.75" customHeight="1">
      <c r="A938" s="73"/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  <c r="AA938" s="80"/>
    </row>
    <row r="939" ht="15.75" customHeight="1">
      <c r="A939" s="73"/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  <c r="AA939" s="80"/>
    </row>
    <row r="940" ht="15.75" customHeight="1">
      <c r="A940" s="73"/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  <c r="AA940" s="80"/>
    </row>
    <row r="941" ht="15.75" customHeight="1">
      <c r="A941" s="73"/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  <c r="AA941" s="80"/>
    </row>
    <row r="942" ht="15.75" customHeight="1">
      <c r="A942" s="73"/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  <c r="AA942" s="80"/>
    </row>
    <row r="943" ht="15.75" customHeight="1">
      <c r="A943" s="73"/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  <c r="AA943" s="80"/>
    </row>
    <row r="944" ht="15.75" customHeight="1">
      <c r="A944" s="73"/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  <c r="AA944" s="80"/>
    </row>
    <row r="945" ht="15.75" customHeight="1">
      <c r="A945" s="73"/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  <c r="AA945" s="80"/>
    </row>
    <row r="946" ht="15.75" customHeight="1">
      <c r="A946" s="73"/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  <c r="AA946" s="80"/>
    </row>
    <row r="947" ht="15.75" customHeight="1">
      <c r="A947" s="73"/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  <c r="AA947" s="80"/>
    </row>
    <row r="948" ht="15.75" customHeight="1">
      <c r="A948" s="73"/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  <c r="AA948" s="80"/>
    </row>
    <row r="949" ht="15.75" customHeight="1">
      <c r="A949" s="73"/>
      <c r="B949" s="80"/>
      <c r="C949" s="80"/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  <c r="AA949" s="80"/>
    </row>
    <row r="950" ht="15.75" customHeight="1">
      <c r="A950" s="73"/>
      <c r="B950" s="80"/>
      <c r="C950" s="80"/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  <c r="AA950" s="80"/>
    </row>
    <row r="951" ht="15.75" customHeight="1">
      <c r="A951" s="73"/>
      <c r="B951" s="80"/>
      <c r="C951" s="80"/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  <c r="AA951" s="80"/>
    </row>
    <row r="952" ht="15.75" customHeight="1">
      <c r="A952" s="73"/>
      <c r="B952" s="80"/>
      <c r="C952" s="80"/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  <c r="AA952" s="80"/>
    </row>
    <row r="953" ht="15.75" customHeight="1">
      <c r="A953" s="73"/>
      <c r="B953" s="80"/>
      <c r="C953" s="80"/>
      <c r="D953" s="80"/>
      <c r="E953" s="80"/>
      <c r="F953" s="80"/>
      <c r="G953" s="80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  <c r="AA953" s="80"/>
    </row>
    <row r="954" ht="15.75" customHeight="1">
      <c r="A954" s="73"/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  <c r="AA954" s="80"/>
    </row>
    <row r="955" ht="15.75" customHeight="1">
      <c r="A955" s="73"/>
      <c r="B955" s="80"/>
      <c r="C955" s="80"/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  <c r="AA955" s="80"/>
    </row>
    <row r="956" ht="15.75" customHeight="1">
      <c r="A956" s="73"/>
      <c r="B956" s="80"/>
      <c r="C956" s="80"/>
      <c r="D956" s="80"/>
      <c r="E956" s="80"/>
      <c r="F956" s="80"/>
      <c r="G956" s="80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  <c r="AA956" s="80"/>
    </row>
    <row r="957" ht="15.75" customHeight="1">
      <c r="A957" s="73"/>
      <c r="B957" s="80"/>
      <c r="C957" s="80"/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  <c r="AA957" s="80"/>
    </row>
    <row r="958" ht="15.75" customHeight="1">
      <c r="A958" s="73"/>
      <c r="B958" s="80"/>
      <c r="C958" s="80"/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  <c r="AA958" s="80"/>
    </row>
    <row r="959" ht="15.75" customHeight="1">
      <c r="A959" s="73"/>
      <c r="B959" s="80"/>
      <c r="C959" s="80"/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  <c r="AA959" s="80"/>
    </row>
    <row r="960" ht="15.75" customHeight="1">
      <c r="A960" s="73"/>
      <c r="B960" s="80"/>
      <c r="C960" s="80"/>
      <c r="D960" s="80"/>
      <c r="E960" s="80"/>
      <c r="F960" s="80"/>
      <c r="G960" s="80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  <c r="AA960" s="80"/>
    </row>
    <row r="961" ht="15.75" customHeight="1">
      <c r="A961" s="73"/>
      <c r="B961" s="80"/>
      <c r="C961" s="80"/>
      <c r="D961" s="80"/>
      <c r="E961" s="80"/>
      <c r="F961" s="80"/>
      <c r="G961" s="80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  <c r="AA961" s="80"/>
    </row>
    <row r="962" ht="15.75" customHeight="1">
      <c r="A962" s="73"/>
      <c r="B962" s="80"/>
      <c r="C962" s="80"/>
      <c r="D962" s="80"/>
      <c r="E962" s="80"/>
      <c r="F962" s="80"/>
      <c r="G962" s="80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  <c r="AA962" s="80"/>
    </row>
    <row r="963" ht="15.75" customHeight="1">
      <c r="A963" s="73"/>
      <c r="B963" s="80"/>
      <c r="C963" s="80"/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</row>
    <row r="964" ht="15.75" customHeight="1">
      <c r="A964" s="73"/>
      <c r="B964" s="80"/>
      <c r="C964" s="80"/>
      <c r="D964" s="80"/>
      <c r="E964" s="80"/>
      <c r="F964" s="80"/>
      <c r="G964" s="80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  <c r="AA964" s="80"/>
    </row>
    <row r="965" ht="15.75" customHeight="1">
      <c r="A965" s="73"/>
      <c r="B965" s="80"/>
      <c r="C965" s="80"/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  <c r="AA965" s="80"/>
    </row>
    <row r="966" ht="15.75" customHeight="1">
      <c r="A966" s="73"/>
      <c r="B966" s="80"/>
      <c r="C966" s="80"/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  <c r="AA966" s="80"/>
    </row>
    <row r="967" ht="15.75" customHeight="1">
      <c r="A967" s="73"/>
      <c r="B967" s="80"/>
      <c r="C967" s="80"/>
      <c r="D967" s="80"/>
      <c r="E967" s="80"/>
      <c r="F967" s="80"/>
      <c r="G967" s="80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  <c r="AA967" s="80"/>
    </row>
    <row r="968" ht="15.75" customHeight="1">
      <c r="A968" s="73"/>
      <c r="B968" s="80"/>
      <c r="C968" s="80"/>
      <c r="D968" s="80"/>
      <c r="E968" s="80"/>
      <c r="F968" s="80"/>
      <c r="G968" s="80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  <c r="AA968" s="80"/>
    </row>
    <row r="969" ht="15.75" customHeight="1">
      <c r="A969" s="73"/>
      <c r="B969" s="80"/>
      <c r="C969" s="80"/>
      <c r="D969" s="80"/>
      <c r="E969" s="80"/>
      <c r="F969" s="80"/>
      <c r="G969" s="80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  <c r="AA969" s="80"/>
    </row>
    <row r="970" ht="15.75" customHeight="1">
      <c r="A970" s="73"/>
      <c r="B970" s="80"/>
      <c r="C970" s="80"/>
      <c r="D970" s="80"/>
      <c r="E970" s="80"/>
      <c r="F970" s="80"/>
      <c r="G970" s="80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  <c r="AA970" s="80"/>
    </row>
    <row r="971" ht="15.75" customHeight="1">
      <c r="A971" s="73"/>
      <c r="B971" s="80"/>
      <c r="C971" s="80"/>
      <c r="D971" s="80"/>
      <c r="E971" s="80"/>
      <c r="F971" s="80"/>
      <c r="G971" s="80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  <c r="AA971" s="80"/>
    </row>
    <row r="972" ht="15.75" customHeight="1">
      <c r="A972" s="73"/>
      <c r="B972" s="80"/>
      <c r="C972" s="80"/>
      <c r="D972" s="80"/>
      <c r="E972" s="80"/>
      <c r="F972" s="80"/>
      <c r="G972" s="80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  <c r="AA972" s="80"/>
    </row>
    <row r="973" ht="15.75" customHeight="1">
      <c r="A973" s="73"/>
      <c r="B973" s="80"/>
      <c r="C973" s="80"/>
      <c r="D973" s="80"/>
      <c r="E973" s="80"/>
      <c r="F973" s="80"/>
      <c r="G973" s="80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  <c r="AA973" s="80"/>
    </row>
    <row r="974" ht="15.75" customHeight="1">
      <c r="A974" s="73"/>
      <c r="B974" s="80"/>
      <c r="C974" s="80"/>
      <c r="D974" s="80"/>
      <c r="E974" s="80"/>
      <c r="F974" s="80"/>
      <c r="G974" s="80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  <c r="AA974" s="80"/>
    </row>
  </sheetData>
  <mergeCells count="1">
    <mergeCell ref="A1:N1"/>
  </mergeCells>
  <dataValidations>
    <dataValidation type="list" allowBlank="1" showErrorMessage="1" sqref="I556:I603 B623:B664">
      <formula1>#REF!</formula1>
    </dataValidation>
    <dataValidation type="list" allowBlank="1" showErrorMessage="1" sqref="I493:I537 B527:B593">
      <formula1>#REF!</formula1>
    </dataValidation>
    <dataValidation type="list" allowBlank="1" showErrorMessage="1" sqref="J141:J202 C174:C235">
      <formula1>#REF!</formula1>
    </dataValidation>
    <dataValidation type="list" allowBlank="1" showErrorMessage="1" sqref="J556:J603 C623:C664">
      <formula1>#REF!</formula1>
    </dataValidation>
    <dataValidation type="list" allowBlank="1" showErrorMessage="1" sqref="I460:I492 B490:B526">
      <formula1>#REF!</formula1>
    </dataValidation>
    <dataValidation type="list" allowBlank="1" showErrorMessage="1" sqref="J538:J555 C594:C622">
      <formula1>#REF!</formula1>
    </dataValidation>
    <dataValidation type="list" allowBlank="1" showErrorMessage="1" sqref="I73:I140 B90:B173">
      <formula1>#REF!</formula1>
    </dataValidation>
    <dataValidation type="list" allowBlank="1" showErrorMessage="1" sqref="B3:B9 I3:I9 I42:I48 B54:B61">
      <formula1>#REF!</formula1>
    </dataValidation>
    <dataValidation type="list" allowBlank="1" showErrorMessage="1" sqref="I538:I555 B594:B622">
      <formula1>#REF!</formula1>
    </dataValidation>
    <dataValidation type="list" allowBlank="1" showErrorMessage="1" sqref="J460:J492 C490:C526">
      <formula1>#REF!</formula1>
    </dataValidation>
    <dataValidation type="list" allowBlank="1" showErrorMessage="1" sqref="J493:J537 C527:C593">
      <formula1>#REF!</formula1>
    </dataValidation>
    <dataValidation type="list" allowBlank="1" showErrorMessage="1" sqref="J73:J140 C90:C173">
      <formula1>#REF!</formula1>
    </dataValidation>
    <dataValidation type="list" allowBlank="1" showErrorMessage="1" sqref="I141:I202 B174:B235">
      <formula1>#REF!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4125"/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47.29"/>
    <col customWidth="1" min="3" max="4" width="19.29"/>
    <col customWidth="1" min="5" max="5" width="20.0"/>
    <col customWidth="1" min="6" max="6" width="50.71"/>
    <col customWidth="1" min="7" max="7" width="24.71"/>
    <col customWidth="1" min="8" max="8" width="15.57"/>
    <col customWidth="1" min="9" max="10" width="14.57"/>
    <col customWidth="1" min="11" max="11" width="63.71"/>
    <col customWidth="1" min="12" max="12" width="32.0"/>
    <col customWidth="1" min="13" max="13" width="11.0"/>
  </cols>
  <sheetData>
    <row r="1" ht="14.25" customHeight="1">
      <c r="A1" s="131" t="s">
        <v>1312</v>
      </c>
    </row>
    <row r="2" ht="14.25" customHeight="1"/>
    <row r="3" ht="14.25" customHeight="1"/>
    <row r="4" ht="14.25" customHeight="1">
      <c r="A4" s="132" t="s">
        <v>1313</v>
      </c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4"/>
    </row>
    <row r="5" ht="14.25" customHeight="1"/>
    <row r="6" ht="14.25" customHeight="1">
      <c r="A6" s="135" t="s">
        <v>1314</v>
      </c>
      <c r="B6" s="136"/>
      <c r="C6" s="136"/>
      <c r="D6" s="136"/>
      <c r="E6" s="136"/>
      <c r="F6" s="136"/>
      <c r="G6" s="137"/>
    </row>
    <row r="7" ht="14.25" customHeight="1">
      <c r="A7" s="138" t="s">
        <v>1315</v>
      </c>
      <c r="B7" s="139"/>
      <c r="C7" s="139"/>
      <c r="D7" s="139"/>
      <c r="E7" s="139"/>
      <c r="F7" s="139"/>
      <c r="G7" s="140"/>
    </row>
    <row r="8" ht="14.25" customHeight="1">
      <c r="A8" s="141" t="s">
        <v>1316</v>
      </c>
      <c r="B8" s="142"/>
      <c r="C8" s="142"/>
      <c r="D8" s="142"/>
      <c r="E8" s="142"/>
      <c r="F8" s="142"/>
      <c r="G8" s="143"/>
    </row>
    <row r="9" ht="14.25" customHeight="1">
      <c r="A9" s="144" t="s">
        <v>1317</v>
      </c>
      <c r="B9" s="142"/>
      <c r="C9" s="142"/>
      <c r="D9" s="142"/>
      <c r="E9" s="142"/>
      <c r="F9" s="142"/>
      <c r="G9" s="143"/>
    </row>
    <row r="10" ht="14.25" customHeight="1">
      <c r="A10" s="145" t="s">
        <v>1318</v>
      </c>
      <c r="B10" s="142"/>
      <c r="C10" s="142"/>
      <c r="D10" s="142"/>
      <c r="E10" s="142"/>
      <c r="F10" s="142"/>
      <c r="G10" s="143"/>
    </row>
    <row r="11" ht="14.25" customHeight="1">
      <c r="A11" s="146" t="s">
        <v>1319</v>
      </c>
      <c r="B11" s="147"/>
      <c r="C11" s="147"/>
      <c r="D11" s="147"/>
      <c r="E11" s="147"/>
      <c r="F11" s="147"/>
      <c r="G11" s="148"/>
    </row>
    <row r="12" ht="14.25" customHeight="1"/>
    <row r="13" ht="14.25" customHeight="1"/>
    <row r="14" ht="14.25" customHeight="1">
      <c r="A14" s="149" t="s">
        <v>1320</v>
      </c>
      <c r="B14" s="150"/>
      <c r="C14" s="150"/>
      <c r="D14" s="150"/>
      <c r="E14" s="150"/>
      <c r="F14" s="150"/>
      <c r="G14" s="150"/>
      <c r="H14" s="150"/>
      <c r="I14" s="150"/>
      <c r="J14" s="150"/>
      <c r="K14" s="150"/>
      <c r="L14" s="151"/>
      <c r="M14" s="152"/>
    </row>
    <row r="15" ht="15.0" customHeight="1">
      <c r="A15" s="153"/>
      <c r="B15" s="154"/>
      <c r="C15" s="154"/>
      <c r="D15" s="154"/>
      <c r="E15" s="154"/>
      <c r="F15" s="154"/>
      <c r="G15" s="154"/>
      <c r="H15" s="154"/>
      <c r="I15" s="154"/>
      <c r="J15" s="154"/>
      <c r="K15" s="154"/>
      <c r="L15" s="155"/>
      <c r="M15" s="152"/>
    </row>
    <row r="16" ht="14.25" customHeight="1">
      <c r="A16" s="156" t="s">
        <v>1</v>
      </c>
      <c r="B16" s="156" t="s">
        <v>1321</v>
      </c>
      <c r="C16" s="157" t="s">
        <v>1322</v>
      </c>
      <c r="D16" s="158" t="s">
        <v>1323</v>
      </c>
      <c r="E16" s="159" t="s">
        <v>1324</v>
      </c>
      <c r="F16" s="156" t="s">
        <v>1325</v>
      </c>
      <c r="G16" s="156" t="s">
        <v>1326</v>
      </c>
      <c r="H16" s="156" t="s">
        <v>1327</v>
      </c>
      <c r="I16" s="156" t="s">
        <v>1328</v>
      </c>
      <c r="J16" s="156" t="s">
        <v>1329</v>
      </c>
      <c r="K16" s="156" t="s">
        <v>1330</v>
      </c>
      <c r="L16" s="160" t="s">
        <v>1321</v>
      </c>
    </row>
    <row r="17" ht="14.25" customHeight="1">
      <c r="A17" s="20" t="s">
        <v>1331</v>
      </c>
      <c r="B17" s="20" t="s">
        <v>28</v>
      </c>
      <c r="C17" s="161">
        <v>2555.4276</v>
      </c>
      <c r="D17" s="162">
        <f t="shared" ref="D17:D167" si="1">C17*15/100</f>
        <v>383.31414</v>
      </c>
      <c r="E17" s="162">
        <f t="shared" ref="E17:E167" si="2">D17*12</f>
        <v>4599.76968</v>
      </c>
      <c r="F17" s="20" t="s">
        <v>1332</v>
      </c>
      <c r="G17" s="20">
        <f>((56*4)*12)*4</f>
        <v>10752</v>
      </c>
      <c r="H17" s="20" t="s">
        <v>1333</v>
      </c>
      <c r="I17" s="20" t="s">
        <v>1334</v>
      </c>
      <c r="J17" s="20" t="s">
        <v>1335</v>
      </c>
      <c r="K17" s="20" t="s">
        <v>1336</v>
      </c>
      <c r="L17" s="21" t="s">
        <v>28</v>
      </c>
    </row>
    <row r="18" ht="14.25" customHeight="1">
      <c r="A18" s="20" t="s">
        <v>1331</v>
      </c>
      <c r="B18" s="20" t="s">
        <v>29</v>
      </c>
      <c r="C18" s="161">
        <v>2567.04756</v>
      </c>
      <c r="D18" s="162">
        <f t="shared" si="1"/>
        <v>385.057134</v>
      </c>
      <c r="E18" s="162">
        <f t="shared" si="2"/>
        <v>4620.685608</v>
      </c>
      <c r="F18" s="20" t="s">
        <v>1337</v>
      </c>
      <c r="G18" s="20">
        <f>((52*4)*12)*4</f>
        <v>9984</v>
      </c>
      <c r="H18" s="20" t="s">
        <v>1333</v>
      </c>
      <c r="I18" s="20" t="s">
        <v>1338</v>
      </c>
      <c r="J18" s="20" t="s">
        <v>1339</v>
      </c>
      <c r="K18" s="20" t="s">
        <v>1340</v>
      </c>
      <c r="L18" s="21" t="s">
        <v>29</v>
      </c>
    </row>
    <row r="19" ht="14.25" customHeight="1">
      <c r="A19" s="20" t="s">
        <v>1331</v>
      </c>
      <c r="B19" s="20" t="s">
        <v>30</v>
      </c>
      <c r="C19" s="161">
        <v>588.69591</v>
      </c>
      <c r="D19" s="162">
        <f t="shared" si="1"/>
        <v>88.3043865</v>
      </c>
      <c r="E19" s="162">
        <f t="shared" si="2"/>
        <v>1059.652638</v>
      </c>
      <c r="F19" s="163" t="s">
        <v>1341</v>
      </c>
      <c r="G19" s="20">
        <f>((5*4)*12)*4</f>
        <v>960</v>
      </c>
      <c r="H19" s="163" t="s">
        <v>1333</v>
      </c>
      <c r="I19" s="20" t="s">
        <v>1334</v>
      </c>
      <c r="J19" s="163" t="s">
        <v>1335</v>
      </c>
      <c r="K19" s="163" t="s">
        <v>1340</v>
      </c>
      <c r="L19" s="163" t="s">
        <v>30</v>
      </c>
    </row>
    <row r="20" ht="14.25" customHeight="1">
      <c r="A20" s="20" t="s">
        <v>1331</v>
      </c>
      <c r="B20" s="20" t="s">
        <v>31</v>
      </c>
      <c r="C20" s="161">
        <v>336.3624</v>
      </c>
      <c r="D20" s="162">
        <f t="shared" si="1"/>
        <v>50.45436</v>
      </c>
      <c r="E20" s="162">
        <f t="shared" si="2"/>
        <v>605.45232</v>
      </c>
      <c r="F20" s="163" t="s">
        <v>1341</v>
      </c>
      <c r="G20" s="20" t="s">
        <v>1342</v>
      </c>
      <c r="H20" s="163" t="s">
        <v>1333</v>
      </c>
      <c r="I20" s="20" t="s">
        <v>1334</v>
      </c>
      <c r="J20" s="20" t="s">
        <v>1339</v>
      </c>
      <c r="K20" s="20" t="s">
        <v>1340</v>
      </c>
      <c r="L20" s="21" t="s">
        <v>30</v>
      </c>
    </row>
    <row r="21" ht="14.25" customHeight="1">
      <c r="A21" s="20" t="s">
        <v>1331</v>
      </c>
      <c r="B21" s="20" t="s">
        <v>32</v>
      </c>
      <c r="C21" s="161">
        <v>3461.3887</v>
      </c>
      <c r="D21" s="162">
        <f t="shared" si="1"/>
        <v>519.208305</v>
      </c>
      <c r="E21" s="162">
        <f t="shared" si="2"/>
        <v>6230.49966</v>
      </c>
      <c r="F21" s="20" t="s">
        <v>1343</v>
      </c>
      <c r="G21" s="20">
        <f>((40*4)*12)*4</f>
        <v>7680</v>
      </c>
      <c r="H21" s="163" t="s">
        <v>1333</v>
      </c>
      <c r="I21" s="20" t="s">
        <v>1344</v>
      </c>
      <c r="J21" s="20" t="s">
        <v>1339</v>
      </c>
      <c r="K21" s="20" t="s">
        <v>1343</v>
      </c>
      <c r="L21" s="21" t="s">
        <v>32</v>
      </c>
    </row>
    <row r="22" ht="14.25" customHeight="1">
      <c r="A22" s="20" t="s">
        <v>1331</v>
      </c>
      <c r="B22" s="20" t="s">
        <v>33</v>
      </c>
      <c r="C22" s="161">
        <v>3810.82845</v>
      </c>
      <c r="D22" s="162">
        <f t="shared" si="1"/>
        <v>571.6242675</v>
      </c>
      <c r="E22" s="162">
        <f t="shared" si="2"/>
        <v>6859.49121</v>
      </c>
      <c r="F22" s="163" t="s">
        <v>1345</v>
      </c>
      <c r="G22" s="20">
        <f>((72*4)*12)*4</f>
        <v>13824</v>
      </c>
      <c r="H22" s="163" t="s">
        <v>1333</v>
      </c>
      <c r="I22" s="163" t="s">
        <v>1346</v>
      </c>
      <c r="J22" s="163" t="s">
        <v>1335</v>
      </c>
      <c r="K22" s="163" t="s">
        <v>1347</v>
      </c>
      <c r="L22" s="163" t="s">
        <v>33</v>
      </c>
    </row>
    <row r="23" ht="14.25" customHeight="1">
      <c r="A23" s="20" t="s">
        <v>1331</v>
      </c>
      <c r="B23" s="20" t="s">
        <v>34</v>
      </c>
      <c r="C23" s="161">
        <v>560.7305</v>
      </c>
      <c r="D23" s="162">
        <f t="shared" si="1"/>
        <v>84.109575</v>
      </c>
      <c r="E23" s="162">
        <f t="shared" si="2"/>
        <v>1009.3149</v>
      </c>
      <c r="F23" s="20" t="s">
        <v>1348</v>
      </c>
      <c r="G23" s="20">
        <f>((52*4)*12)*4</f>
        <v>9984</v>
      </c>
      <c r="H23" s="20" t="s">
        <v>1333</v>
      </c>
      <c r="I23" s="20" t="s">
        <v>1334</v>
      </c>
      <c r="J23" s="20" t="s">
        <v>1335</v>
      </c>
      <c r="K23" s="20" t="s">
        <v>1349</v>
      </c>
      <c r="L23" s="21" t="s">
        <v>34</v>
      </c>
    </row>
    <row r="24" ht="14.25" customHeight="1">
      <c r="A24" s="20"/>
      <c r="B24" s="20"/>
      <c r="C24" s="161"/>
      <c r="D24" s="162">
        <f t="shared" si="1"/>
        <v>0</v>
      </c>
      <c r="E24" s="162">
        <f t="shared" si="2"/>
        <v>0</v>
      </c>
      <c r="F24" s="20"/>
      <c r="G24" s="20"/>
      <c r="H24" s="20"/>
      <c r="I24" s="20"/>
      <c r="J24" s="20"/>
      <c r="K24" s="20"/>
      <c r="L24" s="21"/>
    </row>
    <row r="25" ht="14.25" customHeight="1">
      <c r="A25" s="20"/>
      <c r="B25" s="161"/>
      <c r="C25" s="161"/>
      <c r="D25" s="162">
        <f t="shared" si="1"/>
        <v>0</v>
      </c>
      <c r="E25" s="162">
        <f t="shared" si="2"/>
        <v>0</v>
      </c>
      <c r="F25" s="161"/>
      <c r="G25" s="161"/>
      <c r="H25" s="161"/>
      <c r="I25" s="161"/>
      <c r="J25" s="161"/>
      <c r="K25" s="161"/>
      <c r="L25" s="161"/>
    </row>
    <row r="26" ht="14.25" customHeight="1">
      <c r="A26" s="20"/>
      <c r="B26" s="20"/>
      <c r="C26" s="161"/>
      <c r="D26" s="162">
        <f t="shared" si="1"/>
        <v>0</v>
      </c>
      <c r="E26" s="162">
        <f t="shared" si="2"/>
        <v>0</v>
      </c>
      <c r="F26" s="20"/>
      <c r="G26" s="20"/>
      <c r="H26" s="20"/>
      <c r="I26" s="20"/>
      <c r="J26" s="20"/>
      <c r="K26" s="20"/>
      <c r="L26" s="21"/>
    </row>
    <row r="27" ht="14.25" customHeight="1">
      <c r="A27" s="20"/>
      <c r="B27" s="20"/>
      <c r="C27" s="161"/>
      <c r="D27" s="162">
        <f t="shared" si="1"/>
        <v>0</v>
      </c>
      <c r="E27" s="162">
        <f t="shared" si="2"/>
        <v>0</v>
      </c>
      <c r="F27" s="20"/>
      <c r="G27" s="20"/>
      <c r="H27" s="20"/>
      <c r="I27" s="20"/>
      <c r="J27" s="20"/>
      <c r="K27" s="20"/>
      <c r="L27" s="21"/>
    </row>
    <row r="28" ht="14.25" customHeight="1">
      <c r="A28" s="20"/>
      <c r="B28" s="161"/>
      <c r="C28" s="161"/>
      <c r="D28" s="162">
        <f t="shared" si="1"/>
        <v>0</v>
      </c>
      <c r="E28" s="162">
        <f t="shared" si="2"/>
        <v>0</v>
      </c>
      <c r="F28" s="161"/>
      <c r="G28" s="161"/>
      <c r="H28" s="161"/>
      <c r="I28" s="161"/>
      <c r="J28" s="161"/>
      <c r="K28" s="161"/>
      <c r="L28" s="161"/>
    </row>
    <row r="29" ht="14.25" customHeight="1">
      <c r="A29" s="20"/>
      <c r="B29" s="20"/>
      <c r="C29" s="161"/>
      <c r="D29" s="162">
        <f t="shared" si="1"/>
        <v>0</v>
      </c>
      <c r="E29" s="162">
        <f t="shared" si="2"/>
        <v>0</v>
      </c>
      <c r="F29" s="20"/>
      <c r="G29" s="20"/>
      <c r="H29" s="20"/>
      <c r="I29" s="20"/>
      <c r="J29" s="20"/>
      <c r="K29" s="20"/>
      <c r="L29" s="21"/>
    </row>
    <row r="30" ht="14.25" customHeight="1">
      <c r="A30" s="20"/>
      <c r="B30" s="20"/>
      <c r="C30" s="161"/>
      <c r="D30" s="162">
        <f t="shared" si="1"/>
        <v>0</v>
      </c>
      <c r="E30" s="162">
        <f t="shared" si="2"/>
        <v>0</v>
      </c>
      <c r="F30" s="20"/>
      <c r="G30" s="20"/>
      <c r="H30" s="20"/>
      <c r="I30" s="20"/>
      <c r="J30" s="20"/>
      <c r="K30" s="20"/>
      <c r="L30" s="21"/>
    </row>
    <row r="31" ht="14.25" customHeight="1">
      <c r="A31" s="20"/>
      <c r="B31" s="161"/>
      <c r="C31" s="161"/>
      <c r="D31" s="162">
        <f t="shared" si="1"/>
        <v>0</v>
      </c>
      <c r="E31" s="162">
        <f t="shared" si="2"/>
        <v>0</v>
      </c>
      <c r="F31" s="161"/>
      <c r="G31" s="161"/>
      <c r="H31" s="161"/>
      <c r="I31" s="161"/>
      <c r="J31" s="161"/>
      <c r="K31" s="161"/>
      <c r="L31" s="161"/>
    </row>
    <row r="32" ht="14.25" customHeight="1">
      <c r="A32" s="20"/>
      <c r="B32" s="20"/>
      <c r="C32" s="161"/>
      <c r="D32" s="162">
        <f t="shared" si="1"/>
        <v>0</v>
      </c>
      <c r="E32" s="162">
        <f t="shared" si="2"/>
        <v>0</v>
      </c>
      <c r="F32" s="20"/>
      <c r="G32" s="20"/>
      <c r="H32" s="20"/>
      <c r="I32" s="20"/>
      <c r="J32" s="20"/>
      <c r="K32" s="20"/>
      <c r="L32" s="21"/>
    </row>
    <row r="33" ht="14.25" customHeight="1">
      <c r="A33" s="20"/>
      <c r="B33" s="20"/>
      <c r="C33" s="161"/>
      <c r="D33" s="162">
        <f t="shared" si="1"/>
        <v>0</v>
      </c>
      <c r="E33" s="162">
        <f t="shared" si="2"/>
        <v>0</v>
      </c>
      <c r="F33" s="20"/>
      <c r="G33" s="20"/>
      <c r="H33" s="20"/>
      <c r="I33" s="20"/>
      <c r="J33" s="20"/>
      <c r="K33" s="20"/>
      <c r="L33" s="21"/>
    </row>
    <row r="34" ht="14.25" customHeight="1">
      <c r="A34" s="20"/>
      <c r="B34" s="20"/>
      <c r="C34" s="161"/>
      <c r="D34" s="162">
        <f t="shared" si="1"/>
        <v>0</v>
      </c>
      <c r="E34" s="162">
        <f t="shared" si="2"/>
        <v>0</v>
      </c>
      <c r="F34" s="20"/>
      <c r="G34" s="20"/>
      <c r="H34" s="20"/>
      <c r="I34" s="20"/>
      <c r="J34" s="20"/>
      <c r="K34" s="20"/>
      <c r="L34" s="21"/>
    </row>
    <row r="35" ht="14.25" customHeight="1">
      <c r="A35" s="20"/>
      <c r="B35" s="20"/>
      <c r="C35" s="161"/>
      <c r="D35" s="162">
        <f t="shared" si="1"/>
        <v>0</v>
      </c>
      <c r="E35" s="162">
        <f t="shared" si="2"/>
        <v>0</v>
      </c>
      <c r="F35" s="20"/>
      <c r="G35" s="20"/>
      <c r="H35" s="20"/>
      <c r="I35" s="20"/>
      <c r="J35" s="20"/>
      <c r="K35" s="20"/>
      <c r="L35" s="21"/>
    </row>
    <row r="36" ht="14.25" customHeight="1">
      <c r="A36" s="20"/>
      <c r="B36" s="20"/>
      <c r="C36" s="161"/>
      <c r="D36" s="162">
        <f t="shared" si="1"/>
        <v>0</v>
      </c>
      <c r="E36" s="162">
        <f t="shared" si="2"/>
        <v>0</v>
      </c>
      <c r="F36" s="20"/>
      <c r="G36" s="20"/>
      <c r="H36" s="20"/>
      <c r="I36" s="20"/>
      <c r="J36" s="20"/>
      <c r="K36" s="20"/>
      <c r="L36" s="21"/>
    </row>
    <row r="37" ht="14.25" customHeight="1">
      <c r="A37" s="20"/>
      <c r="B37" s="161"/>
      <c r="C37" s="161"/>
      <c r="D37" s="162">
        <f t="shared" si="1"/>
        <v>0</v>
      </c>
      <c r="E37" s="162">
        <f t="shared" si="2"/>
        <v>0</v>
      </c>
      <c r="F37" s="161"/>
      <c r="G37" s="161"/>
      <c r="H37" s="161"/>
      <c r="I37" s="161"/>
      <c r="J37" s="161"/>
      <c r="K37" s="161"/>
      <c r="L37" s="161"/>
    </row>
    <row r="38" ht="14.25" customHeight="1">
      <c r="A38" s="20"/>
      <c r="B38" s="20"/>
      <c r="C38" s="161"/>
      <c r="D38" s="162">
        <f t="shared" si="1"/>
        <v>0</v>
      </c>
      <c r="E38" s="162">
        <f t="shared" si="2"/>
        <v>0</v>
      </c>
      <c r="F38" s="20"/>
      <c r="G38" s="20"/>
      <c r="H38" s="20"/>
      <c r="I38" s="20"/>
      <c r="J38" s="20"/>
      <c r="K38" s="20"/>
      <c r="L38" s="21"/>
    </row>
    <row r="39" ht="14.25" customHeight="1">
      <c r="A39" s="20"/>
      <c r="B39" s="20"/>
      <c r="C39" s="161"/>
      <c r="D39" s="162">
        <f t="shared" si="1"/>
        <v>0</v>
      </c>
      <c r="E39" s="162">
        <f t="shared" si="2"/>
        <v>0</v>
      </c>
      <c r="F39" s="20"/>
      <c r="G39" s="20"/>
      <c r="H39" s="20"/>
      <c r="I39" s="20"/>
      <c r="J39" s="20"/>
      <c r="K39" s="20"/>
      <c r="L39" s="21"/>
    </row>
    <row r="40" ht="14.25" customHeight="1">
      <c r="A40" s="20"/>
      <c r="B40" s="161"/>
      <c r="C40" s="161"/>
      <c r="D40" s="162">
        <f t="shared" si="1"/>
        <v>0</v>
      </c>
      <c r="E40" s="162">
        <f t="shared" si="2"/>
        <v>0</v>
      </c>
      <c r="F40" s="161"/>
      <c r="G40" s="161"/>
      <c r="H40" s="161"/>
      <c r="I40" s="161"/>
      <c r="J40" s="161"/>
      <c r="K40" s="161"/>
      <c r="L40" s="161"/>
    </row>
    <row r="41" ht="14.25" customHeight="1">
      <c r="A41" s="20"/>
      <c r="B41" s="20"/>
      <c r="C41" s="161"/>
      <c r="D41" s="162">
        <f t="shared" si="1"/>
        <v>0</v>
      </c>
      <c r="E41" s="162">
        <f t="shared" si="2"/>
        <v>0</v>
      </c>
      <c r="F41" s="20"/>
      <c r="G41" s="20"/>
      <c r="H41" s="20"/>
      <c r="I41" s="20"/>
      <c r="J41" s="20"/>
      <c r="K41" s="20"/>
      <c r="L41" s="21"/>
    </row>
    <row r="42" ht="14.25" customHeight="1">
      <c r="A42" s="20"/>
      <c r="B42" s="20"/>
      <c r="C42" s="161"/>
      <c r="D42" s="162">
        <f t="shared" si="1"/>
        <v>0</v>
      </c>
      <c r="E42" s="162">
        <f t="shared" si="2"/>
        <v>0</v>
      </c>
      <c r="F42" s="20"/>
      <c r="G42" s="20"/>
      <c r="H42" s="20"/>
      <c r="I42" s="20"/>
      <c r="J42" s="20"/>
      <c r="K42" s="20"/>
      <c r="L42" s="21"/>
    </row>
    <row r="43" ht="14.25" customHeight="1">
      <c r="A43" s="20"/>
      <c r="B43" s="161"/>
      <c r="C43" s="161"/>
      <c r="D43" s="162">
        <f t="shared" si="1"/>
        <v>0</v>
      </c>
      <c r="E43" s="162">
        <f t="shared" si="2"/>
        <v>0</v>
      </c>
      <c r="F43" s="161"/>
      <c r="G43" s="161"/>
      <c r="H43" s="161"/>
      <c r="I43" s="161"/>
      <c r="J43" s="161"/>
      <c r="K43" s="161"/>
      <c r="L43" s="161"/>
    </row>
    <row r="44" ht="14.25" customHeight="1">
      <c r="A44" s="20"/>
      <c r="B44" s="20"/>
      <c r="C44" s="161"/>
      <c r="D44" s="162">
        <f t="shared" si="1"/>
        <v>0</v>
      </c>
      <c r="E44" s="162">
        <f t="shared" si="2"/>
        <v>0</v>
      </c>
      <c r="F44" s="20"/>
      <c r="G44" s="20"/>
      <c r="H44" s="20"/>
      <c r="I44" s="20"/>
      <c r="J44" s="20"/>
      <c r="K44" s="20"/>
      <c r="L44" s="21"/>
    </row>
    <row r="45" ht="14.25" customHeight="1">
      <c r="A45" s="20"/>
      <c r="B45" s="20"/>
      <c r="C45" s="161"/>
      <c r="D45" s="162">
        <f t="shared" si="1"/>
        <v>0</v>
      </c>
      <c r="E45" s="162">
        <f t="shared" si="2"/>
        <v>0</v>
      </c>
      <c r="F45" s="20"/>
      <c r="G45" s="20"/>
      <c r="H45" s="20"/>
      <c r="I45" s="20"/>
      <c r="J45" s="20"/>
      <c r="K45" s="20"/>
      <c r="L45" s="21"/>
    </row>
    <row r="46" ht="14.25" customHeight="1">
      <c r="A46" s="20"/>
      <c r="B46" s="161"/>
      <c r="C46" s="161"/>
      <c r="D46" s="162">
        <f t="shared" si="1"/>
        <v>0</v>
      </c>
      <c r="E46" s="162">
        <f t="shared" si="2"/>
        <v>0</v>
      </c>
      <c r="F46" s="161"/>
      <c r="G46" s="161"/>
      <c r="H46" s="161"/>
      <c r="I46" s="161"/>
      <c r="J46" s="161"/>
      <c r="K46" s="161"/>
      <c r="L46" s="161"/>
    </row>
    <row r="47" ht="14.25" customHeight="1">
      <c r="A47" s="20"/>
      <c r="B47" s="20"/>
      <c r="C47" s="161"/>
      <c r="D47" s="162">
        <f t="shared" si="1"/>
        <v>0</v>
      </c>
      <c r="E47" s="162">
        <f t="shared" si="2"/>
        <v>0</v>
      </c>
      <c r="F47" s="20"/>
      <c r="G47" s="20"/>
      <c r="H47" s="20"/>
      <c r="I47" s="20"/>
      <c r="J47" s="20"/>
      <c r="K47" s="20"/>
      <c r="L47" s="21"/>
    </row>
    <row r="48" ht="14.25" customHeight="1">
      <c r="A48" s="20"/>
      <c r="B48" s="20"/>
      <c r="C48" s="161"/>
      <c r="D48" s="162">
        <f t="shared" si="1"/>
        <v>0</v>
      </c>
      <c r="E48" s="162">
        <f t="shared" si="2"/>
        <v>0</v>
      </c>
      <c r="F48" s="20"/>
      <c r="G48" s="20"/>
      <c r="H48" s="20"/>
      <c r="I48" s="20"/>
      <c r="J48" s="20"/>
      <c r="K48" s="20"/>
      <c r="L48" s="21"/>
    </row>
    <row r="49" ht="14.25" customHeight="1">
      <c r="A49" s="20"/>
      <c r="B49" s="161"/>
      <c r="C49" s="161"/>
      <c r="D49" s="162">
        <f t="shared" si="1"/>
        <v>0</v>
      </c>
      <c r="E49" s="162">
        <f t="shared" si="2"/>
        <v>0</v>
      </c>
      <c r="F49" s="161"/>
      <c r="G49" s="161"/>
      <c r="H49" s="161"/>
      <c r="I49" s="161"/>
      <c r="J49" s="161"/>
      <c r="K49" s="161"/>
      <c r="L49" s="161"/>
    </row>
    <row r="50" ht="14.25" customHeight="1">
      <c r="A50" s="20"/>
      <c r="B50" s="20"/>
      <c r="C50" s="161"/>
      <c r="D50" s="162">
        <f t="shared" si="1"/>
        <v>0</v>
      </c>
      <c r="E50" s="162">
        <f t="shared" si="2"/>
        <v>0</v>
      </c>
      <c r="F50" s="20"/>
      <c r="G50" s="20"/>
      <c r="H50" s="20"/>
      <c r="I50" s="20"/>
      <c r="J50" s="20"/>
      <c r="K50" s="20"/>
      <c r="L50" s="21"/>
    </row>
    <row r="51" ht="14.25" customHeight="1">
      <c r="A51" s="20"/>
      <c r="B51" s="20"/>
      <c r="C51" s="161"/>
      <c r="D51" s="162">
        <f t="shared" si="1"/>
        <v>0</v>
      </c>
      <c r="E51" s="162">
        <f t="shared" si="2"/>
        <v>0</v>
      </c>
      <c r="F51" s="20"/>
      <c r="G51" s="20"/>
      <c r="H51" s="20"/>
      <c r="I51" s="20"/>
      <c r="J51" s="20"/>
      <c r="K51" s="20"/>
      <c r="L51" s="21"/>
    </row>
    <row r="52" ht="14.25" customHeight="1">
      <c r="A52" s="20"/>
      <c r="B52" s="161"/>
      <c r="C52" s="161"/>
      <c r="D52" s="162">
        <f t="shared" si="1"/>
        <v>0</v>
      </c>
      <c r="E52" s="162">
        <f t="shared" si="2"/>
        <v>0</v>
      </c>
      <c r="F52" s="161"/>
      <c r="G52" s="161"/>
      <c r="H52" s="161"/>
      <c r="I52" s="161"/>
      <c r="J52" s="161"/>
      <c r="K52" s="161"/>
      <c r="L52" s="161"/>
    </row>
    <row r="53" ht="14.25" customHeight="1">
      <c r="A53" s="20"/>
      <c r="B53" s="20"/>
      <c r="C53" s="161"/>
      <c r="D53" s="162">
        <f t="shared" si="1"/>
        <v>0</v>
      </c>
      <c r="E53" s="162">
        <f t="shared" si="2"/>
        <v>0</v>
      </c>
      <c r="F53" s="20"/>
      <c r="G53" s="20"/>
      <c r="H53" s="20"/>
      <c r="I53" s="20"/>
      <c r="J53" s="20"/>
      <c r="K53" s="20"/>
      <c r="L53" s="21"/>
    </row>
    <row r="54" ht="14.25" customHeight="1">
      <c r="A54" s="20"/>
      <c r="B54" s="20"/>
      <c r="C54" s="161"/>
      <c r="D54" s="162">
        <f t="shared" si="1"/>
        <v>0</v>
      </c>
      <c r="E54" s="162">
        <f t="shared" si="2"/>
        <v>0</v>
      </c>
      <c r="F54" s="20"/>
      <c r="G54" s="20"/>
      <c r="H54" s="20"/>
      <c r="I54" s="20"/>
      <c r="J54" s="20"/>
      <c r="K54" s="20"/>
      <c r="L54" s="21"/>
    </row>
    <row r="55" ht="14.25" customHeight="1">
      <c r="A55" s="20"/>
      <c r="B55" s="161"/>
      <c r="C55" s="161"/>
      <c r="D55" s="162">
        <f t="shared" si="1"/>
        <v>0</v>
      </c>
      <c r="E55" s="162">
        <f t="shared" si="2"/>
        <v>0</v>
      </c>
      <c r="F55" s="161"/>
      <c r="G55" s="161"/>
      <c r="H55" s="161"/>
      <c r="I55" s="161"/>
      <c r="J55" s="161"/>
      <c r="K55" s="161"/>
      <c r="L55" s="161"/>
    </row>
    <row r="56" ht="14.25" customHeight="1">
      <c r="A56" s="20"/>
      <c r="B56" s="20"/>
      <c r="C56" s="161"/>
      <c r="D56" s="162">
        <f t="shared" si="1"/>
        <v>0</v>
      </c>
      <c r="E56" s="162">
        <f t="shared" si="2"/>
        <v>0</v>
      </c>
      <c r="F56" s="20"/>
      <c r="G56" s="20"/>
      <c r="H56" s="20"/>
      <c r="I56" s="20"/>
      <c r="J56" s="20"/>
      <c r="K56" s="20"/>
      <c r="L56" s="21"/>
    </row>
    <row r="57" ht="14.25" customHeight="1">
      <c r="A57" s="20"/>
      <c r="B57" s="20"/>
      <c r="C57" s="161"/>
      <c r="D57" s="162">
        <f t="shared" si="1"/>
        <v>0</v>
      </c>
      <c r="E57" s="162">
        <f t="shared" si="2"/>
        <v>0</v>
      </c>
      <c r="F57" s="20"/>
      <c r="G57" s="20"/>
      <c r="H57" s="20"/>
      <c r="I57" s="20"/>
      <c r="J57" s="20"/>
      <c r="K57" s="20"/>
      <c r="L57" s="21"/>
    </row>
    <row r="58" ht="14.25" customHeight="1">
      <c r="A58" s="20"/>
      <c r="B58" s="161"/>
      <c r="C58" s="161"/>
      <c r="D58" s="162">
        <f t="shared" si="1"/>
        <v>0</v>
      </c>
      <c r="E58" s="162">
        <f t="shared" si="2"/>
        <v>0</v>
      </c>
      <c r="F58" s="161"/>
      <c r="G58" s="161"/>
      <c r="H58" s="161"/>
      <c r="I58" s="161"/>
      <c r="J58" s="161"/>
      <c r="K58" s="161"/>
      <c r="L58" s="161"/>
    </row>
    <row r="59" ht="14.25" customHeight="1">
      <c r="A59" s="20"/>
      <c r="B59" s="20"/>
      <c r="C59" s="161"/>
      <c r="D59" s="162">
        <f t="shared" si="1"/>
        <v>0</v>
      </c>
      <c r="E59" s="162">
        <f t="shared" si="2"/>
        <v>0</v>
      </c>
      <c r="F59" s="20"/>
      <c r="G59" s="20"/>
      <c r="H59" s="20"/>
      <c r="I59" s="20"/>
      <c r="J59" s="20"/>
      <c r="K59" s="20"/>
      <c r="L59" s="21"/>
    </row>
    <row r="60" ht="14.25" customHeight="1">
      <c r="A60" s="20"/>
      <c r="B60" s="20"/>
      <c r="C60" s="161"/>
      <c r="D60" s="162">
        <f t="shared" si="1"/>
        <v>0</v>
      </c>
      <c r="E60" s="162">
        <f t="shared" si="2"/>
        <v>0</v>
      </c>
      <c r="F60" s="20"/>
      <c r="G60" s="20"/>
      <c r="H60" s="20"/>
      <c r="I60" s="20"/>
      <c r="J60" s="20"/>
      <c r="K60" s="20"/>
      <c r="L60" s="21"/>
    </row>
    <row r="61" ht="14.25" customHeight="1">
      <c r="A61" s="20"/>
      <c r="B61" s="161"/>
      <c r="C61" s="161"/>
      <c r="D61" s="162">
        <f t="shared" si="1"/>
        <v>0</v>
      </c>
      <c r="E61" s="162">
        <f t="shared" si="2"/>
        <v>0</v>
      </c>
      <c r="F61" s="161"/>
      <c r="G61" s="161"/>
      <c r="H61" s="161"/>
      <c r="I61" s="161"/>
      <c r="J61" s="161"/>
      <c r="K61" s="161"/>
      <c r="L61" s="161"/>
    </row>
    <row r="62" ht="14.25" customHeight="1">
      <c r="A62" s="20"/>
      <c r="B62" s="20"/>
      <c r="C62" s="161"/>
      <c r="D62" s="162">
        <f t="shared" si="1"/>
        <v>0</v>
      </c>
      <c r="E62" s="162">
        <f t="shared" si="2"/>
        <v>0</v>
      </c>
      <c r="F62" s="20"/>
      <c r="G62" s="20"/>
      <c r="H62" s="20"/>
      <c r="I62" s="20"/>
      <c r="J62" s="20"/>
      <c r="K62" s="20"/>
      <c r="L62" s="21"/>
    </row>
    <row r="63" ht="14.25" customHeight="1">
      <c r="A63" s="20"/>
      <c r="B63" s="20"/>
      <c r="C63" s="161"/>
      <c r="D63" s="162">
        <f t="shared" si="1"/>
        <v>0</v>
      </c>
      <c r="E63" s="162">
        <f t="shared" si="2"/>
        <v>0</v>
      </c>
      <c r="F63" s="20"/>
      <c r="G63" s="20"/>
      <c r="H63" s="20"/>
      <c r="I63" s="20"/>
      <c r="J63" s="20"/>
      <c r="K63" s="20"/>
      <c r="L63" s="21"/>
    </row>
    <row r="64" ht="14.25" customHeight="1">
      <c r="A64" s="20"/>
      <c r="B64" s="161"/>
      <c r="C64" s="161"/>
      <c r="D64" s="162">
        <f t="shared" si="1"/>
        <v>0</v>
      </c>
      <c r="E64" s="162">
        <f t="shared" si="2"/>
        <v>0</v>
      </c>
      <c r="F64" s="161"/>
      <c r="G64" s="161"/>
      <c r="H64" s="161"/>
      <c r="I64" s="161"/>
      <c r="J64" s="161"/>
      <c r="K64" s="161"/>
      <c r="L64" s="161"/>
    </row>
    <row r="65" ht="14.25" customHeight="1">
      <c r="A65" s="20"/>
      <c r="B65" s="20"/>
      <c r="C65" s="161"/>
      <c r="D65" s="162">
        <f t="shared" si="1"/>
        <v>0</v>
      </c>
      <c r="E65" s="162">
        <f t="shared" si="2"/>
        <v>0</v>
      </c>
      <c r="F65" s="20"/>
      <c r="G65" s="20"/>
      <c r="H65" s="20"/>
      <c r="I65" s="20"/>
      <c r="J65" s="20"/>
      <c r="K65" s="20"/>
      <c r="L65" s="21"/>
    </row>
    <row r="66" ht="14.25" customHeight="1">
      <c r="A66" s="20"/>
      <c r="B66" s="20"/>
      <c r="C66" s="161"/>
      <c r="D66" s="162">
        <f t="shared" si="1"/>
        <v>0</v>
      </c>
      <c r="E66" s="162">
        <f t="shared" si="2"/>
        <v>0</v>
      </c>
      <c r="F66" s="20"/>
      <c r="G66" s="20"/>
      <c r="H66" s="20"/>
      <c r="I66" s="20"/>
      <c r="J66" s="20"/>
      <c r="K66" s="20"/>
      <c r="L66" s="21"/>
    </row>
    <row r="67" ht="14.25" customHeight="1">
      <c r="A67" s="20"/>
      <c r="B67" s="161"/>
      <c r="C67" s="161"/>
      <c r="D67" s="162">
        <f t="shared" si="1"/>
        <v>0</v>
      </c>
      <c r="E67" s="162">
        <f t="shared" si="2"/>
        <v>0</v>
      </c>
      <c r="F67" s="161"/>
      <c r="G67" s="161"/>
      <c r="H67" s="161"/>
      <c r="I67" s="161"/>
      <c r="J67" s="161"/>
      <c r="K67" s="161"/>
      <c r="L67" s="161"/>
    </row>
    <row r="68" ht="14.25" customHeight="1">
      <c r="A68" s="20"/>
      <c r="B68" s="20"/>
      <c r="C68" s="161"/>
      <c r="D68" s="162">
        <f t="shared" si="1"/>
        <v>0</v>
      </c>
      <c r="E68" s="162">
        <f t="shared" si="2"/>
        <v>0</v>
      </c>
      <c r="F68" s="20"/>
      <c r="G68" s="20"/>
      <c r="H68" s="20"/>
      <c r="I68" s="20"/>
      <c r="J68" s="20"/>
      <c r="K68" s="20"/>
      <c r="L68" s="21"/>
    </row>
    <row r="69" ht="14.25" customHeight="1">
      <c r="A69" s="20"/>
      <c r="B69" s="20"/>
      <c r="C69" s="161"/>
      <c r="D69" s="162">
        <f t="shared" si="1"/>
        <v>0</v>
      </c>
      <c r="E69" s="162">
        <f t="shared" si="2"/>
        <v>0</v>
      </c>
      <c r="F69" s="20"/>
      <c r="G69" s="20"/>
      <c r="H69" s="20"/>
      <c r="I69" s="20"/>
      <c r="J69" s="20"/>
      <c r="K69" s="20"/>
      <c r="L69" s="21"/>
    </row>
    <row r="70" ht="14.25" customHeight="1">
      <c r="A70" s="20"/>
      <c r="B70" s="161"/>
      <c r="C70" s="161"/>
      <c r="D70" s="162">
        <f t="shared" si="1"/>
        <v>0</v>
      </c>
      <c r="E70" s="162">
        <f t="shared" si="2"/>
        <v>0</v>
      </c>
      <c r="F70" s="161"/>
      <c r="G70" s="161"/>
      <c r="H70" s="161"/>
      <c r="I70" s="161"/>
      <c r="J70" s="161"/>
      <c r="K70" s="161"/>
      <c r="L70" s="161"/>
    </row>
    <row r="71" ht="14.25" customHeight="1">
      <c r="A71" s="20"/>
      <c r="B71" s="20"/>
      <c r="C71" s="161"/>
      <c r="D71" s="162">
        <f t="shared" si="1"/>
        <v>0</v>
      </c>
      <c r="E71" s="162">
        <f t="shared" si="2"/>
        <v>0</v>
      </c>
      <c r="F71" s="20"/>
      <c r="G71" s="20"/>
      <c r="H71" s="20"/>
      <c r="I71" s="20"/>
      <c r="J71" s="20"/>
      <c r="K71" s="20"/>
      <c r="L71" s="21"/>
    </row>
    <row r="72" ht="14.25" customHeight="1">
      <c r="A72" s="20"/>
      <c r="B72" s="20"/>
      <c r="C72" s="161"/>
      <c r="D72" s="162">
        <f t="shared" si="1"/>
        <v>0</v>
      </c>
      <c r="E72" s="162">
        <f t="shared" si="2"/>
        <v>0</v>
      </c>
      <c r="F72" s="20"/>
      <c r="G72" s="20"/>
      <c r="H72" s="20"/>
      <c r="I72" s="20"/>
      <c r="J72" s="20"/>
      <c r="K72" s="20"/>
      <c r="L72" s="21"/>
    </row>
    <row r="73" ht="14.25" customHeight="1">
      <c r="A73" s="20"/>
      <c r="B73" s="161"/>
      <c r="C73" s="161"/>
      <c r="D73" s="162">
        <f t="shared" si="1"/>
        <v>0</v>
      </c>
      <c r="E73" s="162">
        <f t="shared" si="2"/>
        <v>0</v>
      </c>
      <c r="F73" s="161"/>
      <c r="G73" s="161"/>
      <c r="H73" s="161"/>
      <c r="I73" s="161"/>
      <c r="J73" s="161"/>
      <c r="K73" s="161"/>
      <c r="L73" s="161"/>
    </row>
    <row r="74" ht="14.25" customHeight="1">
      <c r="A74" s="20"/>
      <c r="B74" s="20"/>
      <c r="C74" s="161"/>
      <c r="D74" s="162">
        <f t="shared" si="1"/>
        <v>0</v>
      </c>
      <c r="E74" s="162">
        <f t="shared" si="2"/>
        <v>0</v>
      </c>
      <c r="F74" s="20"/>
      <c r="G74" s="20"/>
      <c r="H74" s="20"/>
      <c r="I74" s="20"/>
      <c r="J74" s="20"/>
      <c r="K74" s="20"/>
      <c r="L74" s="21"/>
    </row>
    <row r="75" ht="14.25" customHeight="1">
      <c r="A75" s="20"/>
      <c r="B75" s="20"/>
      <c r="C75" s="161"/>
      <c r="D75" s="162">
        <f t="shared" si="1"/>
        <v>0</v>
      </c>
      <c r="E75" s="162">
        <f t="shared" si="2"/>
        <v>0</v>
      </c>
      <c r="F75" s="20"/>
      <c r="G75" s="20"/>
      <c r="H75" s="20"/>
      <c r="I75" s="20"/>
      <c r="J75" s="20"/>
      <c r="K75" s="20"/>
      <c r="L75" s="21"/>
    </row>
    <row r="76" ht="14.25" customHeight="1">
      <c r="A76" s="20"/>
      <c r="B76" s="161"/>
      <c r="C76" s="161"/>
      <c r="D76" s="162">
        <f t="shared" si="1"/>
        <v>0</v>
      </c>
      <c r="E76" s="162">
        <f t="shared" si="2"/>
        <v>0</v>
      </c>
      <c r="F76" s="161"/>
      <c r="G76" s="161"/>
      <c r="H76" s="161"/>
      <c r="I76" s="161"/>
      <c r="J76" s="161"/>
      <c r="K76" s="161"/>
      <c r="L76" s="161"/>
    </row>
    <row r="77" ht="14.25" customHeight="1">
      <c r="A77" s="20"/>
      <c r="B77" s="20"/>
      <c r="C77" s="161"/>
      <c r="D77" s="162">
        <f t="shared" si="1"/>
        <v>0</v>
      </c>
      <c r="E77" s="162">
        <f t="shared" si="2"/>
        <v>0</v>
      </c>
      <c r="F77" s="20"/>
      <c r="G77" s="20"/>
      <c r="H77" s="20"/>
      <c r="I77" s="20"/>
      <c r="J77" s="20"/>
      <c r="K77" s="20"/>
      <c r="L77" s="21"/>
    </row>
    <row r="78" ht="14.25" customHeight="1">
      <c r="A78" s="20"/>
      <c r="B78" s="20"/>
      <c r="C78" s="161"/>
      <c r="D78" s="162">
        <f t="shared" si="1"/>
        <v>0</v>
      </c>
      <c r="E78" s="162">
        <f t="shared" si="2"/>
        <v>0</v>
      </c>
      <c r="F78" s="20"/>
      <c r="G78" s="20"/>
      <c r="H78" s="20"/>
      <c r="I78" s="20"/>
      <c r="J78" s="20"/>
      <c r="K78" s="20"/>
      <c r="L78" s="21"/>
    </row>
    <row r="79" ht="14.25" customHeight="1">
      <c r="A79" s="20"/>
      <c r="B79" s="161"/>
      <c r="C79" s="161"/>
      <c r="D79" s="162">
        <f t="shared" si="1"/>
        <v>0</v>
      </c>
      <c r="E79" s="162">
        <f t="shared" si="2"/>
        <v>0</v>
      </c>
      <c r="F79" s="161"/>
      <c r="G79" s="161"/>
      <c r="H79" s="161"/>
      <c r="I79" s="161"/>
      <c r="J79" s="161"/>
      <c r="K79" s="161"/>
      <c r="L79" s="161"/>
    </row>
    <row r="80" ht="14.25" customHeight="1">
      <c r="A80" s="20"/>
      <c r="B80" s="20"/>
      <c r="C80" s="161"/>
      <c r="D80" s="162">
        <f t="shared" si="1"/>
        <v>0</v>
      </c>
      <c r="E80" s="162">
        <f t="shared" si="2"/>
        <v>0</v>
      </c>
      <c r="F80" s="20"/>
      <c r="G80" s="20"/>
      <c r="H80" s="20"/>
      <c r="I80" s="20"/>
      <c r="J80" s="20"/>
      <c r="K80" s="20"/>
      <c r="L80" s="21"/>
    </row>
    <row r="81" ht="14.25" customHeight="1">
      <c r="A81" s="20"/>
      <c r="B81" s="20"/>
      <c r="C81" s="161"/>
      <c r="D81" s="162">
        <f t="shared" si="1"/>
        <v>0</v>
      </c>
      <c r="E81" s="162">
        <f t="shared" si="2"/>
        <v>0</v>
      </c>
      <c r="F81" s="20"/>
      <c r="G81" s="20"/>
      <c r="H81" s="20"/>
      <c r="I81" s="20"/>
      <c r="J81" s="20"/>
      <c r="K81" s="20"/>
      <c r="L81" s="21"/>
    </row>
    <row r="82" ht="14.25" customHeight="1">
      <c r="A82" s="20"/>
      <c r="B82" s="20"/>
      <c r="C82" s="161"/>
      <c r="D82" s="162">
        <f t="shared" si="1"/>
        <v>0</v>
      </c>
      <c r="E82" s="162">
        <f t="shared" si="2"/>
        <v>0</v>
      </c>
      <c r="F82" s="20"/>
      <c r="G82" s="20"/>
      <c r="H82" s="20"/>
      <c r="I82" s="20"/>
      <c r="J82" s="20"/>
      <c r="K82" s="20"/>
      <c r="L82" s="21"/>
    </row>
    <row r="83" ht="14.25" customHeight="1">
      <c r="A83" s="20"/>
      <c r="B83" s="20"/>
      <c r="C83" s="161"/>
      <c r="D83" s="162">
        <f t="shared" si="1"/>
        <v>0</v>
      </c>
      <c r="E83" s="162">
        <f t="shared" si="2"/>
        <v>0</v>
      </c>
      <c r="F83" s="20"/>
      <c r="G83" s="20"/>
      <c r="H83" s="20"/>
      <c r="I83" s="20"/>
      <c r="J83" s="20"/>
      <c r="K83" s="20"/>
      <c r="L83" s="21"/>
    </row>
    <row r="84" ht="14.25" customHeight="1">
      <c r="A84" s="20"/>
      <c r="B84" s="161"/>
      <c r="C84" s="161"/>
      <c r="D84" s="162">
        <f t="shared" si="1"/>
        <v>0</v>
      </c>
      <c r="E84" s="162">
        <f t="shared" si="2"/>
        <v>0</v>
      </c>
      <c r="F84" s="161"/>
      <c r="G84" s="161"/>
      <c r="H84" s="161"/>
      <c r="I84" s="161"/>
      <c r="J84" s="161"/>
      <c r="K84" s="161"/>
      <c r="L84" s="161"/>
    </row>
    <row r="85" ht="14.25" customHeight="1">
      <c r="A85" s="20"/>
      <c r="B85" s="20"/>
      <c r="C85" s="161"/>
      <c r="D85" s="162">
        <f t="shared" si="1"/>
        <v>0</v>
      </c>
      <c r="E85" s="162">
        <f t="shared" si="2"/>
        <v>0</v>
      </c>
      <c r="F85" s="20"/>
      <c r="G85" s="20"/>
      <c r="H85" s="20"/>
      <c r="I85" s="20"/>
      <c r="J85" s="20"/>
      <c r="K85" s="20"/>
      <c r="L85" s="21"/>
    </row>
    <row r="86" ht="14.25" customHeight="1">
      <c r="A86" s="20"/>
      <c r="B86" s="20"/>
      <c r="C86" s="161"/>
      <c r="D86" s="162">
        <f t="shared" si="1"/>
        <v>0</v>
      </c>
      <c r="E86" s="162">
        <f t="shared" si="2"/>
        <v>0</v>
      </c>
      <c r="F86" s="20"/>
      <c r="G86" s="20"/>
      <c r="H86" s="20"/>
      <c r="I86" s="20"/>
      <c r="J86" s="20"/>
      <c r="K86" s="20"/>
      <c r="L86" s="21"/>
    </row>
    <row r="87" ht="14.25" customHeight="1">
      <c r="A87" s="20"/>
      <c r="B87" s="161"/>
      <c r="C87" s="161"/>
      <c r="D87" s="162">
        <f t="shared" si="1"/>
        <v>0</v>
      </c>
      <c r="E87" s="162">
        <f t="shared" si="2"/>
        <v>0</v>
      </c>
      <c r="F87" s="161"/>
      <c r="G87" s="161"/>
      <c r="H87" s="161"/>
      <c r="I87" s="161"/>
      <c r="J87" s="161"/>
      <c r="K87" s="161"/>
      <c r="L87" s="161"/>
    </row>
    <row r="88" ht="14.25" customHeight="1">
      <c r="A88" s="20"/>
      <c r="B88" s="20"/>
      <c r="C88" s="161"/>
      <c r="D88" s="162">
        <f t="shared" si="1"/>
        <v>0</v>
      </c>
      <c r="E88" s="162">
        <f t="shared" si="2"/>
        <v>0</v>
      </c>
      <c r="F88" s="20"/>
      <c r="G88" s="20"/>
      <c r="H88" s="20"/>
      <c r="I88" s="20"/>
      <c r="J88" s="20"/>
      <c r="K88" s="20"/>
      <c r="L88" s="21"/>
    </row>
    <row r="89" ht="14.25" customHeight="1">
      <c r="A89" s="20"/>
      <c r="B89" s="20"/>
      <c r="C89" s="161"/>
      <c r="D89" s="162">
        <f t="shared" si="1"/>
        <v>0</v>
      </c>
      <c r="E89" s="162">
        <f t="shared" si="2"/>
        <v>0</v>
      </c>
      <c r="F89" s="20"/>
      <c r="G89" s="20"/>
      <c r="H89" s="20"/>
      <c r="I89" s="20"/>
      <c r="J89" s="20"/>
      <c r="K89" s="20"/>
      <c r="L89" s="21"/>
    </row>
    <row r="90" ht="14.25" customHeight="1">
      <c r="A90" s="20"/>
      <c r="B90" s="161"/>
      <c r="C90" s="161"/>
      <c r="D90" s="162">
        <f t="shared" si="1"/>
        <v>0</v>
      </c>
      <c r="E90" s="162">
        <f t="shared" si="2"/>
        <v>0</v>
      </c>
      <c r="F90" s="161"/>
      <c r="G90" s="161"/>
      <c r="H90" s="161"/>
      <c r="I90" s="161"/>
      <c r="J90" s="161"/>
      <c r="K90" s="161"/>
      <c r="L90" s="161"/>
    </row>
    <row r="91" ht="14.25" customHeight="1">
      <c r="A91" s="20"/>
      <c r="B91" s="20"/>
      <c r="C91" s="161"/>
      <c r="D91" s="162">
        <f t="shared" si="1"/>
        <v>0</v>
      </c>
      <c r="E91" s="162">
        <f t="shared" si="2"/>
        <v>0</v>
      </c>
      <c r="F91" s="20"/>
      <c r="G91" s="20"/>
      <c r="H91" s="20"/>
      <c r="I91" s="20"/>
      <c r="J91" s="20"/>
      <c r="K91" s="20"/>
      <c r="L91" s="21"/>
    </row>
    <row r="92" ht="14.25" customHeight="1">
      <c r="A92" s="20"/>
      <c r="B92" s="20"/>
      <c r="C92" s="161"/>
      <c r="D92" s="162">
        <f t="shared" si="1"/>
        <v>0</v>
      </c>
      <c r="E92" s="162">
        <f t="shared" si="2"/>
        <v>0</v>
      </c>
      <c r="F92" s="20"/>
      <c r="G92" s="20"/>
      <c r="H92" s="20"/>
      <c r="I92" s="20"/>
      <c r="J92" s="20"/>
      <c r="K92" s="20"/>
      <c r="L92" s="21"/>
    </row>
    <row r="93" ht="14.25" customHeight="1">
      <c r="A93" s="20"/>
      <c r="B93" s="161"/>
      <c r="C93" s="161"/>
      <c r="D93" s="162">
        <f t="shared" si="1"/>
        <v>0</v>
      </c>
      <c r="E93" s="162">
        <f t="shared" si="2"/>
        <v>0</v>
      </c>
      <c r="F93" s="161"/>
      <c r="G93" s="161"/>
      <c r="H93" s="161"/>
      <c r="I93" s="161"/>
      <c r="J93" s="161"/>
      <c r="K93" s="161"/>
      <c r="L93" s="161"/>
    </row>
    <row r="94" ht="14.25" customHeight="1">
      <c r="A94" s="20"/>
      <c r="B94" s="20"/>
      <c r="C94" s="161"/>
      <c r="D94" s="162">
        <f t="shared" si="1"/>
        <v>0</v>
      </c>
      <c r="E94" s="162">
        <f t="shared" si="2"/>
        <v>0</v>
      </c>
      <c r="F94" s="20"/>
      <c r="G94" s="20"/>
      <c r="H94" s="20"/>
      <c r="I94" s="20"/>
      <c r="J94" s="20"/>
      <c r="K94" s="20"/>
      <c r="L94" s="21"/>
    </row>
    <row r="95" ht="14.25" customHeight="1">
      <c r="A95" s="20"/>
      <c r="B95" s="20"/>
      <c r="C95" s="161"/>
      <c r="D95" s="162">
        <f t="shared" si="1"/>
        <v>0</v>
      </c>
      <c r="E95" s="162">
        <f t="shared" si="2"/>
        <v>0</v>
      </c>
      <c r="F95" s="20"/>
      <c r="G95" s="20"/>
      <c r="H95" s="20"/>
      <c r="I95" s="20"/>
      <c r="J95" s="20"/>
      <c r="K95" s="20"/>
      <c r="L95" s="21"/>
    </row>
    <row r="96" ht="14.25" customHeight="1">
      <c r="A96" s="20"/>
      <c r="B96" s="161"/>
      <c r="C96" s="161"/>
      <c r="D96" s="162">
        <f t="shared" si="1"/>
        <v>0</v>
      </c>
      <c r="E96" s="162">
        <f t="shared" si="2"/>
        <v>0</v>
      </c>
      <c r="F96" s="161"/>
      <c r="G96" s="161"/>
      <c r="H96" s="161"/>
      <c r="I96" s="161"/>
      <c r="J96" s="161"/>
      <c r="K96" s="161"/>
      <c r="L96" s="161"/>
    </row>
    <row r="97" ht="14.25" customHeight="1">
      <c r="A97" s="20"/>
      <c r="B97" s="20"/>
      <c r="C97" s="161"/>
      <c r="D97" s="162">
        <f t="shared" si="1"/>
        <v>0</v>
      </c>
      <c r="E97" s="162">
        <f t="shared" si="2"/>
        <v>0</v>
      </c>
      <c r="F97" s="20"/>
      <c r="G97" s="20"/>
      <c r="H97" s="20"/>
      <c r="I97" s="20"/>
      <c r="J97" s="20"/>
      <c r="K97" s="20"/>
      <c r="L97" s="21"/>
    </row>
    <row r="98" ht="14.25" customHeight="1">
      <c r="A98" s="20"/>
      <c r="B98" s="20"/>
      <c r="C98" s="161"/>
      <c r="D98" s="162">
        <f t="shared" si="1"/>
        <v>0</v>
      </c>
      <c r="E98" s="162">
        <f t="shared" si="2"/>
        <v>0</v>
      </c>
      <c r="F98" s="20"/>
      <c r="G98" s="20"/>
      <c r="H98" s="20"/>
      <c r="I98" s="20"/>
      <c r="J98" s="20"/>
      <c r="K98" s="20"/>
      <c r="L98" s="21"/>
    </row>
    <row r="99" ht="14.25" customHeight="1">
      <c r="A99" s="20"/>
      <c r="B99" s="161"/>
      <c r="C99" s="161"/>
      <c r="D99" s="162">
        <f t="shared" si="1"/>
        <v>0</v>
      </c>
      <c r="E99" s="162">
        <f t="shared" si="2"/>
        <v>0</v>
      </c>
      <c r="F99" s="161"/>
      <c r="G99" s="161"/>
      <c r="H99" s="161"/>
      <c r="I99" s="161"/>
      <c r="J99" s="161"/>
      <c r="K99" s="161"/>
      <c r="L99" s="161"/>
    </row>
    <row r="100" ht="14.25" customHeight="1">
      <c r="A100" s="20"/>
      <c r="B100" s="20"/>
      <c r="C100" s="161"/>
      <c r="D100" s="162">
        <f t="shared" si="1"/>
        <v>0</v>
      </c>
      <c r="E100" s="162">
        <f t="shared" si="2"/>
        <v>0</v>
      </c>
      <c r="F100" s="20"/>
      <c r="G100" s="20"/>
      <c r="H100" s="20"/>
      <c r="I100" s="20"/>
      <c r="J100" s="20"/>
      <c r="K100" s="20"/>
      <c r="L100" s="21"/>
    </row>
    <row r="101" ht="14.25" customHeight="1">
      <c r="A101" s="20"/>
      <c r="B101" s="20"/>
      <c r="C101" s="161"/>
      <c r="D101" s="162">
        <f t="shared" si="1"/>
        <v>0</v>
      </c>
      <c r="E101" s="162">
        <f t="shared" si="2"/>
        <v>0</v>
      </c>
      <c r="F101" s="20"/>
      <c r="G101" s="20"/>
      <c r="H101" s="20"/>
      <c r="I101" s="20"/>
      <c r="J101" s="20"/>
      <c r="K101" s="20"/>
      <c r="L101" s="21"/>
    </row>
    <row r="102" ht="14.25" customHeight="1">
      <c r="A102" s="20"/>
      <c r="B102" s="161"/>
      <c r="C102" s="161"/>
      <c r="D102" s="162">
        <f t="shared" si="1"/>
        <v>0</v>
      </c>
      <c r="E102" s="162">
        <f t="shared" si="2"/>
        <v>0</v>
      </c>
      <c r="F102" s="161"/>
      <c r="G102" s="161"/>
      <c r="H102" s="161"/>
      <c r="I102" s="161"/>
      <c r="J102" s="161"/>
      <c r="K102" s="161"/>
      <c r="L102" s="161"/>
    </row>
    <row r="103" ht="14.25" customHeight="1">
      <c r="A103" s="20"/>
      <c r="B103" s="20"/>
      <c r="C103" s="161"/>
      <c r="D103" s="162">
        <f t="shared" si="1"/>
        <v>0</v>
      </c>
      <c r="E103" s="162">
        <f t="shared" si="2"/>
        <v>0</v>
      </c>
      <c r="F103" s="20"/>
      <c r="G103" s="20"/>
      <c r="H103" s="20"/>
      <c r="I103" s="20"/>
      <c r="J103" s="20"/>
      <c r="K103" s="20"/>
      <c r="L103" s="21"/>
    </row>
    <row r="104" ht="14.25" customHeight="1">
      <c r="A104" s="20"/>
      <c r="B104" s="20"/>
      <c r="C104" s="161"/>
      <c r="D104" s="162">
        <f t="shared" si="1"/>
        <v>0</v>
      </c>
      <c r="E104" s="162">
        <f t="shared" si="2"/>
        <v>0</v>
      </c>
      <c r="F104" s="20"/>
      <c r="G104" s="20"/>
      <c r="H104" s="20"/>
      <c r="I104" s="20"/>
      <c r="J104" s="20"/>
      <c r="K104" s="20"/>
      <c r="L104" s="21"/>
    </row>
    <row r="105" ht="14.25" customHeight="1">
      <c r="A105" s="20"/>
      <c r="B105" s="161"/>
      <c r="C105" s="161"/>
      <c r="D105" s="162">
        <f t="shared" si="1"/>
        <v>0</v>
      </c>
      <c r="E105" s="162">
        <f t="shared" si="2"/>
        <v>0</v>
      </c>
      <c r="F105" s="161"/>
      <c r="G105" s="161"/>
      <c r="H105" s="161"/>
      <c r="I105" s="161"/>
      <c r="J105" s="161"/>
      <c r="K105" s="161"/>
      <c r="L105" s="161"/>
    </row>
    <row r="106" ht="14.25" customHeight="1">
      <c r="A106" s="20"/>
      <c r="B106" s="20"/>
      <c r="C106" s="161"/>
      <c r="D106" s="162">
        <f t="shared" si="1"/>
        <v>0</v>
      </c>
      <c r="E106" s="162">
        <f t="shared" si="2"/>
        <v>0</v>
      </c>
      <c r="F106" s="20"/>
      <c r="G106" s="20"/>
      <c r="H106" s="20"/>
      <c r="I106" s="20"/>
      <c r="J106" s="20"/>
      <c r="K106" s="20"/>
      <c r="L106" s="21"/>
    </row>
    <row r="107" ht="14.25" customHeight="1">
      <c r="A107" s="20"/>
      <c r="B107" s="20"/>
      <c r="C107" s="161"/>
      <c r="D107" s="162">
        <f t="shared" si="1"/>
        <v>0</v>
      </c>
      <c r="E107" s="162">
        <f t="shared" si="2"/>
        <v>0</v>
      </c>
      <c r="F107" s="20"/>
      <c r="G107" s="20"/>
      <c r="H107" s="20"/>
      <c r="I107" s="20"/>
      <c r="J107" s="20"/>
      <c r="K107" s="20"/>
      <c r="L107" s="21"/>
    </row>
    <row r="108" ht="14.25" customHeight="1">
      <c r="A108" s="20"/>
      <c r="B108" s="161"/>
      <c r="C108" s="161"/>
      <c r="D108" s="162">
        <f t="shared" si="1"/>
        <v>0</v>
      </c>
      <c r="E108" s="162">
        <f t="shared" si="2"/>
        <v>0</v>
      </c>
      <c r="F108" s="161"/>
      <c r="G108" s="161"/>
      <c r="H108" s="161"/>
      <c r="I108" s="161"/>
      <c r="J108" s="161"/>
      <c r="K108" s="161"/>
      <c r="L108" s="161"/>
    </row>
    <row r="109" ht="14.25" customHeight="1">
      <c r="A109" s="20"/>
      <c r="B109" s="20"/>
      <c r="C109" s="161"/>
      <c r="D109" s="162">
        <f t="shared" si="1"/>
        <v>0</v>
      </c>
      <c r="E109" s="162">
        <f t="shared" si="2"/>
        <v>0</v>
      </c>
      <c r="F109" s="20"/>
      <c r="G109" s="20"/>
      <c r="H109" s="20"/>
      <c r="I109" s="20"/>
      <c r="J109" s="20"/>
      <c r="K109" s="20"/>
      <c r="L109" s="21"/>
    </row>
    <row r="110" ht="14.25" customHeight="1">
      <c r="A110" s="20"/>
      <c r="B110" s="20"/>
      <c r="C110" s="161"/>
      <c r="D110" s="162">
        <f t="shared" si="1"/>
        <v>0</v>
      </c>
      <c r="E110" s="162">
        <f t="shared" si="2"/>
        <v>0</v>
      </c>
      <c r="F110" s="20"/>
      <c r="G110" s="20"/>
      <c r="H110" s="20"/>
      <c r="I110" s="20"/>
      <c r="J110" s="20"/>
      <c r="K110" s="20"/>
      <c r="L110" s="21"/>
    </row>
    <row r="111" ht="14.25" customHeight="1">
      <c r="A111" s="20"/>
      <c r="B111" s="161"/>
      <c r="C111" s="161"/>
      <c r="D111" s="162">
        <f t="shared" si="1"/>
        <v>0</v>
      </c>
      <c r="E111" s="162">
        <f t="shared" si="2"/>
        <v>0</v>
      </c>
      <c r="F111" s="161"/>
      <c r="G111" s="161"/>
      <c r="H111" s="161"/>
      <c r="I111" s="161"/>
      <c r="J111" s="161"/>
      <c r="K111" s="161"/>
      <c r="L111" s="161"/>
    </row>
    <row r="112" ht="14.25" customHeight="1">
      <c r="A112" s="20"/>
      <c r="B112" s="20"/>
      <c r="C112" s="161"/>
      <c r="D112" s="162">
        <f t="shared" si="1"/>
        <v>0</v>
      </c>
      <c r="E112" s="162">
        <f t="shared" si="2"/>
        <v>0</v>
      </c>
      <c r="F112" s="20"/>
      <c r="G112" s="20"/>
      <c r="H112" s="20"/>
      <c r="I112" s="20"/>
      <c r="J112" s="20"/>
      <c r="K112" s="20"/>
      <c r="L112" s="21"/>
    </row>
    <row r="113" ht="14.25" customHeight="1">
      <c r="A113" s="20"/>
      <c r="B113" s="20"/>
      <c r="C113" s="161"/>
      <c r="D113" s="162">
        <f t="shared" si="1"/>
        <v>0</v>
      </c>
      <c r="E113" s="162">
        <f t="shared" si="2"/>
        <v>0</v>
      </c>
      <c r="F113" s="20"/>
      <c r="G113" s="20"/>
      <c r="H113" s="20"/>
      <c r="I113" s="20"/>
      <c r="J113" s="20"/>
      <c r="K113" s="20"/>
      <c r="L113" s="21"/>
    </row>
    <row r="114" ht="14.25" customHeight="1">
      <c r="A114" s="20"/>
      <c r="B114" s="161"/>
      <c r="C114" s="161"/>
      <c r="D114" s="162">
        <f t="shared" si="1"/>
        <v>0</v>
      </c>
      <c r="E114" s="162">
        <f t="shared" si="2"/>
        <v>0</v>
      </c>
      <c r="F114" s="161"/>
      <c r="G114" s="161"/>
      <c r="H114" s="161"/>
      <c r="I114" s="161"/>
      <c r="J114" s="161"/>
      <c r="K114" s="161"/>
      <c r="L114" s="161"/>
    </row>
    <row r="115" ht="14.25" customHeight="1">
      <c r="A115" s="20"/>
      <c r="B115" s="20"/>
      <c r="C115" s="161"/>
      <c r="D115" s="162">
        <f t="shared" si="1"/>
        <v>0</v>
      </c>
      <c r="E115" s="162">
        <f t="shared" si="2"/>
        <v>0</v>
      </c>
      <c r="F115" s="20"/>
      <c r="G115" s="20"/>
      <c r="H115" s="20"/>
      <c r="I115" s="20"/>
      <c r="J115" s="20"/>
      <c r="K115" s="20"/>
      <c r="L115" s="21"/>
    </row>
    <row r="116" ht="14.25" customHeight="1">
      <c r="A116" s="20"/>
      <c r="B116" s="20"/>
      <c r="C116" s="161"/>
      <c r="D116" s="162">
        <f t="shared" si="1"/>
        <v>0</v>
      </c>
      <c r="E116" s="162">
        <f t="shared" si="2"/>
        <v>0</v>
      </c>
      <c r="F116" s="20"/>
      <c r="G116" s="20"/>
      <c r="H116" s="20"/>
      <c r="I116" s="20"/>
      <c r="J116" s="20"/>
      <c r="K116" s="20"/>
      <c r="L116" s="21"/>
    </row>
    <row r="117" ht="14.25" customHeight="1">
      <c r="A117" s="20"/>
      <c r="B117" s="161"/>
      <c r="C117" s="161"/>
      <c r="D117" s="162">
        <f t="shared" si="1"/>
        <v>0</v>
      </c>
      <c r="E117" s="162">
        <f t="shared" si="2"/>
        <v>0</v>
      </c>
      <c r="F117" s="161"/>
      <c r="G117" s="161"/>
      <c r="H117" s="161"/>
      <c r="I117" s="161"/>
      <c r="J117" s="161"/>
      <c r="K117" s="161"/>
      <c r="L117" s="161"/>
    </row>
    <row r="118" ht="14.25" customHeight="1">
      <c r="A118" s="20"/>
      <c r="B118" s="20"/>
      <c r="C118" s="161"/>
      <c r="D118" s="162">
        <f t="shared" si="1"/>
        <v>0</v>
      </c>
      <c r="E118" s="162">
        <f t="shared" si="2"/>
        <v>0</v>
      </c>
      <c r="F118" s="20"/>
      <c r="G118" s="20"/>
      <c r="H118" s="20"/>
      <c r="I118" s="20"/>
      <c r="J118" s="20"/>
      <c r="K118" s="20"/>
      <c r="L118" s="21"/>
    </row>
    <row r="119" ht="14.25" customHeight="1">
      <c r="A119" s="20"/>
      <c r="B119" s="20"/>
      <c r="C119" s="161"/>
      <c r="D119" s="162">
        <f t="shared" si="1"/>
        <v>0</v>
      </c>
      <c r="E119" s="162">
        <f t="shared" si="2"/>
        <v>0</v>
      </c>
      <c r="F119" s="20"/>
      <c r="G119" s="20"/>
      <c r="H119" s="20"/>
      <c r="I119" s="20"/>
      <c r="J119" s="20"/>
      <c r="K119" s="20"/>
      <c r="L119" s="21"/>
    </row>
    <row r="120" ht="14.25" customHeight="1">
      <c r="A120" s="20"/>
      <c r="B120" s="161"/>
      <c r="C120" s="161"/>
      <c r="D120" s="162">
        <f t="shared" si="1"/>
        <v>0</v>
      </c>
      <c r="E120" s="162">
        <f t="shared" si="2"/>
        <v>0</v>
      </c>
      <c r="F120" s="161"/>
      <c r="G120" s="161"/>
      <c r="H120" s="161"/>
      <c r="I120" s="161"/>
      <c r="J120" s="161"/>
      <c r="K120" s="161"/>
      <c r="L120" s="161"/>
    </row>
    <row r="121" ht="14.25" customHeight="1">
      <c r="A121" s="20"/>
      <c r="B121" s="20"/>
      <c r="C121" s="161"/>
      <c r="D121" s="162">
        <f t="shared" si="1"/>
        <v>0</v>
      </c>
      <c r="E121" s="162">
        <f t="shared" si="2"/>
        <v>0</v>
      </c>
      <c r="F121" s="20"/>
      <c r="G121" s="20"/>
      <c r="H121" s="20"/>
      <c r="I121" s="20"/>
      <c r="J121" s="20"/>
      <c r="K121" s="20"/>
      <c r="L121" s="21"/>
    </row>
    <row r="122" ht="14.25" customHeight="1">
      <c r="A122" s="20"/>
      <c r="B122" s="20"/>
      <c r="C122" s="161"/>
      <c r="D122" s="162">
        <f t="shared" si="1"/>
        <v>0</v>
      </c>
      <c r="E122" s="162">
        <f t="shared" si="2"/>
        <v>0</v>
      </c>
      <c r="F122" s="20"/>
      <c r="G122" s="20"/>
      <c r="H122" s="20"/>
      <c r="I122" s="20"/>
      <c r="J122" s="20"/>
      <c r="K122" s="20"/>
      <c r="L122" s="21"/>
    </row>
    <row r="123" ht="14.25" customHeight="1">
      <c r="A123" s="20"/>
      <c r="B123" s="161"/>
      <c r="C123" s="161"/>
      <c r="D123" s="162">
        <f t="shared" si="1"/>
        <v>0</v>
      </c>
      <c r="E123" s="162">
        <f t="shared" si="2"/>
        <v>0</v>
      </c>
      <c r="F123" s="161"/>
      <c r="G123" s="161"/>
      <c r="H123" s="161"/>
      <c r="I123" s="161"/>
      <c r="J123" s="161"/>
      <c r="K123" s="161"/>
      <c r="L123" s="161"/>
    </row>
    <row r="124" ht="14.25" customHeight="1">
      <c r="A124" s="20"/>
      <c r="B124" s="20"/>
      <c r="C124" s="161"/>
      <c r="D124" s="162">
        <f t="shared" si="1"/>
        <v>0</v>
      </c>
      <c r="E124" s="162">
        <f t="shared" si="2"/>
        <v>0</v>
      </c>
      <c r="F124" s="20"/>
      <c r="G124" s="20"/>
      <c r="H124" s="20"/>
      <c r="I124" s="20"/>
      <c r="J124" s="20"/>
      <c r="K124" s="20"/>
      <c r="L124" s="21"/>
    </row>
    <row r="125" ht="14.25" customHeight="1">
      <c r="A125" s="20"/>
      <c r="B125" s="161"/>
      <c r="C125" s="161"/>
      <c r="D125" s="162">
        <f t="shared" si="1"/>
        <v>0</v>
      </c>
      <c r="E125" s="162">
        <f t="shared" si="2"/>
        <v>0</v>
      </c>
      <c r="F125" s="161"/>
      <c r="G125" s="161"/>
      <c r="H125" s="161"/>
      <c r="I125" s="161"/>
      <c r="J125" s="161"/>
      <c r="K125" s="161"/>
      <c r="L125" s="161"/>
    </row>
    <row r="126" ht="14.25" customHeight="1">
      <c r="A126" s="20"/>
      <c r="B126" s="20"/>
      <c r="C126" s="161"/>
      <c r="D126" s="162">
        <f t="shared" si="1"/>
        <v>0</v>
      </c>
      <c r="E126" s="162">
        <f t="shared" si="2"/>
        <v>0</v>
      </c>
      <c r="F126" s="20"/>
      <c r="G126" s="20"/>
      <c r="H126" s="20"/>
      <c r="I126" s="20"/>
      <c r="J126" s="20"/>
      <c r="K126" s="20"/>
      <c r="L126" s="21"/>
    </row>
    <row r="127" ht="14.25" customHeight="1">
      <c r="A127" s="20"/>
      <c r="B127" s="20"/>
      <c r="C127" s="161"/>
      <c r="D127" s="162">
        <f t="shared" si="1"/>
        <v>0</v>
      </c>
      <c r="E127" s="162">
        <f t="shared" si="2"/>
        <v>0</v>
      </c>
      <c r="F127" s="20"/>
      <c r="G127" s="20"/>
      <c r="H127" s="20"/>
      <c r="I127" s="20"/>
      <c r="J127" s="20"/>
      <c r="K127" s="20"/>
      <c r="L127" s="21"/>
    </row>
    <row r="128" ht="14.25" customHeight="1">
      <c r="A128" s="20"/>
      <c r="B128" s="161"/>
      <c r="C128" s="161"/>
      <c r="D128" s="162">
        <f t="shared" si="1"/>
        <v>0</v>
      </c>
      <c r="E128" s="162">
        <f t="shared" si="2"/>
        <v>0</v>
      </c>
      <c r="F128" s="161"/>
      <c r="G128" s="161"/>
      <c r="H128" s="161"/>
      <c r="I128" s="161"/>
      <c r="J128" s="161"/>
      <c r="K128" s="161"/>
      <c r="L128" s="161"/>
    </row>
    <row r="129" ht="14.25" customHeight="1">
      <c r="A129" s="20"/>
      <c r="B129" s="20"/>
      <c r="C129" s="161"/>
      <c r="D129" s="162">
        <f t="shared" si="1"/>
        <v>0</v>
      </c>
      <c r="E129" s="162">
        <f t="shared" si="2"/>
        <v>0</v>
      </c>
      <c r="F129" s="20"/>
      <c r="G129" s="20"/>
      <c r="H129" s="20"/>
      <c r="I129" s="20"/>
      <c r="J129" s="20"/>
      <c r="K129" s="20"/>
      <c r="L129" s="21"/>
    </row>
    <row r="130" ht="14.25" customHeight="1">
      <c r="A130" s="20"/>
      <c r="B130" s="20"/>
      <c r="C130" s="161"/>
      <c r="D130" s="162">
        <f t="shared" si="1"/>
        <v>0</v>
      </c>
      <c r="E130" s="162">
        <f t="shared" si="2"/>
        <v>0</v>
      </c>
      <c r="F130" s="20"/>
      <c r="G130" s="20"/>
      <c r="H130" s="20"/>
      <c r="I130" s="20"/>
      <c r="J130" s="20"/>
      <c r="K130" s="20"/>
      <c r="L130" s="21"/>
    </row>
    <row r="131" ht="14.25" customHeight="1">
      <c r="A131" s="20"/>
      <c r="B131" s="161"/>
      <c r="C131" s="161"/>
      <c r="D131" s="162">
        <f t="shared" si="1"/>
        <v>0</v>
      </c>
      <c r="E131" s="162">
        <f t="shared" si="2"/>
        <v>0</v>
      </c>
      <c r="F131" s="161"/>
      <c r="G131" s="161"/>
      <c r="H131" s="161"/>
      <c r="I131" s="161"/>
      <c r="J131" s="161"/>
      <c r="K131" s="161"/>
      <c r="L131" s="161"/>
    </row>
    <row r="132" ht="14.25" customHeight="1">
      <c r="A132" s="20"/>
      <c r="B132" s="20"/>
      <c r="C132" s="161"/>
      <c r="D132" s="162">
        <f t="shared" si="1"/>
        <v>0</v>
      </c>
      <c r="E132" s="162">
        <f t="shared" si="2"/>
        <v>0</v>
      </c>
      <c r="F132" s="20"/>
      <c r="G132" s="20"/>
      <c r="H132" s="20"/>
      <c r="I132" s="20"/>
      <c r="J132" s="20"/>
      <c r="K132" s="20"/>
      <c r="L132" s="21"/>
    </row>
    <row r="133" ht="14.25" customHeight="1">
      <c r="A133" s="20"/>
      <c r="B133" s="20"/>
      <c r="C133" s="161"/>
      <c r="D133" s="162">
        <f t="shared" si="1"/>
        <v>0</v>
      </c>
      <c r="E133" s="162">
        <f t="shared" si="2"/>
        <v>0</v>
      </c>
      <c r="F133" s="20"/>
      <c r="G133" s="20"/>
      <c r="H133" s="20"/>
      <c r="I133" s="20"/>
      <c r="J133" s="20"/>
      <c r="K133" s="20"/>
      <c r="L133" s="21"/>
    </row>
    <row r="134" ht="14.25" customHeight="1">
      <c r="A134" s="20"/>
      <c r="B134" s="161"/>
      <c r="C134" s="161"/>
      <c r="D134" s="162">
        <f t="shared" si="1"/>
        <v>0</v>
      </c>
      <c r="E134" s="162">
        <f t="shared" si="2"/>
        <v>0</v>
      </c>
      <c r="F134" s="161"/>
      <c r="G134" s="161"/>
      <c r="H134" s="161"/>
      <c r="I134" s="161"/>
      <c r="J134" s="161"/>
      <c r="K134" s="161"/>
      <c r="L134" s="161"/>
    </row>
    <row r="135" ht="14.25" customHeight="1">
      <c r="A135" s="20"/>
      <c r="B135" s="20"/>
      <c r="C135" s="161"/>
      <c r="D135" s="162">
        <f t="shared" si="1"/>
        <v>0</v>
      </c>
      <c r="E135" s="162">
        <f t="shared" si="2"/>
        <v>0</v>
      </c>
      <c r="F135" s="20"/>
      <c r="G135" s="20"/>
      <c r="H135" s="20"/>
      <c r="I135" s="20"/>
      <c r="J135" s="20"/>
      <c r="K135" s="20"/>
      <c r="L135" s="21"/>
    </row>
    <row r="136" ht="14.25" customHeight="1">
      <c r="A136" s="20"/>
      <c r="B136" s="20"/>
      <c r="C136" s="161"/>
      <c r="D136" s="162">
        <f t="shared" si="1"/>
        <v>0</v>
      </c>
      <c r="E136" s="162">
        <f t="shared" si="2"/>
        <v>0</v>
      </c>
      <c r="F136" s="20"/>
      <c r="G136" s="20"/>
      <c r="H136" s="20"/>
      <c r="I136" s="20"/>
      <c r="J136" s="20"/>
      <c r="K136" s="20"/>
      <c r="L136" s="21"/>
    </row>
    <row r="137" ht="14.25" customHeight="1">
      <c r="A137" s="20"/>
      <c r="B137" s="161"/>
      <c r="C137" s="161"/>
      <c r="D137" s="162">
        <f t="shared" si="1"/>
        <v>0</v>
      </c>
      <c r="E137" s="162">
        <f t="shared" si="2"/>
        <v>0</v>
      </c>
      <c r="F137" s="161"/>
      <c r="G137" s="161"/>
      <c r="H137" s="161"/>
      <c r="I137" s="161"/>
      <c r="J137" s="161"/>
      <c r="K137" s="161"/>
      <c r="L137" s="161"/>
    </row>
    <row r="138" ht="14.25" customHeight="1">
      <c r="A138" s="20"/>
      <c r="B138" s="20"/>
      <c r="C138" s="161"/>
      <c r="D138" s="162">
        <f t="shared" si="1"/>
        <v>0</v>
      </c>
      <c r="E138" s="162">
        <f t="shared" si="2"/>
        <v>0</v>
      </c>
      <c r="F138" s="20"/>
      <c r="G138" s="20"/>
      <c r="H138" s="20"/>
      <c r="I138" s="20"/>
      <c r="J138" s="20"/>
      <c r="K138" s="20"/>
      <c r="L138" s="21"/>
    </row>
    <row r="139" ht="14.25" customHeight="1">
      <c r="A139" s="20"/>
      <c r="B139" s="20"/>
      <c r="C139" s="161"/>
      <c r="D139" s="162">
        <f t="shared" si="1"/>
        <v>0</v>
      </c>
      <c r="E139" s="162">
        <f t="shared" si="2"/>
        <v>0</v>
      </c>
      <c r="F139" s="20"/>
      <c r="G139" s="20"/>
      <c r="H139" s="20"/>
      <c r="I139" s="20"/>
      <c r="J139" s="20"/>
      <c r="K139" s="20"/>
      <c r="L139" s="21"/>
    </row>
    <row r="140" ht="14.25" customHeight="1">
      <c r="A140" s="20"/>
      <c r="B140" s="161"/>
      <c r="C140" s="161"/>
      <c r="D140" s="162">
        <f t="shared" si="1"/>
        <v>0</v>
      </c>
      <c r="E140" s="162">
        <f t="shared" si="2"/>
        <v>0</v>
      </c>
      <c r="F140" s="161"/>
      <c r="G140" s="161"/>
      <c r="H140" s="161"/>
      <c r="I140" s="161"/>
      <c r="J140" s="161"/>
      <c r="K140" s="161"/>
      <c r="L140" s="161"/>
    </row>
    <row r="141" ht="14.25" customHeight="1">
      <c r="A141" s="20"/>
      <c r="B141" s="20"/>
      <c r="C141" s="161"/>
      <c r="D141" s="162">
        <f t="shared" si="1"/>
        <v>0</v>
      </c>
      <c r="E141" s="162">
        <f t="shared" si="2"/>
        <v>0</v>
      </c>
      <c r="F141" s="20"/>
      <c r="G141" s="20"/>
      <c r="H141" s="20"/>
      <c r="I141" s="20"/>
      <c r="J141" s="20"/>
      <c r="K141" s="20"/>
      <c r="L141" s="21"/>
    </row>
    <row r="142" ht="14.25" customHeight="1">
      <c r="A142" s="20"/>
      <c r="B142" s="161"/>
      <c r="C142" s="161"/>
      <c r="D142" s="162">
        <f t="shared" si="1"/>
        <v>0</v>
      </c>
      <c r="E142" s="162">
        <f t="shared" si="2"/>
        <v>0</v>
      </c>
      <c r="F142" s="161"/>
      <c r="G142" s="161"/>
      <c r="H142" s="161"/>
      <c r="I142" s="161"/>
      <c r="J142" s="161"/>
      <c r="K142" s="161"/>
      <c r="L142" s="161"/>
    </row>
    <row r="143" ht="14.25" customHeight="1">
      <c r="A143" s="20"/>
      <c r="B143" s="20"/>
      <c r="C143" s="161"/>
      <c r="D143" s="162">
        <f t="shared" si="1"/>
        <v>0</v>
      </c>
      <c r="E143" s="162">
        <f t="shared" si="2"/>
        <v>0</v>
      </c>
      <c r="F143" s="20"/>
      <c r="G143" s="20"/>
      <c r="H143" s="20"/>
      <c r="I143" s="20"/>
      <c r="J143" s="20"/>
      <c r="K143" s="20"/>
      <c r="L143" s="21"/>
    </row>
    <row r="144" ht="14.25" customHeight="1">
      <c r="A144" s="20"/>
      <c r="B144" s="20"/>
      <c r="C144" s="161"/>
      <c r="D144" s="162">
        <f t="shared" si="1"/>
        <v>0</v>
      </c>
      <c r="E144" s="162">
        <f t="shared" si="2"/>
        <v>0</v>
      </c>
      <c r="F144" s="20"/>
      <c r="G144" s="20"/>
      <c r="H144" s="20"/>
      <c r="I144" s="20"/>
      <c r="J144" s="20"/>
      <c r="K144" s="20"/>
      <c r="L144" s="21"/>
    </row>
    <row r="145" ht="14.25" customHeight="1">
      <c r="A145" s="20"/>
      <c r="B145" s="161"/>
      <c r="C145" s="161"/>
      <c r="D145" s="162">
        <f t="shared" si="1"/>
        <v>0</v>
      </c>
      <c r="E145" s="162">
        <f t="shared" si="2"/>
        <v>0</v>
      </c>
      <c r="F145" s="161"/>
      <c r="G145" s="161"/>
      <c r="H145" s="161"/>
      <c r="I145" s="161"/>
      <c r="J145" s="161"/>
      <c r="K145" s="161"/>
      <c r="L145" s="161"/>
    </row>
    <row r="146" ht="14.25" customHeight="1">
      <c r="A146" s="20"/>
      <c r="B146" s="20"/>
      <c r="C146" s="161"/>
      <c r="D146" s="162">
        <f t="shared" si="1"/>
        <v>0</v>
      </c>
      <c r="E146" s="162">
        <f t="shared" si="2"/>
        <v>0</v>
      </c>
      <c r="F146" s="20"/>
      <c r="G146" s="20"/>
      <c r="H146" s="20"/>
      <c r="I146" s="20"/>
      <c r="J146" s="20"/>
      <c r="K146" s="20"/>
      <c r="L146" s="21"/>
    </row>
    <row r="147" ht="14.25" customHeight="1">
      <c r="A147" s="20"/>
      <c r="B147" s="20"/>
      <c r="C147" s="161"/>
      <c r="D147" s="162">
        <f t="shared" si="1"/>
        <v>0</v>
      </c>
      <c r="E147" s="162">
        <f t="shared" si="2"/>
        <v>0</v>
      </c>
      <c r="F147" s="20"/>
      <c r="G147" s="20"/>
      <c r="H147" s="20"/>
      <c r="I147" s="20"/>
      <c r="J147" s="20"/>
      <c r="K147" s="20"/>
      <c r="L147" s="21"/>
    </row>
    <row r="148" ht="14.25" customHeight="1">
      <c r="A148" s="20"/>
      <c r="B148" s="161"/>
      <c r="C148" s="161"/>
      <c r="D148" s="162">
        <f t="shared" si="1"/>
        <v>0</v>
      </c>
      <c r="E148" s="162">
        <f t="shared" si="2"/>
        <v>0</v>
      </c>
      <c r="F148" s="161"/>
      <c r="G148" s="161"/>
      <c r="H148" s="161"/>
      <c r="I148" s="161"/>
      <c r="J148" s="161"/>
      <c r="K148" s="161"/>
      <c r="L148" s="161"/>
    </row>
    <row r="149" ht="14.25" customHeight="1">
      <c r="A149" s="20"/>
      <c r="B149" s="20"/>
      <c r="C149" s="161"/>
      <c r="D149" s="162">
        <f t="shared" si="1"/>
        <v>0</v>
      </c>
      <c r="E149" s="162">
        <f t="shared" si="2"/>
        <v>0</v>
      </c>
      <c r="F149" s="20"/>
      <c r="G149" s="20"/>
      <c r="H149" s="20"/>
      <c r="I149" s="20"/>
      <c r="J149" s="20"/>
      <c r="K149" s="20"/>
      <c r="L149" s="21"/>
    </row>
    <row r="150" ht="14.25" customHeight="1">
      <c r="A150" s="20"/>
      <c r="B150" s="20"/>
      <c r="C150" s="161"/>
      <c r="D150" s="162">
        <f t="shared" si="1"/>
        <v>0</v>
      </c>
      <c r="E150" s="162">
        <f t="shared" si="2"/>
        <v>0</v>
      </c>
      <c r="F150" s="20"/>
      <c r="G150" s="20"/>
      <c r="H150" s="20"/>
      <c r="I150" s="20"/>
      <c r="J150" s="20"/>
      <c r="K150" s="20"/>
      <c r="L150" s="21"/>
    </row>
    <row r="151" ht="14.25" customHeight="1">
      <c r="A151" s="20"/>
      <c r="B151" s="161"/>
      <c r="C151" s="161"/>
      <c r="D151" s="162">
        <f t="shared" si="1"/>
        <v>0</v>
      </c>
      <c r="E151" s="162">
        <f t="shared" si="2"/>
        <v>0</v>
      </c>
      <c r="F151" s="161"/>
      <c r="G151" s="161"/>
      <c r="H151" s="161"/>
      <c r="I151" s="161"/>
      <c r="J151" s="161"/>
      <c r="K151" s="161"/>
      <c r="L151" s="161"/>
    </row>
    <row r="152" ht="14.25" customHeight="1">
      <c r="A152" s="20"/>
      <c r="B152" s="20"/>
      <c r="C152" s="161"/>
      <c r="D152" s="162">
        <f t="shared" si="1"/>
        <v>0</v>
      </c>
      <c r="E152" s="162">
        <f t="shared" si="2"/>
        <v>0</v>
      </c>
      <c r="F152" s="20"/>
      <c r="G152" s="20"/>
      <c r="H152" s="20"/>
      <c r="I152" s="20"/>
      <c r="J152" s="20"/>
      <c r="K152" s="20"/>
      <c r="L152" s="21"/>
    </row>
    <row r="153" ht="14.25" customHeight="1">
      <c r="A153" s="20"/>
      <c r="B153" s="20"/>
      <c r="C153" s="161"/>
      <c r="D153" s="162">
        <f t="shared" si="1"/>
        <v>0</v>
      </c>
      <c r="E153" s="162">
        <f t="shared" si="2"/>
        <v>0</v>
      </c>
      <c r="F153" s="20"/>
      <c r="G153" s="20"/>
      <c r="H153" s="20"/>
      <c r="I153" s="20"/>
      <c r="J153" s="20"/>
      <c r="K153" s="20"/>
      <c r="L153" s="21"/>
    </row>
    <row r="154" ht="14.25" customHeight="1">
      <c r="A154" s="20"/>
      <c r="B154" s="161"/>
      <c r="C154" s="161"/>
      <c r="D154" s="162">
        <f t="shared" si="1"/>
        <v>0</v>
      </c>
      <c r="E154" s="162">
        <f t="shared" si="2"/>
        <v>0</v>
      </c>
      <c r="F154" s="161"/>
      <c r="G154" s="161"/>
      <c r="H154" s="161"/>
      <c r="I154" s="161"/>
      <c r="J154" s="161"/>
      <c r="K154" s="161"/>
      <c r="L154" s="161"/>
    </row>
    <row r="155" ht="14.25" customHeight="1">
      <c r="A155" s="20"/>
      <c r="B155" s="20"/>
      <c r="C155" s="161"/>
      <c r="D155" s="162">
        <f t="shared" si="1"/>
        <v>0</v>
      </c>
      <c r="E155" s="162">
        <f t="shared" si="2"/>
        <v>0</v>
      </c>
      <c r="F155" s="20"/>
      <c r="G155" s="20"/>
      <c r="H155" s="20"/>
      <c r="I155" s="20"/>
      <c r="J155" s="20"/>
      <c r="K155" s="20"/>
      <c r="L155" s="21"/>
    </row>
    <row r="156" ht="14.25" customHeight="1">
      <c r="A156" s="20"/>
      <c r="B156" s="20"/>
      <c r="C156" s="161"/>
      <c r="D156" s="162">
        <f t="shared" si="1"/>
        <v>0</v>
      </c>
      <c r="E156" s="162">
        <f t="shared" si="2"/>
        <v>0</v>
      </c>
      <c r="F156" s="20"/>
      <c r="G156" s="20"/>
      <c r="H156" s="20"/>
      <c r="I156" s="20"/>
      <c r="J156" s="20"/>
      <c r="K156" s="20"/>
      <c r="L156" s="21"/>
    </row>
    <row r="157" ht="14.25" customHeight="1">
      <c r="A157" s="20"/>
      <c r="B157" s="161"/>
      <c r="C157" s="161"/>
      <c r="D157" s="162">
        <f t="shared" si="1"/>
        <v>0</v>
      </c>
      <c r="E157" s="162">
        <f t="shared" si="2"/>
        <v>0</v>
      </c>
      <c r="F157" s="161"/>
      <c r="G157" s="161"/>
      <c r="H157" s="161"/>
      <c r="I157" s="161"/>
      <c r="J157" s="161"/>
      <c r="K157" s="161"/>
      <c r="L157" s="161"/>
    </row>
    <row r="158" ht="14.25" customHeight="1">
      <c r="A158" s="20"/>
      <c r="B158" s="20"/>
      <c r="C158" s="161"/>
      <c r="D158" s="162">
        <f t="shared" si="1"/>
        <v>0</v>
      </c>
      <c r="E158" s="162">
        <f t="shared" si="2"/>
        <v>0</v>
      </c>
      <c r="F158" s="20"/>
      <c r="G158" s="20"/>
      <c r="H158" s="20"/>
      <c r="I158" s="20"/>
      <c r="J158" s="20"/>
      <c r="K158" s="20"/>
      <c r="L158" s="21"/>
    </row>
    <row r="159" ht="14.25" customHeight="1">
      <c r="A159" s="20"/>
      <c r="B159" s="161"/>
      <c r="C159" s="161"/>
      <c r="D159" s="162">
        <f t="shared" si="1"/>
        <v>0</v>
      </c>
      <c r="E159" s="162">
        <f t="shared" si="2"/>
        <v>0</v>
      </c>
      <c r="F159" s="161"/>
      <c r="G159" s="161"/>
      <c r="H159" s="161"/>
      <c r="I159" s="161"/>
      <c r="J159" s="161"/>
      <c r="K159" s="161"/>
      <c r="L159" s="161"/>
    </row>
    <row r="160" ht="14.25" customHeight="1">
      <c r="A160" s="20"/>
      <c r="B160" s="20"/>
      <c r="C160" s="161"/>
      <c r="D160" s="162">
        <f t="shared" si="1"/>
        <v>0</v>
      </c>
      <c r="E160" s="162">
        <f t="shared" si="2"/>
        <v>0</v>
      </c>
      <c r="F160" s="20"/>
      <c r="G160" s="20"/>
      <c r="H160" s="20"/>
      <c r="I160" s="20"/>
      <c r="J160" s="20"/>
      <c r="K160" s="20"/>
      <c r="L160" s="21"/>
    </row>
    <row r="161" ht="14.25" customHeight="1">
      <c r="A161" s="20"/>
      <c r="B161" s="20"/>
      <c r="C161" s="161"/>
      <c r="D161" s="162">
        <f t="shared" si="1"/>
        <v>0</v>
      </c>
      <c r="E161" s="162">
        <f t="shared" si="2"/>
        <v>0</v>
      </c>
      <c r="F161" s="20"/>
      <c r="G161" s="20"/>
      <c r="H161" s="20"/>
      <c r="I161" s="20"/>
      <c r="J161" s="20"/>
      <c r="K161" s="20"/>
      <c r="L161" s="21"/>
    </row>
    <row r="162" ht="14.25" customHeight="1">
      <c r="A162" s="20"/>
      <c r="B162" s="161"/>
      <c r="C162" s="161"/>
      <c r="D162" s="162">
        <f t="shared" si="1"/>
        <v>0</v>
      </c>
      <c r="E162" s="162">
        <f t="shared" si="2"/>
        <v>0</v>
      </c>
      <c r="F162" s="161"/>
      <c r="G162" s="161"/>
      <c r="H162" s="161"/>
      <c r="I162" s="161"/>
      <c r="J162" s="161"/>
      <c r="K162" s="161"/>
      <c r="L162" s="161"/>
    </row>
    <row r="163" ht="14.25" customHeight="1">
      <c r="A163" s="20"/>
      <c r="B163" s="20"/>
      <c r="C163" s="161"/>
      <c r="D163" s="162">
        <f t="shared" si="1"/>
        <v>0</v>
      </c>
      <c r="E163" s="162">
        <f t="shared" si="2"/>
        <v>0</v>
      </c>
      <c r="F163" s="20"/>
      <c r="G163" s="20"/>
      <c r="H163" s="20"/>
      <c r="I163" s="20"/>
      <c r="J163" s="20"/>
      <c r="K163" s="20"/>
      <c r="L163" s="21"/>
    </row>
    <row r="164" ht="14.25" customHeight="1">
      <c r="A164" s="20"/>
      <c r="B164" s="20"/>
      <c r="C164" s="161"/>
      <c r="D164" s="162">
        <f t="shared" si="1"/>
        <v>0</v>
      </c>
      <c r="E164" s="162">
        <f t="shared" si="2"/>
        <v>0</v>
      </c>
      <c r="F164" s="20"/>
      <c r="G164" s="20"/>
      <c r="H164" s="20"/>
      <c r="I164" s="20"/>
      <c r="J164" s="20"/>
      <c r="K164" s="20"/>
      <c r="L164" s="21"/>
    </row>
    <row r="165" ht="14.25" customHeight="1">
      <c r="A165" s="20"/>
      <c r="B165" s="161"/>
      <c r="C165" s="161"/>
      <c r="D165" s="162">
        <f t="shared" si="1"/>
        <v>0</v>
      </c>
      <c r="E165" s="162">
        <f t="shared" si="2"/>
        <v>0</v>
      </c>
      <c r="F165" s="161"/>
      <c r="G165" s="161"/>
      <c r="H165" s="161"/>
      <c r="I165" s="161"/>
      <c r="J165" s="161"/>
      <c r="K165" s="161"/>
      <c r="L165" s="161"/>
    </row>
    <row r="166" ht="14.25" customHeight="1">
      <c r="A166" s="20"/>
      <c r="B166" s="20"/>
      <c r="C166" s="161"/>
      <c r="D166" s="162">
        <f t="shared" si="1"/>
        <v>0</v>
      </c>
      <c r="E166" s="162">
        <f t="shared" si="2"/>
        <v>0</v>
      </c>
      <c r="F166" s="20"/>
      <c r="G166" s="20"/>
      <c r="H166" s="20"/>
      <c r="I166" s="20"/>
      <c r="J166" s="20"/>
      <c r="K166" s="20"/>
      <c r="L166" s="21"/>
    </row>
    <row r="167" ht="14.25" customHeight="1">
      <c r="A167" s="20"/>
      <c r="B167" s="20"/>
      <c r="C167" s="161"/>
      <c r="D167" s="162">
        <f t="shared" si="1"/>
        <v>0</v>
      </c>
      <c r="E167" s="162">
        <f t="shared" si="2"/>
        <v>0</v>
      </c>
      <c r="F167" s="20"/>
      <c r="G167" s="20"/>
      <c r="H167" s="20"/>
      <c r="I167" s="20"/>
      <c r="J167" s="20"/>
      <c r="K167" s="20"/>
      <c r="L167" s="21"/>
    </row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4:M4"/>
    <mergeCell ref="A6:G6"/>
    <mergeCell ref="A8:G8"/>
    <mergeCell ref="A9:G9"/>
    <mergeCell ref="A10:G10"/>
    <mergeCell ref="A14:L15"/>
  </mergeCells>
  <dataValidations>
    <dataValidation type="list" allowBlank="1" showErrorMessage="1" sqref="A17:A167">
      <formula1>#REF!</formula1>
    </dataValidation>
  </dataValidations>
  <printOptions/>
  <pageMargins bottom="0.787401575" footer="0.0" header="0.0" left="0.511811024" right="0.511811024" top="0.7874015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4125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2.71"/>
    <col customWidth="1" min="3" max="3" width="19.29"/>
    <col customWidth="1" min="4" max="4" width="36.0"/>
    <col customWidth="1" min="5" max="5" width="18.29"/>
    <col customWidth="1" min="6" max="6" width="12.71"/>
    <col customWidth="1" min="7" max="10" width="15.57"/>
    <col customWidth="1" min="11" max="11" width="32.29"/>
    <col customWidth="1" min="12" max="12" width="29.14"/>
    <col customWidth="1" min="13" max="13" width="11.86"/>
    <col customWidth="1" min="14" max="14" width="16.29"/>
  </cols>
  <sheetData>
    <row r="1" ht="14.25" customHeight="1">
      <c r="A1" s="131" t="s">
        <v>1312</v>
      </c>
    </row>
    <row r="2" ht="14.25" customHeight="1"/>
    <row r="3" ht="14.25" customHeight="1">
      <c r="A3" s="132" t="s">
        <v>1350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4"/>
    </row>
    <row r="4" ht="14.25" customHeight="1">
      <c r="A4" s="164" t="s">
        <v>1351</v>
      </c>
      <c r="B4" s="150"/>
      <c r="C4" s="150"/>
      <c r="D4" s="150"/>
      <c r="E4" s="150"/>
      <c r="F4" s="150"/>
      <c r="G4" s="151"/>
      <c r="H4" s="165"/>
      <c r="I4" s="165"/>
      <c r="J4" s="165"/>
      <c r="K4" s="165"/>
      <c r="L4" s="165"/>
      <c r="M4" s="165"/>
    </row>
    <row r="5" ht="14.25" customHeight="1">
      <c r="A5" s="166"/>
      <c r="G5" s="167"/>
      <c r="H5" s="165"/>
      <c r="I5" s="165"/>
      <c r="J5" s="165"/>
      <c r="K5" s="165"/>
      <c r="L5" s="165"/>
      <c r="M5" s="165"/>
      <c r="N5" s="165"/>
    </row>
    <row r="6" ht="14.25" customHeight="1">
      <c r="A6" s="168" t="s">
        <v>1352</v>
      </c>
      <c r="B6" s="142"/>
      <c r="C6" s="142"/>
      <c r="D6" s="142"/>
      <c r="E6" s="142"/>
      <c r="F6" s="142"/>
      <c r="G6" s="143"/>
      <c r="H6" s="165"/>
      <c r="I6" s="165"/>
      <c r="J6" s="165"/>
      <c r="K6" s="165"/>
      <c r="L6" s="165"/>
      <c r="M6" s="165"/>
    </row>
    <row r="7" ht="14.25" customHeight="1">
      <c r="A7" s="169" t="s">
        <v>1353</v>
      </c>
      <c r="G7" s="167"/>
      <c r="H7" s="165"/>
      <c r="I7" s="165"/>
      <c r="J7" s="165"/>
      <c r="K7" s="165"/>
      <c r="L7" s="165"/>
      <c r="M7" s="165"/>
      <c r="N7" s="165"/>
    </row>
    <row r="8" ht="14.25" customHeight="1">
      <c r="A8" s="169" t="s">
        <v>1354</v>
      </c>
      <c r="G8" s="167"/>
      <c r="H8" s="165"/>
      <c r="I8" s="165"/>
      <c r="J8" s="165"/>
      <c r="K8" s="165"/>
      <c r="L8" s="165"/>
      <c r="M8" s="165"/>
      <c r="N8" s="165"/>
    </row>
    <row r="9" ht="14.25" customHeight="1">
      <c r="A9" s="170" t="s">
        <v>1355</v>
      </c>
      <c r="G9" s="167"/>
      <c r="H9" s="165"/>
      <c r="I9" s="165"/>
      <c r="J9" s="165"/>
      <c r="K9" s="165"/>
      <c r="L9" s="165"/>
      <c r="M9" s="165"/>
      <c r="N9" s="165"/>
    </row>
    <row r="10" ht="15.0" customHeight="1">
      <c r="A10" s="171" t="s">
        <v>1356</v>
      </c>
      <c r="B10" s="154"/>
      <c r="C10" s="154"/>
      <c r="D10" s="154"/>
      <c r="E10" s="154"/>
      <c r="F10" s="154"/>
      <c r="G10" s="155"/>
      <c r="H10" s="165"/>
      <c r="I10" s="165"/>
      <c r="J10" s="165"/>
      <c r="K10" s="165"/>
      <c r="L10" s="165"/>
      <c r="M10" s="165"/>
      <c r="N10" s="165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>
      <c r="A16" s="172" t="s">
        <v>1357</v>
      </c>
      <c r="B16" s="150"/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M16" s="151"/>
      <c r="N16" s="173"/>
    </row>
    <row r="17" ht="15.0" customHeight="1">
      <c r="A17" s="153"/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5"/>
      <c r="N17" s="173"/>
    </row>
    <row r="18" ht="113.25" customHeight="1">
      <c r="A18" s="156" t="s">
        <v>1</v>
      </c>
      <c r="B18" s="156" t="s">
        <v>1321</v>
      </c>
      <c r="C18" s="159" t="s">
        <v>1358</v>
      </c>
      <c r="D18" s="159" t="s">
        <v>1359</v>
      </c>
      <c r="E18" s="156" t="s">
        <v>1327</v>
      </c>
      <c r="F18" s="156" t="s">
        <v>1321</v>
      </c>
      <c r="G18" s="156" t="s">
        <v>1360</v>
      </c>
      <c r="H18" s="156" t="s">
        <v>1361</v>
      </c>
      <c r="I18" s="156" t="s">
        <v>1362</v>
      </c>
      <c r="J18" s="156" t="s">
        <v>1363</v>
      </c>
      <c r="K18" s="156" t="s">
        <v>1364</v>
      </c>
      <c r="L18" s="156" t="s">
        <v>1321</v>
      </c>
      <c r="M18" s="156" t="s">
        <v>1365</v>
      </c>
    </row>
    <row r="19" ht="14.25" customHeight="1">
      <c r="A19" s="20" t="s">
        <v>1331</v>
      </c>
      <c r="B19" s="174" t="s">
        <v>28</v>
      </c>
      <c r="C19" s="174">
        <v>128.0</v>
      </c>
      <c r="D19" s="174" t="s">
        <v>1347</v>
      </c>
      <c r="E19" s="174" t="s">
        <v>1333</v>
      </c>
      <c r="F19" s="174" t="s">
        <v>33</v>
      </c>
      <c r="G19" s="175">
        <f t="shared" ref="G19:G168" si="1">(C19*92/100)*3</f>
        <v>353.28</v>
      </c>
      <c r="H19" s="175">
        <f t="shared" ref="H19:H168" si="2">(C19*92/100)*4</f>
        <v>471.04</v>
      </c>
      <c r="I19" s="175">
        <f t="shared" ref="I19:I168" si="3">(C19*8/100)*7</f>
        <v>71.68</v>
      </c>
      <c r="J19" s="175">
        <f t="shared" ref="J19:J168" si="4">(C19*8/100)*6</f>
        <v>61.44</v>
      </c>
      <c r="K19" s="174" t="s">
        <v>1336</v>
      </c>
      <c r="L19" s="174" t="s">
        <v>28</v>
      </c>
      <c r="M19" s="174" t="s">
        <v>1339</v>
      </c>
    </row>
    <row r="20" ht="14.25" customHeight="1">
      <c r="A20" s="20" t="s">
        <v>1331</v>
      </c>
      <c r="B20" s="174" t="s">
        <v>29</v>
      </c>
      <c r="C20" s="174">
        <v>368.0</v>
      </c>
      <c r="D20" s="174" t="s">
        <v>1340</v>
      </c>
      <c r="E20" s="174" t="s">
        <v>1333</v>
      </c>
      <c r="F20" s="174" t="s">
        <v>29</v>
      </c>
      <c r="G20" s="175">
        <f t="shared" si="1"/>
        <v>1015.68</v>
      </c>
      <c r="H20" s="175">
        <f t="shared" si="2"/>
        <v>1354.24</v>
      </c>
      <c r="I20" s="175">
        <f t="shared" si="3"/>
        <v>206.08</v>
      </c>
      <c r="J20" s="175">
        <f t="shared" si="4"/>
        <v>176.64</v>
      </c>
      <c r="K20" s="174" t="s">
        <v>1340</v>
      </c>
      <c r="L20" s="174" t="s">
        <v>29</v>
      </c>
      <c r="M20" s="174" t="s">
        <v>1339</v>
      </c>
    </row>
    <row r="21" ht="14.25" customHeight="1">
      <c r="A21" s="20" t="s">
        <v>1331</v>
      </c>
      <c r="B21" s="174" t="s">
        <v>30</v>
      </c>
      <c r="C21" s="174">
        <v>0.0</v>
      </c>
      <c r="D21" s="174" t="s">
        <v>1343</v>
      </c>
      <c r="E21" s="174" t="s">
        <v>1333</v>
      </c>
      <c r="F21" s="174" t="s">
        <v>32</v>
      </c>
      <c r="G21" s="175">
        <f t="shared" si="1"/>
        <v>0</v>
      </c>
      <c r="H21" s="175">
        <f t="shared" si="2"/>
        <v>0</v>
      </c>
      <c r="I21" s="175">
        <f t="shared" si="3"/>
        <v>0</v>
      </c>
      <c r="J21" s="175">
        <f t="shared" si="4"/>
        <v>0</v>
      </c>
      <c r="K21" s="174" t="s">
        <v>1366</v>
      </c>
      <c r="L21" s="174" t="s">
        <v>30</v>
      </c>
      <c r="M21" s="174" t="s">
        <v>1339</v>
      </c>
    </row>
    <row r="22" ht="14.25" customHeight="1">
      <c r="A22" s="20" t="s">
        <v>1331</v>
      </c>
      <c r="B22" s="174" t="s">
        <v>31</v>
      </c>
      <c r="C22" s="174">
        <v>0.0</v>
      </c>
      <c r="D22" s="174" t="s">
        <v>1343</v>
      </c>
      <c r="E22" s="174" t="s">
        <v>1333</v>
      </c>
      <c r="F22" s="174" t="s">
        <v>32</v>
      </c>
      <c r="G22" s="175">
        <f t="shared" si="1"/>
        <v>0</v>
      </c>
      <c r="H22" s="175">
        <f t="shared" si="2"/>
        <v>0</v>
      </c>
      <c r="I22" s="175">
        <f t="shared" si="3"/>
        <v>0</v>
      </c>
      <c r="J22" s="175">
        <f t="shared" si="4"/>
        <v>0</v>
      </c>
      <c r="K22" s="174" t="s">
        <v>1366</v>
      </c>
      <c r="L22" s="174" t="s">
        <v>30</v>
      </c>
      <c r="M22" s="174" t="s">
        <v>1339</v>
      </c>
    </row>
    <row r="23" ht="14.25" customHeight="1">
      <c r="A23" s="20" t="s">
        <v>1331</v>
      </c>
      <c r="B23" s="174" t="s">
        <v>32</v>
      </c>
      <c r="C23" s="174">
        <v>632.0</v>
      </c>
      <c r="D23" s="174" t="s">
        <v>1343</v>
      </c>
      <c r="E23" s="174" t="s">
        <v>1333</v>
      </c>
      <c r="F23" s="174" t="s">
        <v>32</v>
      </c>
      <c r="G23" s="175">
        <f t="shared" si="1"/>
        <v>1744.32</v>
      </c>
      <c r="H23" s="175">
        <f t="shared" si="2"/>
        <v>2325.76</v>
      </c>
      <c r="I23" s="175">
        <f t="shared" si="3"/>
        <v>353.92</v>
      </c>
      <c r="J23" s="175">
        <f t="shared" si="4"/>
        <v>303.36</v>
      </c>
      <c r="K23" s="174" t="s">
        <v>1343</v>
      </c>
      <c r="L23" s="174" t="s">
        <v>32</v>
      </c>
      <c r="M23" s="174" t="s">
        <v>1339</v>
      </c>
    </row>
    <row r="24" ht="14.25" customHeight="1">
      <c r="A24" s="20" t="s">
        <v>1331</v>
      </c>
      <c r="B24" s="174" t="s">
        <v>33</v>
      </c>
      <c r="C24" s="174">
        <v>909.0</v>
      </c>
      <c r="D24" s="174" t="s">
        <v>1347</v>
      </c>
      <c r="E24" s="174" t="s">
        <v>1333</v>
      </c>
      <c r="F24" s="174" t="s">
        <v>33</v>
      </c>
      <c r="G24" s="175">
        <f t="shared" si="1"/>
        <v>2508.84</v>
      </c>
      <c r="H24" s="175">
        <f t="shared" si="2"/>
        <v>3345.12</v>
      </c>
      <c r="I24" s="175">
        <f t="shared" si="3"/>
        <v>509.04</v>
      </c>
      <c r="J24" s="175">
        <f t="shared" si="4"/>
        <v>436.32</v>
      </c>
      <c r="K24" s="174" t="s">
        <v>1347</v>
      </c>
      <c r="L24" s="174" t="s">
        <v>33</v>
      </c>
      <c r="M24" s="174" t="s">
        <v>1339</v>
      </c>
    </row>
    <row r="25" ht="14.25" customHeight="1">
      <c r="A25" s="20" t="s">
        <v>1331</v>
      </c>
      <c r="B25" s="174" t="s">
        <v>34</v>
      </c>
      <c r="C25" s="174">
        <v>92.0</v>
      </c>
      <c r="D25" s="174" t="s">
        <v>1347</v>
      </c>
      <c r="E25" s="174" t="s">
        <v>1333</v>
      </c>
      <c r="F25" s="174" t="s">
        <v>33</v>
      </c>
      <c r="G25" s="175">
        <f t="shared" si="1"/>
        <v>253.92</v>
      </c>
      <c r="H25" s="175">
        <f t="shared" si="2"/>
        <v>338.56</v>
      </c>
      <c r="I25" s="175">
        <f t="shared" si="3"/>
        <v>51.52</v>
      </c>
      <c r="J25" s="175">
        <f t="shared" si="4"/>
        <v>44.16</v>
      </c>
      <c r="K25" s="174" t="s">
        <v>1349</v>
      </c>
      <c r="L25" s="174" t="s">
        <v>34</v>
      </c>
      <c r="M25" s="174" t="s">
        <v>1339</v>
      </c>
    </row>
    <row r="26" ht="14.25" customHeight="1">
      <c r="A26" s="20" t="s">
        <v>1331</v>
      </c>
      <c r="B26" s="174" t="s">
        <v>1367</v>
      </c>
      <c r="C26" s="174">
        <v>533.0</v>
      </c>
      <c r="D26" s="174"/>
      <c r="E26" s="174"/>
      <c r="F26" s="174"/>
      <c r="G26" s="175">
        <f t="shared" si="1"/>
        <v>1471.08</v>
      </c>
      <c r="H26" s="175">
        <f t="shared" si="2"/>
        <v>1961.44</v>
      </c>
      <c r="I26" s="175">
        <f t="shared" si="3"/>
        <v>298.48</v>
      </c>
      <c r="J26" s="175">
        <f t="shared" si="4"/>
        <v>255.84</v>
      </c>
      <c r="K26" s="174"/>
      <c r="L26" s="174"/>
      <c r="M26" s="174"/>
    </row>
    <row r="27" ht="14.25" customHeight="1">
      <c r="A27" s="20"/>
      <c r="B27" s="174"/>
      <c r="C27" s="174"/>
      <c r="D27" s="174" t="s">
        <v>1368</v>
      </c>
      <c r="E27" s="174"/>
      <c r="F27" s="174"/>
      <c r="G27" s="175">
        <f t="shared" si="1"/>
        <v>0</v>
      </c>
      <c r="H27" s="175">
        <f t="shared" si="2"/>
        <v>0</v>
      </c>
      <c r="I27" s="175">
        <f t="shared" si="3"/>
        <v>0</v>
      </c>
      <c r="J27" s="175">
        <f t="shared" si="4"/>
        <v>0</v>
      </c>
      <c r="K27" s="174"/>
      <c r="L27" s="174"/>
      <c r="M27" s="174"/>
    </row>
    <row r="28" ht="14.25" customHeight="1">
      <c r="A28" s="20"/>
      <c r="B28" s="174"/>
      <c r="C28" s="174"/>
      <c r="D28" s="174"/>
      <c r="E28" s="174"/>
      <c r="F28" s="174"/>
      <c r="G28" s="175">
        <f t="shared" si="1"/>
        <v>0</v>
      </c>
      <c r="H28" s="175">
        <f t="shared" si="2"/>
        <v>0</v>
      </c>
      <c r="I28" s="175">
        <f t="shared" si="3"/>
        <v>0</v>
      </c>
      <c r="J28" s="175">
        <f t="shared" si="4"/>
        <v>0</v>
      </c>
      <c r="K28" s="174"/>
      <c r="L28" s="174"/>
      <c r="M28" s="174"/>
    </row>
    <row r="29" ht="14.25" customHeight="1">
      <c r="A29" s="20"/>
      <c r="B29" s="174"/>
      <c r="C29" s="174"/>
      <c r="D29" s="174"/>
      <c r="E29" s="174"/>
      <c r="F29" s="174"/>
      <c r="G29" s="175">
        <f t="shared" si="1"/>
        <v>0</v>
      </c>
      <c r="H29" s="175">
        <f t="shared" si="2"/>
        <v>0</v>
      </c>
      <c r="I29" s="175">
        <f t="shared" si="3"/>
        <v>0</v>
      </c>
      <c r="J29" s="175">
        <f t="shared" si="4"/>
        <v>0</v>
      </c>
      <c r="K29" s="174"/>
      <c r="L29" s="174"/>
      <c r="M29" s="174"/>
    </row>
    <row r="30" ht="14.25" customHeight="1">
      <c r="A30" s="20"/>
      <c r="B30" s="174"/>
      <c r="C30" s="174"/>
      <c r="D30" s="174"/>
      <c r="E30" s="174"/>
      <c r="F30" s="174"/>
      <c r="G30" s="175">
        <f t="shared" si="1"/>
        <v>0</v>
      </c>
      <c r="H30" s="175">
        <f t="shared" si="2"/>
        <v>0</v>
      </c>
      <c r="I30" s="175">
        <f t="shared" si="3"/>
        <v>0</v>
      </c>
      <c r="J30" s="175">
        <f t="shared" si="4"/>
        <v>0</v>
      </c>
      <c r="K30" s="174"/>
      <c r="L30" s="174"/>
      <c r="M30" s="174"/>
    </row>
    <row r="31" ht="14.25" customHeight="1">
      <c r="A31" s="20"/>
      <c r="B31" s="174"/>
      <c r="C31" s="174"/>
      <c r="D31" s="174"/>
      <c r="E31" s="174"/>
      <c r="F31" s="174"/>
      <c r="G31" s="175">
        <f t="shared" si="1"/>
        <v>0</v>
      </c>
      <c r="H31" s="175">
        <f t="shared" si="2"/>
        <v>0</v>
      </c>
      <c r="I31" s="175">
        <f t="shared" si="3"/>
        <v>0</v>
      </c>
      <c r="J31" s="175">
        <f t="shared" si="4"/>
        <v>0</v>
      </c>
      <c r="K31" s="174"/>
      <c r="L31" s="174"/>
      <c r="M31" s="174"/>
    </row>
    <row r="32" ht="14.25" customHeight="1">
      <c r="A32" s="20"/>
      <c r="B32" s="174"/>
      <c r="C32" s="174"/>
      <c r="D32" s="174"/>
      <c r="E32" s="174"/>
      <c r="F32" s="174"/>
      <c r="G32" s="175">
        <f t="shared" si="1"/>
        <v>0</v>
      </c>
      <c r="H32" s="175">
        <f t="shared" si="2"/>
        <v>0</v>
      </c>
      <c r="I32" s="175">
        <f t="shared" si="3"/>
        <v>0</v>
      </c>
      <c r="J32" s="175">
        <f t="shared" si="4"/>
        <v>0</v>
      </c>
      <c r="K32" s="174"/>
      <c r="L32" s="174"/>
      <c r="M32" s="174"/>
    </row>
    <row r="33" ht="14.25" customHeight="1">
      <c r="A33" s="20"/>
      <c r="B33" s="174"/>
      <c r="C33" s="174"/>
      <c r="D33" s="174"/>
      <c r="E33" s="174"/>
      <c r="F33" s="174"/>
      <c r="G33" s="175">
        <f t="shared" si="1"/>
        <v>0</v>
      </c>
      <c r="H33" s="175">
        <f t="shared" si="2"/>
        <v>0</v>
      </c>
      <c r="I33" s="175">
        <f t="shared" si="3"/>
        <v>0</v>
      </c>
      <c r="J33" s="175">
        <f t="shared" si="4"/>
        <v>0</v>
      </c>
      <c r="K33" s="174"/>
      <c r="L33" s="174"/>
      <c r="M33" s="174"/>
    </row>
    <row r="34" ht="14.25" customHeight="1">
      <c r="A34" s="20"/>
      <c r="B34" s="174"/>
      <c r="C34" s="174"/>
      <c r="D34" s="174"/>
      <c r="E34" s="174"/>
      <c r="F34" s="174"/>
      <c r="G34" s="175">
        <f t="shared" si="1"/>
        <v>0</v>
      </c>
      <c r="H34" s="175">
        <f t="shared" si="2"/>
        <v>0</v>
      </c>
      <c r="I34" s="175">
        <f t="shared" si="3"/>
        <v>0</v>
      </c>
      <c r="J34" s="175">
        <f t="shared" si="4"/>
        <v>0</v>
      </c>
      <c r="K34" s="174"/>
      <c r="L34" s="174"/>
      <c r="M34" s="174"/>
    </row>
    <row r="35" ht="14.25" customHeight="1">
      <c r="A35" s="20"/>
      <c r="B35" s="174"/>
      <c r="C35" s="174"/>
      <c r="D35" s="174"/>
      <c r="E35" s="174"/>
      <c r="F35" s="174"/>
      <c r="G35" s="175">
        <f t="shared" si="1"/>
        <v>0</v>
      </c>
      <c r="H35" s="175">
        <f t="shared" si="2"/>
        <v>0</v>
      </c>
      <c r="I35" s="175">
        <f t="shared" si="3"/>
        <v>0</v>
      </c>
      <c r="J35" s="175">
        <f t="shared" si="4"/>
        <v>0</v>
      </c>
      <c r="K35" s="174"/>
      <c r="L35" s="174"/>
      <c r="M35" s="174"/>
    </row>
    <row r="36" ht="14.25" customHeight="1">
      <c r="A36" s="20"/>
      <c r="B36" s="174"/>
      <c r="C36" s="174"/>
      <c r="D36" s="174"/>
      <c r="E36" s="174"/>
      <c r="F36" s="174"/>
      <c r="G36" s="175">
        <f t="shared" si="1"/>
        <v>0</v>
      </c>
      <c r="H36" s="175">
        <f t="shared" si="2"/>
        <v>0</v>
      </c>
      <c r="I36" s="175">
        <f t="shared" si="3"/>
        <v>0</v>
      </c>
      <c r="J36" s="175">
        <f t="shared" si="4"/>
        <v>0</v>
      </c>
      <c r="K36" s="174"/>
      <c r="L36" s="174"/>
      <c r="M36" s="174"/>
    </row>
    <row r="37" ht="14.25" customHeight="1">
      <c r="A37" s="20"/>
      <c r="B37" s="174"/>
      <c r="C37" s="174"/>
      <c r="D37" s="174"/>
      <c r="E37" s="174"/>
      <c r="F37" s="174"/>
      <c r="G37" s="175">
        <f t="shared" si="1"/>
        <v>0</v>
      </c>
      <c r="H37" s="175">
        <f t="shared" si="2"/>
        <v>0</v>
      </c>
      <c r="I37" s="175">
        <f t="shared" si="3"/>
        <v>0</v>
      </c>
      <c r="J37" s="175">
        <f t="shared" si="4"/>
        <v>0</v>
      </c>
      <c r="K37" s="174"/>
      <c r="L37" s="174"/>
      <c r="M37" s="174"/>
    </row>
    <row r="38" ht="14.25" customHeight="1">
      <c r="A38" s="20"/>
      <c r="B38" s="174"/>
      <c r="C38" s="174"/>
      <c r="D38" s="174"/>
      <c r="E38" s="174"/>
      <c r="F38" s="174"/>
      <c r="G38" s="175">
        <f t="shared" si="1"/>
        <v>0</v>
      </c>
      <c r="H38" s="175">
        <f t="shared" si="2"/>
        <v>0</v>
      </c>
      <c r="I38" s="175">
        <f t="shared" si="3"/>
        <v>0</v>
      </c>
      <c r="J38" s="175">
        <f t="shared" si="4"/>
        <v>0</v>
      </c>
      <c r="K38" s="174"/>
      <c r="L38" s="174"/>
      <c r="M38" s="174"/>
    </row>
    <row r="39" ht="14.25" customHeight="1">
      <c r="A39" s="20"/>
      <c r="B39" s="174"/>
      <c r="C39" s="174"/>
      <c r="D39" s="174"/>
      <c r="E39" s="174"/>
      <c r="F39" s="174"/>
      <c r="G39" s="175">
        <f t="shared" si="1"/>
        <v>0</v>
      </c>
      <c r="H39" s="175">
        <f t="shared" si="2"/>
        <v>0</v>
      </c>
      <c r="I39" s="175">
        <f t="shared" si="3"/>
        <v>0</v>
      </c>
      <c r="J39" s="175">
        <f t="shared" si="4"/>
        <v>0</v>
      </c>
      <c r="K39" s="174"/>
      <c r="L39" s="174"/>
      <c r="M39" s="174"/>
    </row>
    <row r="40" ht="14.25" customHeight="1">
      <c r="A40" s="20"/>
      <c r="B40" s="174"/>
      <c r="C40" s="174"/>
      <c r="D40" s="174"/>
      <c r="E40" s="174"/>
      <c r="F40" s="174"/>
      <c r="G40" s="175">
        <f t="shared" si="1"/>
        <v>0</v>
      </c>
      <c r="H40" s="175">
        <f t="shared" si="2"/>
        <v>0</v>
      </c>
      <c r="I40" s="175">
        <f t="shared" si="3"/>
        <v>0</v>
      </c>
      <c r="J40" s="175">
        <f t="shared" si="4"/>
        <v>0</v>
      </c>
      <c r="K40" s="174"/>
      <c r="L40" s="174"/>
      <c r="M40" s="174"/>
    </row>
    <row r="41" ht="14.25" customHeight="1">
      <c r="A41" s="20"/>
      <c r="B41" s="174"/>
      <c r="C41" s="174"/>
      <c r="D41" s="174"/>
      <c r="E41" s="174"/>
      <c r="F41" s="174"/>
      <c r="G41" s="175">
        <f t="shared" si="1"/>
        <v>0</v>
      </c>
      <c r="H41" s="175">
        <f t="shared" si="2"/>
        <v>0</v>
      </c>
      <c r="I41" s="175">
        <f t="shared" si="3"/>
        <v>0</v>
      </c>
      <c r="J41" s="175">
        <f t="shared" si="4"/>
        <v>0</v>
      </c>
      <c r="K41" s="174"/>
      <c r="L41" s="174"/>
      <c r="M41" s="174"/>
    </row>
    <row r="42" ht="14.25" customHeight="1">
      <c r="A42" s="20"/>
      <c r="B42" s="174"/>
      <c r="C42" s="174"/>
      <c r="D42" s="174"/>
      <c r="E42" s="174"/>
      <c r="F42" s="174"/>
      <c r="G42" s="175">
        <f t="shared" si="1"/>
        <v>0</v>
      </c>
      <c r="H42" s="175">
        <f t="shared" si="2"/>
        <v>0</v>
      </c>
      <c r="I42" s="175">
        <f t="shared" si="3"/>
        <v>0</v>
      </c>
      <c r="J42" s="175">
        <f t="shared" si="4"/>
        <v>0</v>
      </c>
      <c r="K42" s="174"/>
      <c r="L42" s="174"/>
      <c r="M42" s="174"/>
    </row>
    <row r="43" ht="14.25" customHeight="1">
      <c r="A43" s="20"/>
      <c r="B43" s="174"/>
      <c r="C43" s="174"/>
      <c r="D43" s="174"/>
      <c r="E43" s="174"/>
      <c r="F43" s="174"/>
      <c r="G43" s="175">
        <f t="shared" si="1"/>
        <v>0</v>
      </c>
      <c r="H43" s="175">
        <f t="shared" si="2"/>
        <v>0</v>
      </c>
      <c r="I43" s="175">
        <f t="shared" si="3"/>
        <v>0</v>
      </c>
      <c r="J43" s="175">
        <f t="shared" si="4"/>
        <v>0</v>
      </c>
      <c r="K43" s="174"/>
      <c r="L43" s="174"/>
      <c r="M43" s="174"/>
    </row>
    <row r="44" ht="14.25" customHeight="1">
      <c r="A44" s="20"/>
      <c r="B44" s="174"/>
      <c r="C44" s="174"/>
      <c r="D44" s="174"/>
      <c r="E44" s="174"/>
      <c r="F44" s="174"/>
      <c r="G44" s="175">
        <f t="shared" si="1"/>
        <v>0</v>
      </c>
      <c r="H44" s="175">
        <f t="shared" si="2"/>
        <v>0</v>
      </c>
      <c r="I44" s="175">
        <f t="shared" si="3"/>
        <v>0</v>
      </c>
      <c r="J44" s="175">
        <f t="shared" si="4"/>
        <v>0</v>
      </c>
      <c r="K44" s="174"/>
      <c r="L44" s="174"/>
      <c r="M44" s="174"/>
    </row>
    <row r="45" ht="14.25" customHeight="1">
      <c r="A45" s="20"/>
      <c r="B45" s="174"/>
      <c r="C45" s="174"/>
      <c r="D45" s="174"/>
      <c r="E45" s="174"/>
      <c r="F45" s="174"/>
      <c r="G45" s="175">
        <f t="shared" si="1"/>
        <v>0</v>
      </c>
      <c r="H45" s="175">
        <f t="shared" si="2"/>
        <v>0</v>
      </c>
      <c r="I45" s="175">
        <f t="shared" si="3"/>
        <v>0</v>
      </c>
      <c r="J45" s="175">
        <f t="shared" si="4"/>
        <v>0</v>
      </c>
      <c r="K45" s="174"/>
      <c r="L45" s="174"/>
      <c r="M45" s="174"/>
    </row>
    <row r="46" ht="14.25" customHeight="1">
      <c r="A46" s="20"/>
      <c r="B46" s="174"/>
      <c r="C46" s="174"/>
      <c r="D46" s="174"/>
      <c r="E46" s="174"/>
      <c r="F46" s="174"/>
      <c r="G46" s="175">
        <f t="shared" si="1"/>
        <v>0</v>
      </c>
      <c r="H46" s="175">
        <f t="shared" si="2"/>
        <v>0</v>
      </c>
      <c r="I46" s="175">
        <f t="shared" si="3"/>
        <v>0</v>
      </c>
      <c r="J46" s="175">
        <f t="shared" si="4"/>
        <v>0</v>
      </c>
      <c r="K46" s="174"/>
      <c r="L46" s="174"/>
      <c r="M46" s="174"/>
    </row>
    <row r="47" ht="14.25" customHeight="1">
      <c r="A47" s="20"/>
      <c r="B47" s="174"/>
      <c r="C47" s="174"/>
      <c r="D47" s="174"/>
      <c r="E47" s="174"/>
      <c r="F47" s="174"/>
      <c r="G47" s="175">
        <f t="shared" si="1"/>
        <v>0</v>
      </c>
      <c r="H47" s="175">
        <f t="shared" si="2"/>
        <v>0</v>
      </c>
      <c r="I47" s="175">
        <f t="shared" si="3"/>
        <v>0</v>
      </c>
      <c r="J47" s="175">
        <f t="shared" si="4"/>
        <v>0</v>
      </c>
      <c r="K47" s="174"/>
      <c r="L47" s="174"/>
      <c r="M47" s="174"/>
    </row>
    <row r="48" ht="14.25" customHeight="1">
      <c r="A48" s="20"/>
      <c r="B48" s="174"/>
      <c r="C48" s="174"/>
      <c r="D48" s="174"/>
      <c r="E48" s="174"/>
      <c r="F48" s="174"/>
      <c r="G48" s="175">
        <f t="shared" si="1"/>
        <v>0</v>
      </c>
      <c r="H48" s="175">
        <f t="shared" si="2"/>
        <v>0</v>
      </c>
      <c r="I48" s="175">
        <f t="shared" si="3"/>
        <v>0</v>
      </c>
      <c r="J48" s="175">
        <f t="shared" si="4"/>
        <v>0</v>
      </c>
      <c r="K48" s="174"/>
      <c r="L48" s="174"/>
      <c r="M48" s="174"/>
    </row>
    <row r="49" ht="14.25" customHeight="1">
      <c r="A49" s="20"/>
      <c r="B49" s="174"/>
      <c r="C49" s="174"/>
      <c r="D49" s="174"/>
      <c r="E49" s="174"/>
      <c r="F49" s="174"/>
      <c r="G49" s="175">
        <f t="shared" si="1"/>
        <v>0</v>
      </c>
      <c r="H49" s="175">
        <f t="shared" si="2"/>
        <v>0</v>
      </c>
      <c r="I49" s="175">
        <f t="shared" si="3"/>
        <v>0</v>
      </c>
      <c r="J49" s="175">
        <f t="shared" si="4"/>
        <v>0</v>
      </c>
      <c r="K49" s="174"/>
      <c r="L49" s="174"/>
      <c r="M49" s="174"/>
    </row>
    <row r="50" ht="14.25" customHeight="1">
      <c r="A50" s="20"/>
      <c r="B50" s="174"/>
      <c r="C50" s="174"/>
      <c r="D50" s="174"/>
      <c r="E50" s="174"/>
      <c r="F50" s="174"/>
      <c r="G50" s="175">
        <f t="shared" si="1"/>
        <v>0</v>
      </c>
      <c r="H50" s="175">
        <f t="shared" si="2"/>
        <v>0</v>
      </c>
      <c r="I50" s="175">
        <f t="shared" si="3"/>
        <v>0</v>
      </c>
      <c r="J50" s="175">
        <f t="shared" si="4"/>
        <v>0</v>
      </c>
      <c r="K50" s="174"/>
      <c r="L50" s="174"/>
      <c r="M50" s="174"/>
    </row>
    <row r="51" ht="14.25" customHeight="1">
      <c r="A51" s="20"/>
      <c r="B51" s="174"/>
      <c r="C51" s="174"/>
      <c r="D51" s="174"/>
      <c r="E51" s="174"/>
      <c r="F51" s="174"/>
      <c r="G51" s="175">
        <f t="shared" si="1"/>
        <v>0</v>
      </c>
      <c r="H51" s="175">
        <f t="shared" si="2"/>
        <v>0</v>
      </c>
      <c r="I51" s="175">
        <f t="shared" si="3"/>
        <v>0</v>
      </c>
      <c r="J51" s="175">
        <f t="shared" si="4"/>
        <v>0</v>
      </c>
      <c r="K51" s="174"/>
      <c r="L51" s="174"/>
      <c r="M51" s="174"/>
    </row>
    <row r="52" ht="14.25" customHeight="1">
      <c r="A52" s="20"/>
      <c r="B52" s="174"/>
      <c r="C52" s="174"/>
      <c r="D52" s="174"/>
      <c r="E52" s="174"/>
      <c r="F52" s="174"/>
      <c r="G52" s="175">
        <f t="shared" si="1"/>
        <v>0</v>
      </c>
      <c r="H52" s="175">
        <f t="shared" si="2"/>
        <v>0</v>
      </c>
      <c r="I52" s="175">
        <f t="shared" si="3"/>
        <v>0</v>
      </c>
      <c r="J52" s="175">
        <f t="shared" si="4"/>
        <v>0</v>
      </c>
      <c r="K52" s="174"/>
      <c r="L52" s="174"/>
      <c r="M52" s="174"/>
    </row>
    <row r="53" ht="14.25" customHeight="1">
      <c r="A53" s="20"/>
      <c r="B53" s="174"/>
      <c r="C53" s="174"/>
      <c r="D53" s="174"/>
      <c r="E53" s="174"/>
      <c r="F53" s="174"/>
      <c r="G53" s="175">
        <f t="shared" si="1"/>
        <v>0</v>
      </c>
      <c r="H53" s="175">
        <f t="shared" si="2"/>
        <v>0</v>
      </c>
      <c r="I53" s="175">
        <f t="shared" si="3"/>
        <v>0</v>
      </c>
      <c r="J53" s="175">
        <f t="shared" si="4"/>
        <v>0</v>
      </c>
      <c r="K53" s="174"/>
      <c r="L53" s="174"/>
      <c r="M53" s="174"/>
    </row>
    <row r="54" ht="14.25" customHeight="1">
      <c r="A54" s="20"/>
      <c r="B54" s="174"/>
      <c r="C54" s="174"/>
      <c r="D54" s="174"/>
      <c r="E54" s="174"/>
      <c r="F54" s="174"/>
      <c r="G54" s="175">
        <f t="shared" si="1"/>
        <v>0</v>
      </c>
      <c r="H54" s="175">
        <f t="shared" si="2"/>
        <v>0</v>
      </c>
      <c r="I54" s="175">
        <f t="shared" si="3"/>
        <v>0</v>
      </c>
      <c r="J54" s="175">
        <f t="shared" si="4"/>
        <v>0</v>
      </c>
      <c r="K54" s="174"/>
      <c r="L54" s="174"/>
      <c r="M54" s="174"/>
    </row>
    <row r="55" ht="14.25" customHeight="1">
      <c r="A55" s="20"/>
      <c r="B55" s="174"/>
      <c r="C55" s="174"/>
      <c r="D55" s="174"/>
      <c r="E55" s="174"/>
      <c r="F55" s="174"/>
      <c r="G55" s="175">
        <f t="shared" si="1"/>
        <v>0</v>
      </c>
      <c r="H55" s="175">
        <f t="shared" si="2"/>
        <v>0</v>
      </c>
      <c r="I55" s="175">
        <f t="shared" si="3"/>
        <v>0</v>
      </c>
      <c r="J55" s="175">
        <f t="shared" si="4"/>
        <v>0</v>
      </c>
      <c r="K55" s="174"/>
      <c r="L55" s="174"/>
      <c r="M55" s="174"/>
    </row>
    <row r="56" ht="14.25" customHeight="1">
      <c r="A56" s="20"/>
      <c r="B56" s="174"/>
      <c r="C56" s="174"/>
      <c r="D56" s="174"/>
      <c r="E56" s="174"/>
      <c r="F56" s="174"/>
      <c r="G56" s="175">
        <f t="shared" si="1"/>
        <v>0</v>
      </c>
      <c r="H56" s="175">
        <f t="shared" si="2"/>
        <v>0</v>
      </c>
      <c r="I56" s="175">
        <f t="shared" si="3"/>
        <v>0</v>
      </c>
      <c r="J56" s="175">
        <f t="shared" si="4"/>
        <v>0</v>
      </c>
      <c r="K56" s="174"/>
      <c r="L56" s="174"/>
      <c r="M56" s="174"/>
    </row>
    <row r="57" ht="14.25" customHeight="1">
      <c r="A57" s="20"/>
      <c r="B57" s="174"/>
      <c r="C57" s="174"/>
      <c r="D57" s="174"/>
      <c r="E57" s="174"/>
      <c r="F57" s="174"/>
      <c r="G57" s="175">
        <f t="shared" si="1"/>
        <v>0</v>
      </c>
      <c r="H57" s="175">
        <f t="shared" si="2"/>
        <v>0</v>
      </c>
      <c r="I57" s="175">
        <f t="shared" si="3"/>
        <v>0</v>
      </c>
      <c r="J57" s="175">
        <f t="shared" si="4"/>
        <v>0</v>
      </c>
      <c r="K57" s="174"/>
      <c r="L57" s="174"/>
      <c r="M57" s="174"/>
    </row>
    <row r="58" ht="14.25" customHeight="1">
      <c r="A58" s="20"/>
      <c r="B58" s="174"/>
      <c r="C58" s="174"/>
      <c r="D58" s="174"/>
      <c r="E58" s="174"/>
      <c r="F58" s="174"/>
      <c r="G58" s="175">
        <f t="shared" si="1"/>
        <v>0</v>
      </c>
      <c r="H58" s="175">
        <f t="shared" si="2"/>
        <v>0</v>
      </c>
      <c r="I58" s="175">
        <f t="shared" si="3"/>
        <v>0</v>
      </c>
      <c r="J58" s="175">
        <f t="shared" si="4"/>
        <v>0</v>
      </c>
      <c r="K58" s="174"/>
      <c r="L58" s="174"/>
      <c r="M58" s="174"/>
    </row>
    <row r="59" ht="14.25" customHeight="1">
      <c r="A59" s="20"/>
      <c r="B59" s="174"/>
      <c r="C59" s="174"/>
      <c r="D59" s="174"/>
      <c r="E59" s="174"/>
      <c r="F59" s="174"/>
      <c r="G59" s="175">
        <f t="shared" si="1"/>
        <v>0</v>
      </c>
      <c r="H59" s="175">
        <f t="shared" si="2"/>
        <v>0</v>
      </c>
      <c r="I59" s="175">
        <f t="shared" si="3"/>
        <v>0</v>
      </c>
      <c r="J59" s="175">
        <f t="shared" si="4"/>
        <v>0</v>
      </c>
      <c r="K59" s="174"/>
      <c r="L59" s="174"/>
      <c r="M59" s="174"/>
    </row>
    <row r="60" ht="14.25" customHeight="1">
      <c r="A60" s="20"/>
      <c r="B60" s="174"/>
      <c r="C60" s="174"/>
      <c r="D60" s="174"/>
      <c r="E60" s="174"/>
      <c r="F60" s="174"/>
      <c r="G60" s="175">
        <f t="shared" si="1"/>
        <v>0</v>
      </c>
      <c r="H60" s="175">
        <f t="shared" si="2"/>
        <v>0</v>
      </c>
      <c r="I60" s="175">
        <f t="shared" si="3"/>
        <v>0</v>
      </c>
      <c r="J60" s="175">
        <f t="shared" si="4"/>
        <v>0</v>
      </c>
      <c r="K60" s="174"/>
      <c r="L60" s="174"/>
      <c r="M60" s="174"/>
    </row>
    <row r="61" ht="14.25" customHeight="1">
      <c r="A61" s="20"/>
      <c r="B61" s="174"/>
      <c r="C61" s="174"/>
      <c r="D61" s="174"/>
      <c r="E61" s="174"/>
      <c r="F61" s="174"/>
      <c r="G61" s="175">
        <f t="shared" si="1"/>
        <v>0</v>
      </c>
      <c r="H61" s="175">
        <f t="shared" si="2"/>
        <v>0</v>
      </c>
      <c r="I61" s="175">
        <f t="shared" si="3"/>
        <v>0</v>
      </c>
      <c r="J61" s="175">
        <f t="shared" si="4"/>
        <v>0</v>
      </c>
      <c r="K61" s="174"/>
      <c r="L61" s="174"/>
      <c r="M61" s="174"/>
    </row>
    <row r="62" ht="14.25" customHeight="1">
      <c r="A62" s="20"/>
      <c r="B62" s="174"/>
      <c r="C62" s="174"/>
      <c r="D62" s="174"/>
      <c r="E62" s="174"/>
      <c r="F62" s="174"/>
      <c r="G62" s="175">
        <f t="shared" si="1"/>
        <v>0</v>
      </c>
      <c r="H62" s="175">
        <f t="shared" si="2"/>
        <v>0</v>
      </c>
      <c r="I62" s="175">
        <f t="shared" si="3"/>
        <v>0</v>
      </c>
      <c r="J62" s="175">
        <f t="shared" si="4"/>
        <v>0</v>
      </c>
      <c r="K62" s="174"/>
      <c r="L62" s="174"/>
      <c r="M62" s="174"/>
    </row>
    <row r="63" ht="14.25" customHeight="1">
      <c r="A63" s="20"/>
      <c r="B63" s="174"/>
      <c r="C63" s="174"/>
      <c r="D63" s="174"/>
      <c r="E63" s="174"/>
      <c r="F63" s="174"/>
      <c r="G63" s="175">
        <f t="shared" si="1"/>
        <v>0</v>
      </c>
      <c r="H63" s="175">
        <f t="shared" si="2"/>
        <v>0</v>
      </c>
      <c r="I63" s="175">
        <f t="shared" si="3"/>
        <v>0</v>
      </c>
      <c r="J63" s="175">
        <f t="shared" si="4"/>
        <v>0</v>
      </c>
      <c r="K63" s="174"/>
      <c r="L63" s="174"/>
      <c r="M63" s="174"/>
    </row>
    <row r="64" ht="14.25" customHeight="1">
      <c r="A64" s="20"/>
      <c r="B64" s="174"/>
      <c r="C64" s="174"/>
      <c r="D64" s="174"/>
      <c r="E64" s="174"/>
      <c r="F64" s="174"/>
      <c r="G64" s="175">
        <f t="shared" si="1"/>
        <v>0</v>
      </c>
      <c r="H64" s="175">
        <f t="shared" si="2"/>
        <v>0</v>
      </c>
      <c r="I64" s="175">
        <f t="shared" si="3"/>
        <v>0</v>
      </c>
      <c r="J64" s="175">
        <f t="shared" si="4"/>
        <v>0</v>
      </c>
      <c r="K64" s="174"/>
      <c r="L64" s="174"/>
      <c r="M64" s="174"/>
    </row>
    <row r="65" ht="14.25" customHeight="1">
      <c r="A65" s="20"/>
      <c r="B65" s="174"/>
      <c r="C65" s="174"/>
      <c r="D65" s="174"/>
      <c r="E65" s="174"/>
      <c r="F65" s="174"/>
      <c r="G65" s="175">
        <f t="shared" si="1"/>
        <v>0</v>
      </c>
      <c r="H65" s="175">
        <f t="shared" si="2"/>
        <v>0</v>
      </c>
      <c r="I65" s="175">
        <f t="shared" si="3"/>
        <v>0</v>
      </c>
      <c r="J65" s="175">
        <f t="shared" si="4"/>
        <v>0</v>
      </c>
      <c r="K65" s="174"/>
      <c r="L65" s="174"/>
      <c r="M65" s="174"/>
    </row>
    <row r="66" ht="14.25" customHeight="1">
      <c r="A66" s="20"/>
      <c r="B66" s="174"/>
      <c r="C66" s="174"/>
      <c r="D66" s="174"/>
      <c r="E66" s="174"/>
      <c r="F66" s="174"/>
      <c r="G66" s="175">
        <f t="shared" si="1"/>
        <v>0</v>
      </c>
      <c r="H66" s="175">
        <f t="shared" si="2"/>
        <v>0</v>
      </c>
      <c r="I66" s="175">
        <f t="shared" si="3"/>
        <v>0</v>
      </c>
      <c r="J66" s="175">
        <f t="shared" si="4"/>
        <v>0</v>
      </c>
      <c r="K66" s="174"/>
      <c r="L66" s="174"/>
      <c r="M66" s="174"/>
    </row>
    <row r="67" ht="14.25" customHeight="1">
      <c r="A67" s="20"/>
      <c r="B67" s="174"/>
      <c r="C67" s="174"/>
      <c r="D67" s="174"/>
      <c r="E67" s="174"/>
      <c r="F67" s="174"/>
      <c r="G67" s="175">
        <f t="shared" si="1"/>
        <v>0</v>
      </c>
      <c r="H67" s="175">
        <f t="shared" si="2"/>
        <v>0</v>
      </c>
      <c r="I67" s="175">
        <f t="shared" si="3"/>
        <v>0</v>
      </c>
      <c r="J67" s="175">
        <f t="shared" si="4"/>
        <v>0</v>
      </c>
      <c r="K67" s="174"/>
      <c r="L67" s="174"/>
      <c r="M67" s="174"/>
    </row>
    <row r="68" ht="14.25" customHeight="1">
      <c r="A68" s="20"/>
      <c r="B68" s="174"/>
      <c r="C68" s="174"/>
      <c r="D68" s="174"/>
      <c r="E68" s="174"/>
      <c r="F68" s="174"/>
      <c r="G68" s="175">
        <f t="shared" si="1"/>
        <v>0</v>
      </c>
      <c r="H68" s="175">
        <f t="shared" si="2"/>
        <v>0</v>
      </c>
      <c r="I68" s="175">
        <f t="shared" si="3"/>
        <v>0</v>
      </c>
      <c r="J68" s="175">
        <f t="shared" si="4"/>
        <v>0</v>
      </c>
      <c r="K68" s="174"/>
      <c r="L68" s="174"/>
      <c r="M68" s="174"/>
    </row>
    <row r="69" ht="14.25" customHeight="1">
      <c r="A69" s="20"/>
      <c r="B69" s="174"/>
      <c r="C69" s="174"/>
      <c r="D69" s="174"/>
      <c r="E69" s="174"/>
      <c r="F69" s="174"/>
      <c r="G69" s="175">
        <f t="shared" si="1"/>
        <v>0</v>
      </c>
      <c r="H69" s="175">
        <f t="shared" si="2"/>
        <v>0</v>
      </c>
      <c r="I69" s="175">
        <f t="shared" si="3"/>
        <v>0</v>
      </c>
      <c r="J69" s="175">
        <f t="shared" si="4"/>
        <v>0</v>
      </c>
      <c r="K69" s="174"/>
      <c r="L69" s="174"/>
      <c r="M69" s="174"/>
    </row>
    <row r="70" ht="14.25" customHeight="1">
      <c r="A70" s="20"/>
      <c r="B70" s="174"/>
      <c r="C70" s="174"/>
      <c r="D70" s="174"/>
      <c r="E70" s="174"/>
      <c r="F70" s="174"/>
      <c r="G70" s="175">
        <f t="shared" si="1"/>
        <v>0</v>
      </c>
      <c r="H70" s="175">
        <f t="shared" si="2"/>
        <v>0</v>
      </c>
      <c r="I70" s="175">
        <f t="shared" si="3"/>
        <v>0</v>
      </c>
      <c r="J70" s="175">
        <f t="shared" si="4"/>
        <v>0</v>
      </c>
      <c r="K70" s="174"/>
      <c r="L70" s="174"/>
      <c r="M70" s="174"/>
    </row>
    <row r="71" ht="14.25" customHeight="1">
      <c r="A71" s="20"/>
      <c r="B71" s="174"/>
      <c r="C71" s="174"/>
      <c r="D71" s="174"/>
      <c r="E71" s="174"/>
      <c r="F71" s="174"/>
      <c r="G71" s="175">
        <f t="shared" si="1"/>
        <v>0</v>
      </c>
      <c r="H71" s="175">
        <f t="shared" si="2"/>
        <v>0</v>
      </c>
      <c r="I71" s="175">
        <f t="shared" si="3"/>
        <v>0</v>
      </c>
      <c r="J71" s="175">
        <f t="shared" si="4"/>
        <v>0</v>
      </c>
      <c r="K71" s="174"/>
      <c r="L71" s="174"/>
      <c r="M71" s="174"/>
    </row>
    <row r="72" ht="14.25" customHeight="1">
      <c r="A72" s="20"/>
      <c r="B72" s="174"/>
      <c r="C72" s="174"/>
      <c r="D72" s="174"/>
      <c r="E72" s="174"/>
      <c r="F72" s="174"/>
      <c r="G72" s="175">
        <f t="shared" si="1"/>
        <v>0</v>
      </c>
      <c r="H72" s="175">
        <f t="shared" si="2"/>
        <v>0</v>
      </c>
      <c r="I72" s="175">
        <f t="shared" si="3"/>
        <v>0</v>
      </c>
      <c r="J72" s="175">
        <f t="shared" si="4"/>
        <v>0</v>
      </c>
      <c r="K72" s="174"/>
      <c r="L72" s="174"/>
      <c r="M72" s="174"/>
    </row>
    <row r="73" ht="14.25" customHeight="1">
      <c r="A73" s="20"/>
      <c r="B73" s="174"/>
      <c r="C73" s="174"/>
      <c r="D73" s="174"/>
      <c r="E73" s="174"/>
      <c r="F73" s="174"/>
      <c r="G73" s="175">
        <f t="shared" si="1"/>
        <v>0</v>
      </c>
      <c r="H73" s="175">
        <f t="shared" si="2"/>
        <v>0</v>
      </c>
      <c r="I73" s="175">
        <f t="shared" si="3"/>
        <v>0</v>
      </c>
      <c r="J73" s="175">
        <f t="shared" si="4"/>
        <v>0</v>
      </c>
      <c r="K73" s="174"/>
      <c r="L73" s="174"/>
      <c r="M73" s="174"/>
    </row>
    <row r="74" ht="14.25" customHeight="1">
      <c r="A74" s="20"/>
      <c r="B74" s="174"/>
      <c r="C74" s="174"/>
      <c r="D74" s="174"/>
      <c r="E74" s="174"/>
      <c r="F74" s="174"/>
      <c r="G74" s="175">
        <f t="shared" si="1"/>
        <v>0</v>
      </c>
      <c r="H74" s="175">
        <f t="shared" si="2"/>
        <v>0</v>
      </c>
      <c r="I74" s="175">
        <f t="shared" si="3"/>
        <v>0</v>
      </c>
      <c r="J74" s="175">
        <f t="shared" si="4"/>
        <v>0</v>
      </c>
      <c r="K74" s="174"/>
      <c r="L74" s="174"/>
      <c r="M74" s="174"/>
    </row>
    <row r="75" ht="14.25" customHeight="1">
      <c r="A75" s="20"/>
      <c r="B75" s="174"/>
      <c r="C75" s="174"/>
      <c r="D75" s="174"/>
      <c r="E75" s="174"/>
      <c r="F75" s="174"/>
      <c r="G75" s="175">
        <f t="shared" si="1"/>
        <v>0</v>
      </c>
      <c r="H75" s="175">
        <f t="shared" si="2"/>
        <v>0</v>
      </c>
      <c r="I75" s="175">
        <f t="shared" si="3"/>
        <v>0</v>
      </c>
      <c r="J75" s="175">
        <f t="shared" si="4"/>
        <v>0</v>
      </c>
      <c r="K75" s="174"/>
      <c r="L75" s="174"/>
      <c r="M75" s="174"/>
    </row>
    <row r="76" ht="14.25" customHeight="1">
      <c r="A76" s="20"/>
      <c r="B76" s="174"/>
      <c r="C76" s="174"/>
      <c r="D76" s="174"/>
      <c r="E76" s="174"/>
      <c r="F76" s="174"/>
      <c r="G76" s="175">
        <f t="shared" si="1"/>
        <v>0</v>
      </c>
      <c r="H76" s="175">
        <f t="shared" si="2"/>
        <v>0</v>
      </c>
      <c r="I76" s="175">
        <f t="shared" si="3"/>
        <v>0</v>
      </c>
      <c r="J76" s="175">
        <f t="shared" si="4"/>
        <v>0</v>
      </c>
      <c r="K76" s="174"/>
      <c r="L76" s="174"/>
      <c r="M76" s="174"/>
    </row>
    <row r="77" ht="14.25" customHeight="1">
      <c r="A77" s="20"/>
      <c r="B77" s="174"/>
      <c r="C77" s="174"/>
      <c r="D77" s="174"/>
      <c r="E77" s="174"/>
      <c r="F77" s="174"/>
      <c r="G77" s="175">
        <f t="shared" si="1"/>
        <v>0</v>
      </c>
      <c r="H77" s="175">
        <f t="shared" si="2"/>
        <v>0</v>
      </c>
      <c r="I77" s="175">
        <f t="shared" si="3"/>
        <v>0</v>
      </c>
      <c r="J77" s="175">
        <f t="shared" si="4"/>
        <v>0</v>
      </c>
      <c r="K77" s="174"/>
      <c r="L77" s="174"/>
      <c r="M77" s="174"/>
    </row>
    <row r="78" ht="14.25" customHeight="1">
      <c r="A78" s="20"/>
      <c r="B78" s="174"/>
      <c r="C78" s="174"/>
      <c r="D78" s="174"/>
      <c r="E78" s="174"/>
      <c r="F78" s="174"/>
      <c r="G78" s="175">
        <f t="shared" si="1"/>
        <v>0</v>
      </c>
      <c r="H78" s="175">
        <f t="shared" si="2"/>
        <v>0</v>
      </c>
      <c r="I78" s="175">
        <f t="shared" si="3"/>
        <v>0</v>
      </c>
      <c r="J78" s="175">
        <f t="shared" si="4"/>
        <v>0</v>
      </c>
      <c r="K78" s="174"/>
      <c r="L78" s="174"/>
      <c r="M78" s="174"/>
    </row>
    <row r="79" ht="14.25" customHeight="1">
      <c r="A79" s="20"/>
      <c r="B79" s="174"/>
      <c r="C79" s="174"/>
      <c r="D79" s="174"/>
      <c r="E79" s="174"/>
      <c r="F79" s="174"/>
      <c r="G79" s="175">
        <f t="shared" si="1"/>
        <v>0</v>
      </c>
      <c r="H79" s="175">
        <f t="shared" si="2"/>
        <v>0</v>
      </c>
      <c r="I79" s="175">
        <f t="shared" si="3"/>
        <v>0</v>
      </c>
      <c r="J79" s="175">
        <f t="shared" si="4"/>
        <v>0</v>
      </c>
      <c r="K79" s="174"/>
      <c r="L79" s="174"/>
      <c r="M79" s="174"/>
    </row>
    <row r="80" ht="14.25" customHeight="1">
      <c r="A80" s="20"/>
      <c r="B80" s="174"/>
      <c r="C80" s="174"/>
      <c r="D80" s="174"/>
      <c r="E80" s="174"/>
      <c r="F80" s="174"/>
      <c r="G80" s="175">
        <f t="shared" si="1"/>
        <v>0</v>
      </c>
      <c r="H80" s="175">
        <f t="shared" si="2"/>
        <v>0</v>
      </c>
      <c r="I80" s="175">
        <f t="shared" si="3"/>
        <v>0</v>
      </c>
      <c r="J80" s="175">
        <f t="shared" si="4"/>
        <v>0</v>
      </c>
      <c r="K80" s="174"/>
      <c r="L80" s="174"/>
      <c r="M80" s="174"/>
    </row>
    <row r="81" ht="14.25" customHeight="1">
      <c r="A81" s="20"/>
      <c r="B81" s="174"/>
      <c r="C81" s="174"/>
      <c r="D81" s="174"/>
      <c r="E81" s="174"/>
      <c r="F81" s="174"/>
      <c r="G81" s="175">
        <f t="shared" si="1"/>
        <v>0</v>
      </c>
      <c r="H81" s="175">
        <f t="shared" si="2"/>
        <v>0</v>
      </c>
      <c r="I81" s="175">
        <f t="shared" si="3"/>
        <v>0</v>
      </c>
      <c r="J81" s="175">
        <f t="shared" si="4"/>
        <v>0</v>
      </c>
      <c r="K81" s="174"/>
      <c r="L81" s="174"/>
      <c r="M81" s="174"/>
    </row>
    <row r="82" ht="14.25" customHeight="1">
      <c r="A82" s="20"/>
      <c r="B82" s="174"/>
      <c r="C82" s="174"/>
      <c r="D82" s="174"/>
      <c r="E82" s="174"/>
      <c r="F82" s="174"/>
      <c r="G82" s="175">
        <f t="shared" si="1"/>
        <v>0</v>
      </c>
      <c r="H82" s="175">
        <f t="shared" si="2"/>
        <v>0</v>
      </c>
      <c r="I82" s="175">
        <f t="shared" si="3"/>
        <v>0</v>
      </c>
      <c r="J82" s="175">
        <f t="shared" si="4"/>
        <v>0</v>
      </c>
      <c r="K82" s="174"/>
      <c r="L82" s="174"/>
      <c r="M82" s="174"/>
    </row>
    <row r="83" ht="14.25" customHeight="1">
      <c r="A83" s="20"/>
      <c r="B83" s="174"/>
      <c r="C83" s="174"/>
      <c r="D83" s="174"/>
      <c r="E83" s="174"/>
      <c r="F83" s="174"/>
      <c r="G83" s="175">
        <f t="shared" si="1"/>
        <v>0</v>
      </c>
      <c r="H83" s="175">
        <f t="shared" si="2"/>
        <v>0</v>
      </c>
      <c r="I83" s="175">
        <f t="shared" si="3"/>
        <v>0</v>
      </c>
      <c r="J83" s="175">
        <f t="shared" si="4"/>
        <v>0</v>
      </c>
      <c r="K83" s="174"/>
      <c r="L83" s="174"/>
      <c r="M83" s="174"/>
    </row>
    <row r="84" ht="14.25" customHeight="1">
      <c r="A84" s="20"/>
      <c r="B84" s="174"/>
      <c r="C84" s="174"/>
      <c r="D84" s="174"/>
      <c r="E84" s="174"/>
      <c r="F84" s="174"/>
      <c r="G84" s="175">
        <f t="shared" si="1"/>
        <v>0</v>
      </c>
      <c r="H84" s="175">
        <f t="shared" si="2"/>
        <v>0</v>
      </c>
      <c r="I84" s="175">
        <f t="shared" si="3"/>
        <v>0</v>
      </c>
      <c r="J84" s="175">
        <f t="shared" si="4"/>
        <v>0</v>
      </c>
      <c r="K84" s="174"/>
      <c r="L84" s="174"/>
      <c r="M84" s="174"/>
    </row>
    <row r="85" ht="14.25" customHeight="1">
      <c r="A85" s="20"/>
      <c r="B85" s="174"/>
      <c r="C85" s="174"/>
      <c r="D85" s="174"/>
      <c r="E85" s="174"/>
      <c r="F85" s="174"/>
      <c r="G85" s="175">
        <f t="shared" si="1"/>
        <v>0</v>
      </c>
      <c r="H85" s="175">
        <f t="shared" si="2"/>
        <v>0</v>
      </c>
      <c r="I85" s="175">
        <f t="shared" si="3"/>
        <v>0</v>
      </c>
      <c r="J85" s="175">
        <f t="shared" si="4"/>
        <v>0</v>
      </c>
      <c r="K85" s="174"/>
      <c r="L85" s="174"/>
      <c r="M85" s="174"/>
    </row>
    <row r="86" ht="14.25" customHeight="1">
      <c r="A86" s="20"/>
      <c r="B86" s="174"/>
      <c r="C86" s="174"/>
      <c r="D86" s="174"/>
      <c r="E86" s="174"/>
      <c r="F86" s="174"/>
      <c r="G86" s="175">
        <f t="shared" si="1"/>
        <v>0</v>
      </c>
      <c r="H86" s="175">
        <f t="shared" si="2"/>
        <v>0</v>
      </c>
      <c r="I86" s="175">
        <f t="shared" si="3"/>
        <v>0</v>
      </c>
      <c r="J86" s="175">
        <f t="shared" si="4"/>
        <v>0</v>
      </c>
      <c r="K86" s="174"/>
      <c r="L86" s="174"/>
      <c r="M86" s="174"/>
    </row>
    <row r="87" ht="14.25" customHeight="1">
      <c r="A87" s="20"/>
      <c r="B87" s="174"/>
      <c r="C87" s="174"/>
      <c r="D87" s="174"/>
      <c r="E87" s="174"/>
      <c r="F87" s="174"/>
      <c r="G87" s="175">
        <f t="shared" si="1"/>
        <v>0</v>
      </c>
      <c r="H87" s="175">
        <f t="shared" si="2"/>
        <v>0</v>
      </c>
      <c r="I87" s="175">
        <f t="shared" si="3"/>
        <v>0</v>
      </c>
      <c r="J87" s="175">
        <f t="shared" si="4"/>
        <v>0</v>
      </c>
      <c r="K87" s="174"/>
      <c r="L87" s="174"/>
      <c r="M87" s="174"/>
    </row>
    <row r="88" ht="14.25" customHeight="1">
      <c r="A88" s="20"/>
      <c r="B88" s="174"/>
      <c r="C88" s="174"/>
      <c r="D88" s="174"/>
      <c r="E88" s="174"/>
      <c r="F88" s="174"/>
      <c r="G88" s="175">
        <f t="shared" si="1"/>
        <v>0</v>
      </c>
      <c r="H88" s="175">
        <f t="shared" si="2"/>
        <v>0</v>
      </c>
      <c r="I88" s="175">
        <f t="shared" si="3"/>
        <v>0</v>
      </c>
      <c r="J88" s="175">
        <f t="shared" si="4"/>
        <v>0</v>
      </c>
      <c r="K88" s="174"/>
      <c r="L88" s="174"/>
      <c r="M88" s="174"/>
    </row>
    <row r="89" ht="14.25" customHeight="1">
      <c r="A89" s="20"/>
      <c r="B89" s="174"/>
      <c r="C89" s="174"/>
      <c r="D89" s="174"/>
      <c r="E89" s="174"/>
      <c r="F89" s="174"/>
      <c r="G89" s="175">
        <f t="shared" si="1"/>
        <v>0</v>
      </c>
      <c r="H89" s="175">
        <f t="shared" si="2"/>
        <v>0</v>
      </c>
      <c r="I89" s="175">
        <f t="shared" si="3"/>
        <v>0</v>
      </c>
      <c r="J89" s="175">
        <f t="shared" si="4"/>
        <v>0</v>
      </c>
      <c r="K89" s="174"/>
      <c r="L89" s="174"/>
      <c r="M89" s="174"/>
    </row>
    <row r="90" ht="14.25" customHeight="1">
      <c r="A90" s="20"/>
      <c r="B90" s="174"/>
      <c r="C90" s="174"/>
      <c r="D90" s="174"/>
      <c r="E90" s="174"/>
      <c r="F90" s="174"/>
      <c r="G90" s="175">
        <f t="shared" si="1"/>
        <v>0</v>
      </c>
      <c r="H90" s="175">
        <f t="shared" si="2"/>
        <v>0</v>
      </c>
      <c r="I90" s="175">
        <f t="shared" si="3"/>
        <v>0</v>
      </c>
      <c r="J90" s="175">
        <f t="shared" si="4"/>
        <v>0</v>
      </c>
      <c r="K90" s="174"/>
      <c r="L90" s="174"/>
      <c r="M90" s="174"/>
    </row>
    <row r="91" ht="14.25" customHeight="1">
      <c r="A91" s="20"/>
      <c r="B91" s="174"/>
      <c r="C91" s="174"/>
      <c r="D91" s="174"/>
      <c r="E91" s="174"/>
      <c r="F91" s="174"/>
      <c r="G91" s="175">
        <f t="shared" si="1"/>
        <v>0</v>
      </c>
      <c r="H91" s="175">
        <f t="shared" si="2"/>
        <v>0</v>
      </c>
      <c r="I91" s="175">
        <f t="shared" si="3"/>
        <v>0</v>
      </c>
      <c r="J91" s="175">
        <f t="shared" si="4"/>
        <v>0</v>
      </c>
      <c r="K91" s="174"/>
      <c r="L91" s="174"/>
      <c r="M91" s="174"/>
    </row>
    <row r="92" ht="14.25" customHeight="1">
      <c r="A92" s="20"/>
      <c r="B92" s="174"/>
      <c r="C92" s="174"/>
      <c r="D92" s="174"/>
      <c r="E92" s="174"/>
      <c r="F92" s="174"/>
      <c r="G92" s="175">
        <f t="shared" si="1"/>
        <v>0</v>
      </c>
      <c r="H92" s="175">
        <f t="shared" si="2"/>
        <v>0</v>
      </c>
      <c r="I92" s="175">
        <f t="shared" si="3"/>
        <v>0</v>
      </c>
      <c r="J92" s="175">
        <f t="shared" si="4"/>
        <v>0</v>
      </c>
      <c r="K92" s="174"/>
      <c r="L92" s="174"/>
      <c r="M92" s="174"/>
    </row>
    <row r="93" ht="14.25" customHeight="1">
      <c r="A93" s="20"/>
      <c r="B93" s="174"/>
      <c r="C93" s="174"/>
      <c r="D93" s="174"/>
      <c r="E93" s="174"/>
      <c r="F93" s="174"/>
      <c r="G93" s="175">
        <f t="shared" si="1"/>
        <v>0</v>
      </c>
      <c r="H93" s="175">
        <f t="shared" si="2"/>
        <v>0</v>
      </c>
      <c r="I93" s="175">
        <f t="shared" si="3"/>
        <v>0</v>
      </c>
      <c r="J93" s="175">
        <f t="shared" si="4"/>
        <v>0</v>
      </c>
      <c r="K93" s="174"/>
      <c r="L93" s="174"/>
      <c r="M93" s="174"/>
    </row>
    <row r="94" ht="14.25" customHeight="1">
      <c r="A94" s="20"/>
      <c r="B94" s="174"/>
      <c r="C94" s="174"/>
      <c r="D94" s="174"/>
      <c r="E94" s="174"/>
      <c r="F94" s="174"/>
      <c r="G94" s="175">
        <f t="shared" si="1"/>
        <v>0</v>
      </c>
      <c r="H94" s="175">
        <f t="shared" si="2"/>
        <v>0</v>
      </c>
      <c r="I94" s="175">
        <f t="shared" si="3"/>
        <v>0</v>
      </c>
      <c r="J94" s="175">
        <f t="shared" si="4"/>
        <v>0</v>
      </c>
      <c r="K94" s="174"/>
      <c r="L94" s="174"/>
      <c r="M94" s="174"/>
    </row>
    <row r="95" ht="14.25" customHeight="1">
      <c r="A95" s="20"/>
      <c r="B95" s="174"/>
      <c r="C95" s="174"/>
      <c r="D95" s="174"/>
      <c r="E95" s="174"/>
      <c r="F95" s="174"/>
      <c r="G95" s="175">
        <f t="shared" si="1"/>
        <v>0</v>
      </c>
      <c r="H95" s="175">
        <f t="shared" si="2"/>
        <v>0</v>
      </c>
      <c r="I95" s="175">
        <f t="shared" si="3"/>
        <v>0</v>
      </c>
      <c r="J95" s="175">
        <f t="shared" si="4"/>
        <v>0</v>
      </c>
      <c r="K95" s="174"/>
      <c r="L95" s="174"/>
      <c r="M95" s="174"/>
    </row>
    <row r="96" ht="14.25" customHeight="1">
      <c r="A96" s="20"/>
      <c r="B96" s="174"/>
      <c r="C96" s="174"/>
      <c r="D96" s="174"/>
      <c r="E96" s="174"/>
      <c r="F96" s="174"/>
      <c r="G96" s="175">
        <f t="shared" si="1"/>
        <v>0</v>
      </c>
      <c r="H96" s="175">
        <f t="shared" si="2"/>
        <v>0</v>
      </c>
      <c r="I96" s="175">
        <f t="shared" si="3"/>
        <v>0</v>
      </c>
      <c r="J96" s="175">
        <f t="shared" si="4"/>
        <v>0</v>
      </c>
      <c r="K96" s="174"/>
      <c r="L96" s="174"/>
      <c r="M96" s="174"/>
    </row>
    <row r="97" ht="14.25" customHeight="1">
      <c r="A97" s="20"/>
      <c r="B97" s="174"/>
      <c r="C97" s="174"/>
      <c r="D97" s="174"/>
      <c r="E97" s="174"/>
      <c r="F97" s="174"/>
      <c r="G97" s="175">
        <f t="shared" si="1"/>
        <v>0</v>
      </c>
      <c r="H97" s="175">
        <f t="shared" si="2"/>
        <v>0</v>
      </c>
      <c r="I97" s="175">
        <f t="shared" si="3"/>
        <v>0</v>
      </c>
      <c r="J97" s="175">
        <f t="shared" si="4"/>
        <v>0</v>
      </c>
      <c r="K97" s="174"/>
      <c r="L97" s="174"/>
      <c r="M97" s="174"/>
    </row>
    <row r="98" ht="14.25" customHeight="1">
      <c r="A98" s="20"/>
      <c r="B98" s="174"/>
      <c r="C98" s="174"/>
      <c r="D98" s="174"/>
      <c r="E98" s="174"/>
      <c r="F98" s="174"/>
      <c r="G98" s="175">
        <f t="shared" si="1"/>
        <v>0</v>
      </c>
      <c r="H98" s="175">
        <f t="shared" si="2"/>
        <v>0</v>
      </c>
      <c r="I98" s="175">
        <f t="shared" si="3"/>
        <v>0</v>
      </c>
      <c r="J98" s="175">
        <f t="shared" si="4"/>
        <v>0</v>
      </c>
      <c r="K98" s="174"/>
      <c r="L98" s="174"/>
      <c r="M98" s="174"/>
    </row>
    <row r="99" ht="14.25" customHeight="1">
      <c r="A99" s="20"/>
      <c r="B99" s="174"/>
      <c r="C99" s="174"/>
      <c r="D99" s="174"/>
      <c r="E99" s="174"/>
      <c r="F99" s="174"/>
      <c r="G99" s="175">
        <f t="shared" si="1"/>
        <v>0</v>
      </c>
      <c r="H99" s="175">
        <f t="shared" si="2"/>
        <v>0</v>
      </c>
      <c r="I99" s="175">
        <f t="shared" si="3"/>
        <v>0</v>
      </c>
      <c r="J99" s="175">
        <f t="shared" si="4"/>
        <v>0</v>
      </c>
      <c r="K99" s="174"/>
      <c r="L99" s="174"/>
      <c r="M99" s="174"/>
    </row>
    <row r="100" ht="14.25" customHeight="1">
      <c r="A100" s="20"/>
      <c r="B100" s="174"/>
      <c r="C100" s="174"/>
      <c r="D100" s="174"/>
      <c r="E100" s="174"/>
      <c r="F100" s="174"/>
      <c r="G100" s="175">
        <f t="shared" si="1"/>
        <v>0</v>
      </c>
      <c r="H100" s="175">
        <f t="shared" si="2"/>
        <v>0</v>
      </c>
      <c r="I100" s="175">
        <f t="shared" si="3"/>
        <v>0</v>
      </c>
      <c r="J100" s="175">
        <f t="shared" si="4"/>
        <v>0</v>
      </c>
      <c r="K100" s="174"/>
      <c r="L100" s="174"/>
      <c r="M100" s="174"/>
    </row>
    <row r="101" ht="14.25" customHeight="1">
      <c r="A101" s="20"/>
      <c r="B101" s="174"/>
      <c r="C101" s="174"/>
      <c r="D101" s="174"/>
      <c r="E101" s="174"/>
      <c r="F101" s="174"/>
      <c r="G101" s="175">
        <f t="shared" si="1"/>
        <v>0</v>
      </c>
      <c r="H101" s="175">
        <f t="shared" si="2"/>
        <v>0</v>
      </c>
      <c r="I101" s="175">
        <f t="shared" si="3"/>
        <v>0</v>
      </c>
      <c r="J101" s="175">
        <f t="shared" si="4"/>
        <v>0</v>
      </c>
      <c r="K101" s="174"/>
      <c r="L101" s="174"/>
      <c r="M101" s="174"/>
    </row>
    <row r="102" ht="14.25" customHeight="1">
      <c r="A102" s="20"/>
      <c r="B102" s="174"/>
      <c r="C102" s="174"/>
      <c r="D102" s="174"/>
      <c r="E102" s="174"/>
      <c r="F102" s="174"/>
      <c r="G102" s="175">
        <f t="shared" si="1"/>
        <v>0</v>
      </c>
      <c r="H102" s="175">
        <f t="shared" si="2"/>
        <v>0</v>
      </c>
      <c r="I102" s="175">
        <f t="shared" si="3"/>
        <v>0</v>
      </c>
      <c r="J102" s="175">
        <f t="shared" si="4"/>
        <v>0</v>
      </c>
      <c r="K102" s="174"/>
      <c r="L102" s="174"/>
      <c r="M102" s="174"/>
    </row>
    <row r="103" ht="14.25" customHeight="1">
      <c r="A103" s="20"/>
      <c r="B103" s="174"/>
      <c r="C103" s="174"/>
      <c r="D103" s="174"/>
      <c r="E103" s="174"/>
      <c r="F103" s="174"/>
      <c r="G103" s="175">
        <f t="shared" si="1"/>
        <v>0</v>
      </c>
      <c r="H103" s="175">
        <f t="shared" si="2"/>
        <v>0</v>
      </c>
      <c r="I103" s="175">
        <f t="shared" si="3"/>
        <v>0</v>
      </c>
      <c r="J103" s="175">
        <f t="shared" si="4"/>
        <v>0</v>
      </c>
      <c r="K103" s="174"/>
      <c r="L103" s="174"/>
      <c r="M103" s="174"/>
    </row>
    <row r="104" ht="14.25" customHeight="1">
      <c r="A104" s="20"/>
      <c r="B104" s="174"/>
      <c r="C104" s="174"/>
      <c r="D104" s="174"/>
      <c r="E104" s="174"/>
      <c r="F104" s="174"/>
      <c r="G104" s="175">
        <f t="shared" si="1"/>
        <v>0</v>
      </c>
      <c r="H104" s="175">
        <f t="shared" si="2"/>
        <v>0</v>
      </c>
      <c r="I104" s="175">
        <f t="shared" si="3"/>
        <v>0</v>
      </c>
      <c r="J104" s="175">
        <f t="shared" si="4"/>
        <v>0</v>
      </c>
      <c r="K104" s="174"/>
      <c r="L104" s="174"/>
      <c r="M104" s="174"/>
    </row>
    <row r="105" ht="14.25" customHeight="1">
      <c r="A105" s="20"/>
      <c r="B105" s="174"/>
      <c r="C105" s="174"/>
      <c r="D105" s="174"/>
      <c r="E105" s="174"/>
      <c r="F105" s="174"/>
      <c r="G105" s="175">
        <f t="shared" si="1"/>
        <v>0</v>
      </c>
      <c r="H105" s="175">
        <f t="shared" si="2"/>
        <v>0</v>
      </c>
      <c r="I105" s="175">
        <f t="shared" si="3"/>
        <v>0</v>
      </c>
      <c r="J105" s="175">
        <f t="shared" si="4"/>
        <v>0</v>
      </c>
      <c r="K105" s="174"/>
      <c r="L105" s="174"/>
      <c r="M105" s="174"/>
    </row>
    <row r="106" ht="14.25" customHeight="1">
      <c r="A106" s="20"/>
      <c r="B106" s="174"/>
      <c r="C106" s="174"/>
      <c r="D106" s="174"/>
      <c r="E106" s="174"/>
      <c r="F106" s="174"/>
      <c r="G106" s="175">
        <f t="shared" si="1"/>
        <v>0</v>
      </c>
      <c r="H106" s="175">
        <f t="shared" si="2"/>
        <v>0</v>
      </c>
      <c r="I106" s="175">
        <f t="shared" si="3"/>
        <v>0</v>
      </c>
      <c r="J106" s="175">
        <f t="shared" si="4"/>
        <v>0</v>
      </c>
      <c r="K106" s="174"/>
      <c r="L106" s="174"/>
      <c r="M106" s="174"/>
    </row>
    <row r="107" ht="14.25" customHeight="1">
      <c r="A107" s="20"/>
      <c r="B107" s="174"/>
      <c r="C107" s="174"/>
      <c r="D107" s="174"/>
      <c r="E107" s="174"/>
      <c r="F107" s="174"/>
      <c r="G107" s="175">
        <f t="shared" si="1"/>
        <v>0</v>
      </c>
      <c r="H107" s="175">
        <f t="shared" si="2"/>
        <v>0</v>
      </c>
      <c r="I107" s="175">
        <f t="shared" si="3"/>
        <v>0</v>
      </c>
      <c r="J107" s="175">
        <f t="shared" si="4"/>
        <v>0</v>
      </c>
      <c r="K107" s="174"/>
      <c r="L107" s="174"/>
      <c r="M107" s="174"/>
    </row>
    <row r="108" ht="14.25" customHeight="1">
      <c r="A108" s="20"/>
      <c r="B108" s="174"/>
      <c r="C108" s="174"/>
      <c r="D108" s="174"/>
      <c r="E108" s="174"/>
      <c r="F108" s="174"/>
      <c r="G108" s="175">
        <f t="shared" si="1"/>
        <v>0</v>
      </c>
      <c r="H108" s="175">
        <f t="shared" si="2"/>
        <v>0</v>
      </c>
      <c r="I108" s="175">
        <f t="shared" si="3"/>
        <v>0</v>
      </c>
      <c r="J108" s="175">
        <f t="shared" si="4"/>
        <v>0</v>
      </c>
      <c r="K108" s="174"/>
      <c r="L108" s="174"/>
      <c r="M108" s="174"/>
    </row>
    <row r="109" ht="14.25" customHeight="1">
      <c r="A109" s="20"/>
      <c r="B109" s="174"/>
      <c r="C109" s="174"/>
      <c r="D109" s="174"/>
      <c r="E109" s="174"/>
      <c r="F109" s="174"/>
      <c r="G109" s="175">
        <f t="shared" si="1"/>
        <v>0</v>
      </c>
      <c r="H109" s="175">
        <f t="shared" si="2"/>
        <v>0</v>
      </c>
      <c r="I109" s="175">
        <f t="shared" si="3"/>
        <v>0</v>
      </c>
      <c r="J109" s="175">
        <f t="shared" si="4"/>
        <v>0</v>
      </c>
      <c r="K109" s="174"/>
      <c r="L109" s="174"/>
      <c r="M109" s="174"/>
    </row>
    <row r="110" ht="14.25" customHeight="1">
      <c r="A110" s="20"/>
      <c r="B110" s="174"/>
      <c r="C110" s="174"/>
      <c r="D110" s="174"/>
      <c r="E110" s="174"/>
      <c r="F110" s="174"/>
      <c r="G110" s="175">
        <f t="shared" si="1"/>
        <v>0</v>
      </c>
      <c r="H110" s="175">
        <f t="shared" si="2"/>
        <v>0</v>
      </c>
      <c r="I110" s="175">
        <f t="shared" si="3"/>
        <v>0</v>
      </c>
      <c r="J110" s="175">
        <f t="shared" si="4"/>
        <v>0</v>
      </c>
      <c r="K110" s="174"/>
      <c r="L110" s="174"/>
      <c r="M110" s="174"/>
    </row>
    <row r="111" ht="14.25" customHeight="1">
      <c r="A111" s="20"/>
      <c r="B111" s="174"/>
      <c r="C111" s="174"/>
      <c r="D111" s="174"/>
      <c r="E111" s="174"/>
      <c r="F111" s="174"/>
      <c r="G111" s="175">
        <f t="shared" si="1"/>
        <v>0</v>
      </c>
      <c r="H111" s="175">
        <f t="shared" si="2"/>
        <v>0</v>
      </c>
      <c r="I111" s="175">
        <f t="shared" si="3"/>
        <v>0</v>
      </c>
      <c r="J111" s="175">
        <f t="shared" si="4"/>
        <v>0</v>
      </c>
      <c r="K111" s="174"/>
      <c r="L111" s="174"/>
      <c r="M111" s="174"/>
    </row>
    <row r="112" ht="14.25" customHeight="1">
      <c r="A112" s="20"/>
      <c r="B112" s="174"/>
      <c r="C112" s="174"/>
      <c r="D112" s="174"/>
      <c r="E112" s="174"/>
      <c r="F112" s="174"/>
      <c r="G112" s="175">
        <f t="shared" si="1"/>
        <v>0</v>
      </c>
      <c r="H112" s="175">
        <f t="shared" si="2"/>
        <v>0</v>
      </c>
      <c r="I112" s="175">
        <f t="shared" si="3"/>
        <v>0</v>
      </c>
      <c r="J112" s="175">
        <f t="shared" si="4"/>
        <v>0</v>
      </c>
      <c r="K112" s="174"/>
      <c r="L112" s="174"/>
      <c r="M112" s="174"/>
    </row>
    <row r="113" ht="14.25" customHeight="1">
      <c r="A113" s="20"/>
      <c r="B113" s="174"/>
      <c r="C113" s="174"/>
      <c r="D113" s="174"/>
      <c r="E113" s="174"/>
      <c r="F113" s="174"/>
      <c r="G113" s="175">
        <f t="shared" si="1"/>
        <v>0</v>
      </c>
      <c r="H113" s="175">
        <f t="shared" si="2"/>
        <v>0</v>
      </c>
      <c r="I113" s="175">
        <f t="shared" si="3"/>
        <v>0</v>
      </c>
      <c r="J113" s="175">
        <f t="shared" si="4"/>
        <v>0</v>
      </c>
      <c r="K113" s="174"/>
      <c r="L113" s="174"/>
      <c r="M113" s="174"/>
    </row>
    <row r="114" ht="14.25" customHeight="1">
      <c r="A114" s="20"/>
      <c r="B114" s="174"/>
      <c r="C114" s="174"/>
      <c r="D114" s="174"/>
      <c r="E114" s="174"/>
      <c r="F114" s="174"/>
      <c r="G114" s="175">
        <f t="shared" si="1"/>
        <v>0</v>
      </c>
      <c r="H114" s="175">
        <f t="shared" si="2"/>
        <v>0</v>
      </c>
      <c r="I114" s="175">
        <f t="shared" si="3"/>
        <v>0</v>
      </c>
      <c r="J114" s="175">
        <f t="shared" si="4"/>
        <v>0</v>
      </c>
      <c r="K114" s="174"/>
      <c r="L114" s="174"/>
      <c r="M114" s="174"/>
    </row>
    <row r="115" ht="14.25" customHeight="1">
      <c r="A115" s="20"/>
      <c r="B115" s="174"/>
      <c r="C115" s="174"/>
      <c r="D115" s="174"/>
      <c r="E115" s="174"/>
      <c r="F115" s="174"/>
      <c r="G115" s="175">
        <f t="shared" si="1"/>
        <v>0</v>
      </c>
      <c r="H115" s="175">
        <f t="shared" si="2"/>
        <v>0</v>
      </c>
      <c r="I115" s="175">
        <f t="shared" si="3"/>
        <v>0</v>
      </c>
      <c r="J115" s="175">
        <f t="shared" si="4"/>
        <v>0</v>
      </c>
      <c r="K115" s="174"/>
      <c r="L115" s="174"/>
      <c r="M115" s="174"/>
    </row>
    <row r="116" ht="14.25" customHeight="1">
      <c r="A116" s="20"/>
      <c r="B116" s="174"/>
      <c r="C116" s="174"/>
      <c r="D116" s="174"/>
      <c r="E116" s="174"/>
      <c r="F116" s="174"/>
      <c r="G116" s="175">
        <f t="shared" si="1"/>
        <v>0</v>
      </c>
      <c r="H116" s="175">
        <f t="shared" si="2"/>
        <v>0</v>
      </c>
      <c r="I116" s="175">
        <f t="shared" si="3"/>
        <v>0</v>
      </c>
      <c r="J116" s="175">
        <f t="shared" si="4"/>
        <v>0</v>
      </c>
      <c r="K116" s="174"/>
      <c r="L116" s="174"/>
      <c r="M116" s="174"/>
    </row>
    <row r="117" ht="14.25" customHeight="1">
      <c r="A117" s="20"/>
      <c r="B117" s="174"/>
      <c r="C117" s="174"/>
      <c r="D117" s="174"/>
      <c r="E117" s="174"/>
      <c r="F117" s="174"/>
      <c r="G117" s="175">
        <f t="shared" si="1"/>
        <v>0</v>
      </c>
      <c r="H117" s="175">
        <f t="shared" si="2"/>
        <v>0</v>
      </c>
      <c r="I117" s="175">
        <f t="shared" si="3"/>
        <v>0</v>
      </c>
      <c r="J117" s="175">
        <f t="shared" si="4"/>
        <v>0</v>
      </c>
      <c r="K117" s="174"/>
      <c r="L117" s="174"/>
      <c r="M117" s="174"/>
    </row>
    <row r="118" ht="14.25" customHeight="1">
      <c r="A118" s="20"/>
      <c r="B118" s="174"/>
      <c r="C118" s="174"/>
      <c r="D118" s="174"/>
      <c r="E118" s="174"/>
      <c r="F118" s="174"/>
      <c r="G118" s="175">
        <f t="shared" si="1"/>
        <v>0</v>
      </c>
      <c r="H118" s="175">
        <f t="shared" si="2"/>
        <v>0</v>
      </c>
      <c r="I118" s="175">
        <f t="shared" si="3"/>
        <v>0</v>
      </c>
      <c r="J118" s="175">
        <f t="shared" si="4"/>
        <v>0</v>
      </c>
      <c r="K118" s="174"/>
      <c r="L118" s="174"/>
      <c r="M118" s="174"/>
    </row>
    <row r="119" ht="14.25" customHeight="1">
      <c r="A119" s="20"/>
      <c r="B119" s="174"/>
      <c r="C119" s="174"/>
      <c r="D119" s="174"/>
      <c r="E119" s="174"/>
      <c r="F119" s="174"/>
      <c r="G119" s="175">
        <f t="shared" si="1"/>
        <v>0</v>
      </c>
      <c r="H119" s="175">
        <f t="shared" si="2"/>
        <v>0</v>
      </c>
      <c r="I119" s="175">
        <f t="shared" si="3"/>
        <v>0</v>
      </c>
      <c r="J119" s="175">
        <f t="shared" si="4"/>
        <v>0</v>
      </c>
      <c r="K119" s="174"/>
      <c r="L119" s="174"/>
      <c r="M119" s="174"/>
    </row>
    <row r="120" ht="14.25" customHeight="1">
      <c r="A120" s="20"/>
      <c r="B120" s="174"/>
      <c r="C120" s="174"/>
      <c r="D120" s="174"/>
      <c r="E120" s="174"/>
      <c r="F120" s="174"/>
      <c r="G120" s="175">
        <f t="shared" si="1"/>
        <v>0</v>
      </c>
      <c r="H120" s="175">
        <f t="shared" si="2"/>
        <v>0</v>
      </c>
      <c r="I120" s="175">
        <f t="shared" si="3"/>
        <v>0</v>
      </c>
      <c r="J120" s="175">
        <f t="shared" si="4"/>
        <v>0</v>
      </c>
      <c r="K120" s="174"/>
      <c r="L120" s="174"/>
      <c r="M120" s="174"/>
    </row>
    <row r="121" ht="14.25" customHeight="1">
      <c r="A121" s="20"/>
      <c r="B121" s="174"/>
      <c r="C121" s="174"/>
      <c r="D121" s="174"/>
      <c r="E121" s="174"/>
      <c r="F121" s="174"/>
      <c r="G121" s="175">
        <f t="shared" si="1"/>
        <v>0</v>
      </c>
      <c r="H121" s="175">
        <f t="shared" si="2"/>
        <v>0</v>
      </c>
      <c r="I121" s="175">
        <f t="shared" si="3"/>
        <v>0</v>
      </c>
      <c r="J121" s="175">
        <f t="shared" si="4"/>
        <v>0</v>
      </c>
      <c r="K121" s="174"/>
      <c r="L121" s="174"/>
      <c r="M121" s="174"/>
    </row>
    <row r="122" ht="14.25" customHeight="1">
      <c r="A122" s="20"/>
      <c r="B122" s="174"/>
      <c r="C122" s="174"/>
      <c r="D122" s="174"/>
      <c r="E122" s="174"/>
      <c r="F122" s="174"/>
      <c r="G122" s="175">
        <f t="shared" si="1"/>
        <v>0</v>
      </c>
      <c r="H122" s="175">
        <f t="shared" si="2"/>
        <v>0</v>
      </c>
      <c r="I122" s="175">
        <f t="shared" si="3"/>
        <v>0</v>
      </c>
      <c r="J122" s="175">
        <f t="shared" si="4"/>
        <v>0</v>
      </c>
      <c r="K122" s="174"/>
      <c r="L122" s="174"/>
      <c r="M122" s="174"/>
    </row>
    <row r="123" ht="14.25" customHeight="1">
      <c r="A123" s="20"/>
      <c r="B123" s="174"/>
      <c r="C123" s="174"/>
      <c r="D123" s="174"/>
      <c r="E123" s="174"/>
      <c r="F123" s="174"/>
      <c r="G123" s="175">
        <f t="shared" si="1"/>
        <v>0</v>
      </c>
      <c r="H123" s="175">
        <f t="shared" si="2"/>
        <v>0</v>
      </c>
      <c r="I123" s="175">
        <f t="shared" si="3"/>
        <v>0</v>
      </c>
      <c r="J123" s="175">
        <f t="shared" si="4"/>
        <v>0</v>
      </c>
      <c r="K123" s="174"/>
      <c r="L123" s="174"/>
      <c r="M123" s="174"/>
    </row>
    <row r="124" ht="14.25" customHeight="1">
      <c r="A124" s="20"/>
      <c r="B124" s="174"/>
      <c r="C124" s="174"/>
      <c r="D124" s="174"/>
      <c r="E124" s="174"/>
      <c r="F124" s="174"/>
      <c r="G124" s="175">
        <f t="shared" si="1"/>
        <v>0</v>
      </c>
      <c r="H124" s="175">
        <f t="shared" si="2"/>
        <v>0</v>
      </c>
      <c r="I124" s="175">
        <f t="shared" si="3"/>
        <v>0</v>
      </c>
      <c r="J124" s="175">
        <f t="shared" si="4"/>
        <v>0</v>
      </c>
      <c r="K124" s="174"/>
      <c r="L124" s="174"/>
      <c r="M124" s="174"/>
    </row>
    <row r="125" ht="14.25" customHeight="1">
      <c r="A125" s="20"/>
      <c r="B125" s="174"/>
      <c r="C125" s="174"/>
      <c r="D125" s="174"/>
      <c r="E125" s="174"/>
      <c r="F125" s="174"/>
      <c r="G125" s="175">
        <f t="shared" si="1"/>
        <v>0</v>
      </c>
      <c r="H125" s="175">
        <f t="shared" si="2"/>
        <v>0</v>
      </c>
      <c r="I125" s="175">
        <f t="shared" si="3"/>
        <v>0</v>
      </c>
      <c r="J125" s="175">
        <f t="shared" si="4"/>
        <v>0</v>
      </c>
      <c r="K125" s="174"/>
      <c r="L125" s="174"/>
      <c r="M125" s="174"/>
    </row>
    <row r="126" ht="14.25" customHeight="1">
      <c r="A126" s="20"/>
      <c r="B126" s="174"/>
      <c r="C126" s="174"/>
      <c r="D126" s="174"/>
      <c r="E126" s="174"/>
      <c r="F126" s="174"/>
      <c r="G126" s="175">
        <f t="shared" si="1"/>
        <v>0</v>
      </c>
      <c r="H126" s="175">
        <f t="shared" si="2"/>
        <v>0</v>
      </c>
      <c r="I126" s="175">
        <f t="shared" si="3"/>
        <v>0</v>
      </c>
      <c r="J126" s="175">
        <f t="shared" si="4"/>
        <v>0</v>
      </c>
      <c r="K126" s="174"/>
      <c r="L126" s="174"/>
      <c r="M126" s="174"/>
    </row>
    <row r="127" ht="14.25" customHeight="1">
      <c r="A127" s="20"/>
      <c r="B127" s="174"/>
      <c r="C127" s="174"/>
      <c r="D127" s="174"/>
      <c r="E127" s="174"/>
      <c r="F127" s="174"/>
      <c r="G127" s="175">
        <f t="shared" si="1"/>
        <v>0</v>
      </c>
      <c r="H127" s="175">
        <f t="shared" si="2"/>
        <v>0</v>
      </c>
      <c r="I127" s="175">
        <f t="shared" si="3"/>
        <v>0</v>
      </c>
      <c r="J127" s="175">
        <f t="shared" si="4"/>
        <v>0</v>
      </c>
      <c r="K127" s="174"/>
      <c r="L127" s="174"/>
      <c r="M127" s="174"/>
    </row>
    <row r="128" ht="14.25" customHeight="1">
      <c r="A128" s="20"/>
      <c r="B128" s="174"/>
      <c r="C128" s="174"/>
      <c r="D128" s="174"/>
      <c r="E128" s="174"/>
      <c r="F128" s="174"/>
      <c r="G128" s="175">
        <f t="shared" si="1"/>
        <v>0</v>
      </c>
      <c r="H128" s="175">
        <f t="shared" si="2"/>
        <v>0</v>
      </c>
      <c r="I128" s="175">
        <f t="shared" si="3"/>
        <v>0</v>
      </c>
      <c r="J128" s="175">
        <f t="shared" si="4"/>
        <v>0</v>
      </c>
      <c r="K128" s="174"/>
      <c r="L128" s="174"/>
      <c r="M128" s="174"/>
    </row>
    <row r="129" ht="14.25" customHeight="1">
      <c r="A129" s="20"/>
      <c r="B129" s="174"/>
      <c r="C129" s="174"/>
      <c r="D129" s="174"/>
      <c r="E129" s="174"/>
      <c r="F129" s="174"/>
      <c r="G129" s="175">
        <f t="shared" si="1"/>
        <v>0</v>
      </c>
      <c r="H129" s="175">
        <f t="shared" si="2"/>
        <v>0</v>
      </c>
      <c r="I129" s="175">
        <f t="shared" si="3"/>
        <v>0</v>
      </c>
      <c r="J129" s="175">
        <f t="shared" si="4"/>
        <v>0</v>
      </c>
      <c r="K129" s="174"/>
      <c r="L129" s="174"/>
      <c r="M129" s="174"/>
    </row>
    <row r="130" ht="14.25" customHeight="1">
      <c r="A130" s="20"/>
      <c r="B130" s="174"/>
      <c r="C130" s="174"/>
      <c r="D130" s="174"/>
      <c r="E130" s="174"/>
      <c r="F130" s="174"/>
      <c r="G130" s="175">
        <f t="shared" si="1"/>
        <v>0</v>
      </c>
      <c r="H130" s="175">
        <f t="shared" si="2"/>
        <v>0</v>
      </c>
      <c r="I130" s="175">
        <f t="shared" si="3"/>
        <v>0</v>
      </c>
      <c r="J130" s="175">
        <f t="shared" si="4"/>
        <v>0</v>
      </c>
      <c r="K130" s="174"/>
      <c r="L130" s="174"/>
      <c r="M130" s="174"/>
    </row>
    <row r="131" ht="14.25" customHeight="1">
      <c r="A131" s="20"/>
      <c r="B131" s="174"/>
      <c r="C131" s="174"/>
      <c r="D131" s="174"/>
      <c r="E131" s="174"/>
      <c r="F131" s="174"/>
      <c r="G131" s="175">
        <f t="shared" si="1"/>
        <v>0</v>
      </c>
      <c r="H131" s="175">
        <f t="shared" si="2"/>
        <v>0</v>
      </c>
      <c r="I131" s="175">
        <f t="shared" si="3"/>
        <v>0</v>
      </c>
      <c r="J131" s="175">
        <f t="shared" si="4"/>
        <v>0</v>
      </c>
      <c r="K131" s="174"/>
      <c r="L131" s="174"/>
      <c r="M131" s="174"/>
    </row>
    <row r="132" ht="14.25" customHeight="1">
      <c r="A132" s="20"/>
      <c r="B132" s="174"/>
      <c r="C132" s="174"/>
      <c r="D132" s="174"/>
      <c r="E132" s="174"/>
      <c r="F132" s="174"/>
      <c r="G132" s="175">
        <f t="shared" si="1"/>
        <v>0</v>
      </c>
      <c r="H132" s="175">
        <f t="shared" si="2"/>
        <v>0</v>
      </c>
      <c r="I132" s="175">
        <f t="shared" si="3"/>
        <v>0</v>
      </c>
      <c r="J132" s="175">
        <f t="shared" si="4"/>
        <v>0</v>
      </c>
      <c r="K132" s="174"/>
      <c r="L132" s="174"/>
      <c r="M132" s="174"/>
    </row>
    <row r="133" ht="14.25" customHeight="1">
      <c r="A133" s="20"/>
      <c r="B133" s="174"/>
      <c r="C133" s="174"/>
      <c r="D133" s="174"/>
      <c r="E133" s="174"/>
      <c r="F133" s="174"/>
      <c r="G133" s="175">
        <f t="shared" si="1"/>
        <v>0</v>
      </c>
      <c r="H133" s="175">
        <f t="shared" si="2"/>
        <v>0</v>
      </c>
      <c r="I133" s="175">
        <f t="shared" si="3"/>
        <v>0</v>
      </c>
      <c r="J133" s="175">
        <f t="shared" si="4"/>
        <v>0</v>
      </c>
      <c r="K133" s="174"/>
      <c r="L133" s="174"/>
      <c r="M133" s="174"/>
    </row>
    <row r="134" ht="14.25" customHeight="1">
      <c r="A134" s="20"/>
      <c r="B134" s="174"/>
      <c r="C134" s="174"/>
      <c r="D134" s="174"/>
      <c r="E134" s="174"/>
      <c r="F134" s="174"/>
      <c r="G134" s="175">
        <f t="shared" si="1"/>
        <v>0</v>
      </c>
      <c r="H134" s="175">
        <f t="shared" si="2"/>
        <v>0</v>
      </c>
      <c r="I134" s="175">
        <f t="shared" si="3"/>
        <v>0</v>
      </c>
      <c r="J134" s="175">
        <f t="shared" si="4"/>
        <v>0</v>
      </c>
      <c r="K134" s="174"/>
      <c r="L134" s="174"/>
      <c r="M134" s="174"/>
    </row>
    <row r="135" ht="14.25" customHeight="1">
      <c r="A135" s="20"/>
      <c r="B135" s="174"/>
      <c r="C135" s="174"/>
      <c r="D135" s="174"/>
      <c r="E135" s="174"/>
      <c r="F135" s="174"/>
      <c r="G135" s="175">
        <f t="shared" si="1"/>
        <v>0</v>
      </c>
      <c r="H135" s="175">
        <f t="shared" si="2"/>
        <v>0</v>
      </c>
      <c r="I135" s="175">
        <f t="shared" si="3"/>
        <v>0</v>
      </c>
      <c r="J135" s="175">
        <f t="shared" si="4"/>
        <v>0</v>
      </c>
      <c r="K135" s="174"/>
      <c r="L135" s="174"/>
      <c r="M135" s="174"/>
    </row>
    <row r="136" ht="14.25" customHeight="1">
      <c r="A136" s="20"/>
      <c r="B136" s="174"/>
      <c r="C136" s="174"/>
      <c r="D136" s="174"/>
      <c r="E136" s="174"/>
      <c r="F136" s="174"/>
      <c r="G136" s="175">
        <f t="shared" si="1"/>
        <v>0</v>
      </c>
      <c r="H136" s="175">
        <f t="shared" si="2"/>
        <v>0</v>
      </c>
      <c r="I136" s="175">
        <f t="shared" si="3"/>
        <v>0</v>
      </c>
      <c r="J136" s="175">
        <f t="shared" si="4"/>
        <v>0</v>
      </c>
      <c r="K136" s="174"/>
      <c r="L136" s="174"/>
      <c r="M136" s="174"/>
    </row>
    <row r="137" ht="14.25" customHeight="1">
      <c r="A137" s="20"/>
      <c r="B137" s="174"/>
      <c r="C137" s="174"/>
      <c r="D137" s="174"/>
      <c r="E137" s="174"/>
      <c r="F137" s="174"/>
      <c r="G137" s="175">
        <f t="shared" si="1"/>
        <v>0</v>
      </c>
      <c r="H137" s="175">
        <f t="shared" si="2"/>
        <v>0</v>
      </c>
      <c r="I137" s="175">
        <f t="shared" si="3"/>
        <v>0</v>
      </c>
      <c r="J137" s="175">
        <f t="shared" si="4"/>
        <v>0</v>
      </c>
      <c r="K137" s="174"/>
      <c r="L137" s="174"/>
      <c r="M137" s="174"/>
    </row>
    <row r="138" ht="14.25" customHeight="1">
      <c r="A138" s="20"/>
      <c r="B138" s="174"/>
      <c r="C138" s="174"/>
      <c r="D138" s="174"/>
      <c r="E138" s="174"/>
      <c r="F138" s="174"/>
      <c r="G138" s="175">
        <f t="shared" si="1"/>
        <v>0</v>
      </c>
      <c r="H138" s="175">
        <f t="shared" si="2"/>
        <v>0</v>
      </c>
      <c r="I138" s="175">
        <f t="shared" si="3"/>
        <v>0</v>
      </c>
      <c r="J138" s="175">
        <f t="shared" si="4"/>
        <v>0</v>
      </c>
      <c r="K138" s="174"/>
      <c r="L138" s="174"/>
      <c r="M138" s="174"/>
    </row>
    <row r="139" ht="14.25" customHeight="1">
      <c r="A139" s="20"/>
      <c r="B139" s="174"/>
      <c r="C139" s="174"/>
      <c r="D139" s="174"/>
      <c r="E139" s="174"/>
      <c r="F139" s="174"/>
      <c r="G139" s="175">
        <f t="shared" si="1"/>
        <v>0</v>
      </c>
      <c r="H139" s="175">
        <f t="shared" si="2"/>
        <v>0</v>
      </c>
      <c r="I139" s="175">
        <f t="shared" si="3"/>
        <v>0</v>
      </c>
      <c r="J139" s="175">
        <f t="shared" si="4"/>
        <v>0</v>
      </c>
      <c r="K139" s="174"/>
      <c r="L139" s="174"/>
      <c r="M139" s="174"/>
    </row>
    <row r="140" ht="14.25" customHeight="1">
      <c r="A140" s="20"/>
      <c r="B140" s="174"/>
      <c r="C140" s="174"/>
      <c r="D140" s="174"/>
      <c r="E140" s="174"/>
      <c r="F140" s="174"/>
      <c r="G140" s="175">
        <f t="shared" si="1"/>
        <v>0</v>
      </c>
      <c r="H140" s="175">
        <f t="shared" si="2"/>
        <v>0</v>
      </c>
      <c r="I140" s="175">
        <f t="shared" si="3"/>
        <v>0</v>
      </c>
      <c r="J140" s="175">
        <f t="shared" si="4"/>
        <v>0</v>
      </c>
      <c r="K140" s="174"/>
      <c r="L140" s="174"/>
      <c r="M140" s="174"/>
    </row>
    <row r="141" ht="14.25" customHeight="1">
      <c r="A141" s="20"/>
      <c r="B141" s="174"/>
      <c r="C141" s="174"/>
      <c r="D141" s="174"/>
      <c r="E141" s="174"/>
      <c r="F141" s="174"/>
      <c r="G141" s="175">
        <f t="shared" si="1"/>
        <v>0</v>
      </c>
      <c r="H141" s="175">
        <f t="shared" si="2"/>
        <v>0</v>
      </c>
      <c r="I141" s="175">
        <f t="shared" si="3"/>
        <v>0</v>
      </c>
      <c r="J141" s="175">
        <f t="shared" si="4"/>
        <v>0</v>
      </c>
      <c r="K141" s="174"/>
      <c r="L141" s="174"/>
      <c r="M141" s="174"/>
    </row>
    <row r="142" ht="14.25" customHeight="1">
      <c r="A142" s="20"/>
      <c r="B142" s="174"/>
      <c r="C142" s="174"/>
      <c r="D142" s="174"/>
      <c r="E142" s="174"/>
      <c r="F142" s="174"/>
      <c r="G142" s="175">
        <f t="shared" si="1"/>
        <v>0</v>
      </c>
      <c r="H142" s="175">
        <f t="shared" si="2"/>
        <v>0</v>
      </c>
      <c r="I142" s="175">
        <f t="shared" si="3"/>
        <v>0</v>
      </c>
      <c r="J142" s="175">
        <f t="shared" si="4"/>
        <v>0</v>
      </c>
      <c r="K142" s="174"/>
      <c r="L142" s="174"/>
      <c r="M142" s="174"/>
    </row>
    <row r="143" ht="14.25" customHeight="1">
      <c r="A143" s="20"/>
      <c r="B143" s="174"/>
      <c r="C143" s="174"/>
      <c r="D143" s="174"/>
      <c r="E143" s="174"/>
      <c r="F143" s="174"/>
      <c r="G143" s="175">
        <f t="shared" si="1"/>
        <v>0</v>
      </c>
      <c r="H143" s="175">
        <f t="shared" si="2"/>
        <v>0</v>
      </c>
      <c r="I143" s="175">
        <f t="shared" si="3"/>
        <v>0</v>
      </c>
      <c r="J143" s="175">
        <f t="shared" si="4"/>
        <v>0</v>
      </c>
      <c r="K143" s="174"/>
      <c r="L143" s="174"/>
      <c r="M143" s="174"/>
    </row>
    <row r="144" ht="14.25" customHeight="1">
      <c r="A144" s="20"/>
      <c r="B144" s="174"/>
      <c r="C144" s="174"/>
      <c r="D144" s="174"/>
      <c r="E144" s="174"/>
      <c r="F144" s="174"/>
      <c r="G144" s="175">
        <f t="shared" si="1"/>
        <v>0</v>
      </c>
      <c r="H144" s="175">
        <f t="shared" si="2"/>
        <v>0</v>
      </c>
      <c r="I144" s="175">
        <f t="shared" si="3"/>
        <v>0</v>
      </c>
      <c r="J144" s="175">
        <f t="shared" si="4"/>
        <v>0</v>
      </c>
      <c r="K144" s="174"/>
      <c r="L144" s="174"/>
      <c r="M144" s="174"/>
    </row>
    <row r="145" ht="14.25" customHeight="1">
      <c r="A145" s="20"/>
      <c r="B145" s="174"/>
      <c r="C145" s="174"/>
      <c r="D145" s="174"/>
      <c r="E145" s="174"/>
      <c r="F145" s="174"/>
      <c r="G145" s="175">
        <f t="shared" si="1"/>
        <v>0</v>
      </c>
      <c r="H145" s="175">
        <f t="shared" si="2"/>
        <v>0</v>
      </c>
      <c r="I145" s="175">
        <f t="shared" si="3"/>
        <v>0</v>
      </c>
      <c r="J145" s="175">
        <f t="shared" si="4"/>
        <v>0</v>
      </c>
      <c r="K145" s="174"/>
      <c r="L145" s="174"/>
      <c r="M145" s="174"/>
    </row>
    <row r="146" ht="14.25" customHeight="1">
      <c r="A146" s="20"/>
      <c r="B146" s="174"/>
      <c r="C146" s="174"/>
      <c r="D146" s="174"/>
      <c r="E146" s="174"/>
      <c r="F146" s="174"/>
      <c r="G146" s="175">
        <f t="shared" si="1"/>
        <v>0</v>
      </c>
      <c r="H146" s="175">
        <f t="shared" si="2"/>
        <v>0</v>
      </c>
      <c r="I146" s="175">
        <f t="shared" si="3"/>
        <v>0</v>
      </c>
      <c r="J146" s="175">
        <f t="shared" si="4"/>
        <v>0</v>
      </c>
      <c r="K146" s="174"/>
      <c r="L146" s="174"/>
      <c r="M146" s="174"/>
    </row>
    <row r="147" ht="14.25" customHeight="1">
      <c r="A147" s="20"/>
      <c r="B147" s="174"/>
      <c r="C147" s="174"/>
      <c r="D147" s="174"/>
      <c r="E147" s="174"/>
      <c r="F147" s="174"/>
      <c r="G147" s="175">
        <f t="shared" si="1"/>
        <v>0</v>
      </c>
      <c r="H147" s="175">
        <f t="shared" si="2"/>
        <v>0</v>
      </c>
      <c r="I147" s="175">
        <f t="shared" si="3"/>
        <v>0</v>
      </c>
      <c r="J147" s="175">
        <f t="shared" si="4"/>
        <v>0</v>
      </c>
      <c r="K147" s="174"/>
      <c r="L147" s="174"/>
      <c r="M147" s="174"/>
    </row>
    <row r="148" ht="14.25" customHeight="1">
      <c r="A148" s="20"/>
      <c r="B148" s="174"/>
      <c r="C148" s="174"/>
      <c r="D148" s="174"/>
      <c r="E148" s="174"/>
      <c r="F148" s="174"/>
      <c r="G148" s="175">
        <f t="shared" si="1"/>
        <v>0</v>
      </c>
      <c r="H148" s="175">
        <f t="shared" si="2"/>
        <v>0</v>
      </c>
      <c r="I148" s="175">
        <f t="shared" si="3"/>
        <v>0</v>
      </c>
      <c r="J148" s="175">
        <f t="shared" si="4"/>
        <v>0</v>
      </c>
      <c r="K148" s="174"/>
      <c r="L148" s="174"/>
      <c r="M148" s="174"/>
    </row>
    <row r="149" ht="14.25" customHeight="1">
      <c r="A149" s="20"/>
      <c r="B149" s="174"/>
      <c r="C149" s="174"/>
      <c r="D149" s="174"/>
      <c r="E149" s="174"/>
      <c r="F149" s="174"/>
      <c r="G149" s="175">
        <f t="shared" si="1"/>
        <v>0</v>
      </c>
      <c r="H149" s="175">
        <f t="shared" si="2"/>
        <v>0</v>
      </c>
      <c r="I149" s="175">
        <f t="shared" si="3"/>
        <v>0</v>
      </c>
      <c r="J149" s="175">
        <f t="shared" si="4"/>
        <v>0</v>
      </c>
      <c r="K149" s="174"/>
      <c r="L149" s="174"/>
      <c r="M149" s="174"/>
    </row>
    <row r="150" ht="14.25" customHeight="1">
      <c r="A150" s="20"/>
      <c r="B150" s="174"/>
      <c r="C150" s="174"/>
      <c r="D150" s="174"/>
      <c r="E150" s="174"/>
      <c r="F150" s="174"/>
      <c r="G150" s="175">
        <f t="shared" si="1"/>
        <v>0</v>
      </c>
      <c r="H150" s="175">
        <f t="shared" si="2"/>
        <v>0</v>
      </c>
      <c r="I150" s="175">
        <f t="shared" si="3"/>
        <v>0</v>
      </c>
      <c r="J150" s="175">
        <f t="shared" si="4"/>
        <v>0</v>
      </c>
      <c r="K150" s="174"/>
      <c r="L150" s="174"/>
      <c r="M150" s="174"/>
    </row>
    <row r="151" ht="14.25" customHeight="1">
      <c r="A151" s="20"/>
      <c r="B151" s="174"/>
      <c r="C151" s="174"/>
      <c r="D151" s="174"/>
      <c r="E151" s="174"/>
      <c r="F151" s="174"/>
      <c r="G151" s="175">
        <f t="shared" si="1"/>
        <v>0</v>
      </c>
      <c r="H151" s="175">
        <f t="shared" si="2"/>
        <v>0</v>
      </c>
      <c r="I151" s="175">
        <f t="shared" si="3"/>
        <v>0</v>
      </c>
      <c r="J151" s="175">
        <f t="shared" si="4"/>
        <v>0</v>
      </c>
      <c r="K151" s="174"/>
      <c r="L151" s="174"/>
      <c r="M151" s="174"/>
    </row>
    <row r="152" ht="14.25" customHeight="1">
      <c r="A152" s="20"/>
      <c r="B152" s="174"/>
      <c r="C152" s="174"/>
      <c r="D152" s="174"/>
      <c r="E152" s="174"/>
      <c r="F152" s="174"/>
      <c r="G152" s="175">
        <f t="shared" si="1"/>
        <v>0</v>
      </c>
      <c r="H152" s="175">
        <f t="shared" si="2"/>
        <v>0</v>
      </c>
      <c r="I152" s="175">
        <f t="shared" si="3"/>
        <v>0</v>
      </c>
      <c r="J152" s="175">
        <f t="shared" si="4"/>
        <v>0</v>
      </c>
      <c r="K152" s="174"/>
      <c r="L152" s="174"/>
      <c r="M152" s="174"/>
    </row>
    <row r="153" ht="14.25" customHeight="1">
      <c r="A153" s="20"/>
      <c r="B153" s="174"/>
      <c r="C153" s="174"/>
      <c r="D153" s="174"/>
      <c r="E153" s="174"/>
      <c r="F153" s="174"/>
      <c r="G153" s="175">
        <f t="shared" si="1"/>
        <v>0</v>
      </c>
      <c r="H153" s="175">
        <f t="shared" si="2"/>
        <v>0</v>
      </c>
      <c r="I153" s="175">
        <f t="shared" si="3"/>
        <v>0</v>
      </c>
      <c r="J153" s="175">
        <f t="shared" si="4"/>
        <v>0</v>
      </c>
      <c r="K153" s="174"/>
      <c r="L153" s="174"/>
      <c r="M153" s="174"/>
    </row>
    <row r="154" ht="14.25" customHeight="1">
      <c r="A154" s="20"/>
      <c r="B154" s="174"/>
      <c r="C154" s="174"/>
      <c r="D154" s="174"/>
      <c r="E154" s="174"/>
      <c r="F154" s="174"/>
      <c r="G154" s="175">
        <f t="shared" si="1"/>
        <v>0</v>
      </c>
      <c r="H154" s="175">
        <f t="shared" si="2"/>
        <v>0</v>
      </c>
      <c r="I154" s="175">
        <f t="shared" si="3"/>
        <v>0</v>
      </c>
      <c r="J154" s="175">
        <f t="shared" si="4"/>
        <v>0</v>
      </c>
      <c r="K154" s="174"/>
      <c r="L154" s="174"/>
      <c r="M154" s="174"/>
    </row>
    <row r="155" ht="14.25" customHeight="1">
      <c r="A155" s="20"/>
      <c r="B155" s="174"/>
      <c r="C155" s="174"/>
      <c r="D155" s="174"/>
      <c r="E155" s="174"/>
      <c r="F155" s="174"/>
      <c r="G155" s="175">
        <f t="shared" si="1"/>
        <v>0</v>
      </c>
      <c r="H155" s="175">
        <f t="shared" si="2"/>
        <v>0</v>
      </c>
      <c r="I155" s="175">
        <f t="shared" si="3"/>
        <v>0</v>
      </c>
      <c r="J155" s="175">
        <f t="shared" si="4"/>
        <v>0</v>
      </c>
      <c r="K155" s="174"/>
      <c r="L155" s="174"/>
      <c r="M155" s="174"/>
    </row>
    <row r="156" ht="14.25" customHeight="1">
      <c r="A156" s="20"/>
      <c r="B156" s="174"/>
      <c r="C156" s="174"/>
      <c r="D156" s="174"/>
      <c r="E156" s="174"/>
      <c r="F156" s="174"/>
      <c r="G156" s="175">
        <f t="shared" si="1"/>
        <v>0</v>
      </c>
      <c r="H156" s="175">
        <f t="shared" si="2"/>
        <v>0</v>
      </c>
      <c r="I156" s="175">
        <f t="shared" si="3"/>
        <v>0</v>
      </c>
      <c r="J156" s="175">
        <f t="shared" si="4"/>
        <v>0</v>
      </c>
      <c r="K156" s="174"/>
      <c r="L156" s="174"/>
      <c r="M156" s="174"/>
    </row>
    <row r="157" ht="14.25" customHeight="1">
      <c r="A157" s="20"/>
      <c r="B157" s="174"/>
      <c r="C157" s="174"/>
      <c r="D157" s="174"/>
      <c r="E157" s="174"/>
      <c r="F157" s="174"/>
      <c r="G157" s="175">
        <f t="shared" si="1"/>
        <v>0</v>
      </c>
      <c r="H157" s="175">
        <f t="shared" si="2"/>
        <v>0</v>
      </c>
      <c r="I157" s="175">
        <f t="shared" si="3"/>
        <v>0</v>
      </c>
      <c r="J157" s="175">
        <f t="shared" si="4"/>
        <v>0</v>
      </c>
      <c r="K157" s="174"/>
      <c r="L157" s="174"/>
      <c r="M157" s="174"/>
    </row>
    <row r="158" ht="14.25" customHeight="1">
      <c r="A158" s="20"/>
      <c r="B158" s="174"/>
      <c r="C158" s="174"/>
      <c r="D158" s="174"/>
      <c r="E158" s="174"/>
      <c r="F158" s="174"/>
      <c r="G158" s="175">
        <f t="shared" si="1"/>
        <v>0</v>
      </c>
      <c r="H158" s="175">
        <f t="shared" si="2"/>
        <v>0</v>
      </c>
      <c r="I158" s="175">
        <f t="shared" si="3"/>
        <v>0</v>
      </c>
      <c r="J158" s="175">
        <f t="shared" si="4"/>
        <v>0</v>
      </c>
      <c r="K158" s="174"/>
      <c r="L158" s="174"/>
      <c r="M158" s="174"/>
    </row>
    <row r="159" ht="14.25" customHeight="1">
      <c r="A159" s="20"/>
      <c r="B159" s="174"/>
      <c r="C159" s="174"/>
      <c r="D159" s="174"/>
      <c r="E159" s="174"/>
      <c r="F159" s="174"/>
      <c r="G159" s="175">
        <f t="shared" si="1"/>
        <v>0</v>
      </c>
      <c r="H159" s="175">
        <f t="shared" si="2"/>
        <v>0</v>
      </c>
      <c r="I159" s="175">
        <f t="shared" si="3"/>
        <v>0</v>
      </c>
      <c r="J159" s="175">
        <f t="shared" si="4"/>
        <v>0</v>
      </c>
      <c r="K159" s="174"/>
      <c r="L159" s="174"/>
      <c r="M159" s="174"/>
    </row>
    <row r="160" ht="14.25" customHeight="1">
      <c r="A160" s="20"/>
      <c r="B160" s="174"/>
      <c r="C160" s="174"/>
      <c r="D160" s="174"/>
      <c r="E160" s="174"/>
      <c r="F160" s="174"/>
      <c r="G160" s="175">
        <f t="shared" si="1"/>
        <v>0</v>
      </c>
      <c r="H160" s="175">
        <f t="shared" si="2"/>
        <v>0</v>
      </c>
      <c r="I160" s="175">
        <f t="shared" si="3"/>
        <v>0</v>
      </c>
      <c r="J160" s="175">
        <f t="shared" si="4"/>
        <v>0</v>
      </c>
      <c r="K160" s="174"/>
      <c r="L160" s="174"/>
      <c r="M160" s="174"/>
    </row>
    <row r="161" ht="14.25" customHeight="1">
      <c r="A161" s="20"/>
      <c r="B161" s="174"/>
      <c r="C161" s="174"/>
      <c r="D161" s="174"/>
      <c r="E161" s="174"/>
      <c r="F161" s="174"/>
      <c r="G161" s="175">
        <f t="shared" si="1"/>
        <v>0</v>
      </c>
      <c r="H161" s="175">
        <f t="shared" si="2"/>
        <v>0</v>
      </c>
      <c r="I161" s="175">
        <f t="shared" si="3"/>
        <v>0</v>
      </c>
      <c r="J161" s="175">
        <f t="shared" si="4"/>
        <v>0</v>
      </c>
      <c r="K161" s="174"/>
      <c r="L161" s="174"/>
      <c r="M161" s="174"/>
    </row>
    <row r="162" ht="14.25" customHeight="1">
      <c r="A162" s="20"/>
      <c r="B162" s="174"/>
      <c r="C162" s="174"/>
      <c r="D162" s="174"/>
      <c r="E162" s="174"/>
      <c r="F162" s="174"/>
      <c r="G162" s="175">
        <f t="shared" si="1"/>
        <v>0</v>
      </c>
      <c r="H162" s="175">
        <f t="shared" si="2"/>
        <v>0</v>
      </c>
      <c r="I162" s="175">
        <f t="shared" si="3"/>
        <v>0</v>
      </c>
      <c r="J162" s="175">
        <f t="shared" si="4"/>
        <v>0</v>
      </c>
      <c r="K162" s="174"/>
      <c r="L162" s="174"/>
      <c r="M162" s="174"/>
    </row>
    <row r="163" ht="14.25" customHeight="1">
      <c r="A163" s="20"/>
      <c r="B163" s="174"/>
      <c r="C163" s="174"/>
      <c r="D163" s="174"/>
      <c r="E163" s="174"/>
      <c r="F163" s="174"/>
      <c r="G163" s="175">
        <f t="shared" si="1"/>
        <v>0</v>
      </c>
      <c r="H163" s="175">
        <f t="shared" si="2"/>
        <v>0</v>
      </c>
      <c r="I163" s="175">
        <f t="shared" si="3"/>
        <v>0</v>
      </c>
      <c r="J163" s="175">
        <f t="shared" si="4"/>
        <v>0</v>
      </c>
      <c r="K163" s="174"/>
      <c r="L163" s="174"/>
      <c r="M163" s="174"/>
    </row>
    <row r="164" ht="14.25" customHeight="1">
      <c r="A164" s="20"/>
      <c r="B164" s="174"/>
      <c r="C164" s="174"/>
      <c r="D164" s="174"/>
      <c r="E164" s="174"/>
      <c r="F164" s="174"/>
      <c r="G164" s="175">
        <f t="shared" si="1"/>
        <v>0</v>
      </c>
      <c r="H164" s="175">
        <f t="shared" si="2"/>
        <v>0</v>
      </c>
      <c r="I164" s="175">
        <f t="shared" si="3"/>
        <v>0</v>
      </c>
      <c r="J164" s="175">
        <f t="shared" si="4"/>
        <v>0</v>
      </c>
      <c r="K164" s="174"/>
      <c r="L164" s="174"/>
      <c r="M164" s="174"/>
    </row>
    <row r="165" ht="14.25" customHeight="1">
      <c r="A165" s="20"/>
      <c r="B165" s="174"/>
      <c r="C165" s="174"/>
      <c r="D165" s="174"/>
      <c r="E165" s="174"/>
      <c r="F165" s="174"/>
      <c r="G165" s="175">
        <f t="shared" si="1"/>
        <v>0</v>
      </c>
      <c r="H165" s="175">
        <f t="shared" si="2"/>
        <v>0</v>
      </c>
      <c r="I165" s="175">
        <f t="shared" si="3"/>
        <v>0</v>
      </c>
      <c r="J165" s="175">
        <f t="shared" si="4"/>
        <v>0</v>
      </c>
      <c r="K165" s="174"/>
      <c r="L165" s="174"/>
      <c r="M165" s="174"/>
    </row>
    <row r="166" ht="14.25" customHeight="1">
      <c r="A166" s="20"/>
      <c r="B166" s="174"/>
      <c r="C166" s="174"/>
      <c r="D166" s="174"/>
      <c r="E166" s="174"/>
      <c r="F166" s="174"/>
      <c r="G166" s="175">
        <f t="shared" si="1"/>
        <v>0</v>
      </c>
      <c r="H166" s="175">
        <f t="shared" si="2"/>
        <v>0</v>
      </c>
      <c r="I166" s="175">
        <f t="shared" si="3"/>
        <v>0</v>
      </c>
      <c r="J166" s="175">
        <f t="shared" si="4"/>
        <v>0</v>
      </c>
      <c r="K166" s="174"/>
      <c r="L166" s="174"/>
      <c r="M166" s="174"/>
    </row>
    <row r="167" ht="14.25" customHeight="1">
      <c r="A167" s="20"/>
      <c r="B167" s="174"/>
      <c r="C167" s="174"/>
      <c r="D167" s="174"/>
      <c r="E167" s="174"/>
      <c r="F167" s="174"/>
      <c r="G167" s="175">
        <f t="shared" si="1"/>
        <v>0</v>
      </c>
      <c r="H167" s="175">
        <f t="shared" si="2"/>
        <v>0</v>
      </c>
      <c r="I167" s="175">
        <f t="shared" si="3"/>
        <v>0</v>
      </c>
      <c r="J167" s="175">
        <f t="shared" si="4"/>
        <v>0</v>
      </c>
      <c r="K167" s="174"/>
      <c r="L167" s="174"/>
      <c r="M167" s="174"/>
    </row>
    <row r="168" ht="14.25" customHeight="1">
      <c r="A168" s="20"/>
      <c r="B168" s="174"/>
      <c r="C168" s="174"/>
      <c r="D168" s="174"/>
      <c r="E168" s="174"/>
      <c r="F168" s="174"/>
      <c r="G168" s="175">
        <f t="shared" si="1"/>
        <v>0</v>
      </c>
      <c r="H168" s="175">
        <f t="shared" si="2"/>
        <v>0</v>
      </c>
      <c r="I168" s="175">
        <f t="shared" si="3"/>
        <v>0</v>
      </c>
      <c r="J168" s="175">
        <f t="shared" si="4"/>
        <v>0</v>
      </c>
      <c r="K168" s="174"/>
      <c r="L168" s="174"/>
      <c r="M168" s="174"/>
    </row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0:G10"/>
    <mergeCell ref="A16:M17"/>
    <mergeCell ref="A3:N3"/>
    <mergeCell ref="A4:G4"/>
    <mergeCell ref="A5:G5"/>
    <mergeCell ref="A6:G6"/>
    <mergeCell ref="A7:G7"/>
    <mergeCell ref="A8:G8"/>
    <mergeCell ref="A9:G9"/>
  </mergeCells>
  <dataValidations>
    <dataValidation type="list" allowBlank="1" showErrorMessage="1" sqref="A19:A168">
      <formula1>#REF!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2022-08-19T14:32:10Z</dcterms:created>
  <dc:creator>Marisa Ferreira Da Silva Lima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6e36230b-15bf-458e-ab46-a23d543a027b</vt:lpwstr>
  </property>
</Properties>
</file>