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listas de opções" sheetId="1" state="visible" r:id="rId1"/>
    <sheet name="Tabela 1 APS - Descr." sheetId="2" state="visible" r:id="rId2"/>
    <sheet name="Tabela 1 APS - Dados" sheetId="3" state="visible" r:id="rId3"/>
    <sheet name="Tabela 1 APS - Referência AAE" sheetId="4" state="visible" r:id="rId4"/>
    <sheet name="Tabela 1 APS - Referência Bx. R" sheetId="5" state="visible" r:id="rId5"/>
    <sheet name="tabela 2 AGAR" sheetId="6" state="visible" r:id="rId6"/>
    <sheet name="tabela 3 ANEO" sheetId="7" state="visible" r:id="rId7"/>
    <sheet name="totais TABELA 4" sheetId="8" state="visible" r:id="rId8"/>
    <sheet name="tabela 4  leitos existentes" sheetId="9" state="visible" r:id="rId9"/>
    <sheet name="tabela 5 necessidade" sheetId="10" state="visible" r:id="rId10"/>
    <sheet name="tabela 6 rede de serviços final" sheetId="11" state="visible" r:id="rId11"/>
  </sheets>
  <calcPr/>
  <pivotCaches>
    <pivotCache cacheId="0" r:id="rId20001"/>
  </pivotCaches>
</workbook>
</file>

<file path=xl/sharedStrings.xml><?xml version="1.0" encoding="utf-8"?>
<sst xmlns="http://schemas.openxmlformats.org/spreadsheetml/2006/main" count="368" uniqueCount="368">
  <si>
    <t>RRAS</t>
  </si>
  <si>
    <t>DRS</t>
  </si>
  <si>
    <t>Região de Saúde</t>
  </si>
  <si>
    <t>STATUS</t>
  </si>
  <si>
    <t>HABILITAÇÃO MAB</t>
  </si>
  <si>
    <t>RRAS 01</t>
  </si>
  <si>
    <t>Aracatuba</t>
  </si>
  <si>
    <t>Adamantina</t>
  </si>
  <si>
    <t>Existente</t>
  </si>
  <si>
    <t>MAB I</t>
  </si>
  <si>
    <t>RRAS 02</t>
  </si>
  <si>
    <t>Araraquara</t>
  </si>
  <si>
    <t>Alta Anhanguera</t>
  </si>
  <si>
    <t>Novo</t>
  </si>
  <si>
    <t>MAB II</t>
  </si>
  <si>
    <t>RRAS 03</t>
  </si>
  <si>
    <t>Baixada Santista</t>
  </si>
  <si>
    <t>Alta Mogiana</t>
  </si>
  <si>
    <t>Não existe</t>
  </si>
  <si>
    <t>MAB III</t>
  </si>
  <si>
    <t>RRAS 04</t>
  </si>
  <si>
    <t>Barretos</t>
  </si>
  <si>
    <t>Alta Paulista</t>
  </si>
  <si>
    <t>SEM HABILITAÇÃO</t>
  </si>
  <si>
    <t>RRAS 05</t>
  </si>
  <si>
    <t>Bauru</t>
  </si>
  <si>
    <t>Alta Sorocabana</t>
  </si>
  <si>
    <t>RRAS 06</t>
  </si>
  <si>
    <t>Campinas</t>
  </si>
  <si>
    <t>Alto Capivari</t>
  </si>
  <si>
    <t>RRAS 07</t>
  </si>
  <si>
    <t>Franca</t>
  </si>
  <si>
    <t>Alto do Tiete</t>
  </si>
  <si>
    <t>RRAS 08</t>
  </si>
  <si>
    <t>Grande Sao Paulo</t>
  </si>
  <si>
    <t>Alto Vale do Paraíba</t>
  </si>
  <si>
    <t>RRAS 09</t>
  </si>
  <si>
    <t>Marilia</t>
  </si>
  <si>
    <t>Aquifero Guarani</t>
  </si>
  <si>
    <t>RRAS 10</t>
  </si>
  <si>
    <t>Piracicaba</t>
  </si>
  <si>
    <t>Araras</t>
  </si>
  <si>
    <t>RRAS 11</t>
  </si>
  <si>
    <t>Presidente Prudente</t>
  </si>
  <si>
    <t>Assis</t>
  </si>
  <si>
    <t>RRAS 12</t>
  </si>
  <si>
    <t>Registro</t>
  </si>
  <si>
    <t>Baixa Mogiana</t>
  </si>
  <si>
    <t>RRAS 13</t>
  </si>
  <si>
    <t>Ribeirao Preto</t>
  </si>
  <si>
    <t>RRAS 14</t>
  </si>
  <si>
    <t>Sao Joao da Boa Vista</t>
  </si>
  <si>
    <t>RRAS 15</t>
  </si>
  <si>
    <t>Sao Jose do Rio Preto</t>
  </si>
  <si>
    <t>Braganca</t>
  </si>
  <si>
    <t>RRAS 16</t>
  </si>
  <si>
    <t>Sorocaba</t>
  </si>
  <si>
    <t>Catanduva</t>
  </si>
  <si>
    <t>RRAS 17</t>
  </si>
  <si>
    <t>Taubaté</t>
  </si>
  <si>
    <t>Central do DRS II</t>
  </si>
  <si>
    <t>Central do DRS III</t>
  </si>
  <si>
    <t>Centro Oeste do DRS III</t>
  </si>
  <si>
    <t>Circ. da Fé - V. Histórico</t>
  </si>
  <si>
    <t>Circuito das Aguas</t>
  </si>
  <si>
    <t>Consorcio do DRS II</t>
  </si>
  <si>
    <t>Coracao do DRS III</t>
  </si>
  <si>
    <t>Extremo Oeste Paulista</t>
  </si>
  <si>
    <t>Fernandopolis</t>
  </si>
  <si>
    <t>Franco da Rocha</t>
  </si>
  <si>
    <t>Grande ABC</t>
  </si>
  <si>
    <t>Horizonte Verde</t>
  </si>
  <si>
    <t>Itapetininga</t>
  </si>
  <si>
    <t>Itapeva</t>
  </si>
  <si>
    <t>Jales</t>
  </si>
  <si>
    <t>Jau</t>
  </si>
  <si>
    <t>Jose Bonifacio</t>
  </si>
  <si>
    <t>Jundiai</t>
  </si>
  <si>
    <t>Lagos do DRS II</t>
  </si>
  <si>
    <t>Limeira</t>
  </si>
  <si>
    <t>Lins</t>
  </si>
  <si>
    <t>Litoral Norte</t>
  </si>
  <si>
    <t>Mananciais</t>
  </si>
  <si>
    <t>Mantiqueira</t>
  </si>
  <si>
    <t>Norte - Barretos</t>
  </si>
  <si>
    <t>Norte do DRS III</t>
  </si>
  <si>
    <t>Ourinhos</t>
  </si>
  <si>
    <t>Polo Cuesta</t>
  </si>
  <si>
    <t>Pontal do Paranapanema</t>
  </si>
  <si>
    <t>Reg. Metrop. Campinas</t>
  </si>
  <si>
    <t>Rio Claro</t>
  </si>
  <si>
    <t>Rio Pardo</t>
  </si>
  <si>
    <t>Rota dos Bandeirantes</t>
  </si>
  <si>
    <t>Santa Fe do Sul</t>
  </si>
  <si>
    <t>Sao Paulo</t>
  </si>
  <si>
    <t>Sul - Barretos</t>
  </si>
  <si>
    <t>Tres Colinas</t>
  </si>
  <si>
    <t>Tupa</t>
  </si>
  <si>
    <t>V. Paraíba - R. Serrana</t>
  </si>
  <si>
    <t>Vale das Cachoeiras</t>
  </si>
  <si>
    <t>Vale do Jurumirim</t>
  </si>
  <si>
    <t>Vale do Ribeira</t>
  </si>
  <si>
    <t>Votuporanga</t>
  </si>
  <si>
    <t>RRAS:</t>
  </si>
  <si>
    <t>Planilha atualizada em: 13/11/2024</t>
  </si>
  <si>
    <r>
      <rPr>
        <rFont val="Arial"/>
        <color theme="1"/>
        <sz val="12.0"/>
      </rPr>
      <t xml:space="preserve">A </t>
    </r>
    <r>
      <rPr>
        <rFont val="Arial"/>
        <b/>
        <color theme="1"/>
        <sz val="12.0"/>
      </rPr>
      <t>tabela 1</t>
    </r>
    <r>
      <rPr>
        <rFont val="Arial"/>
        <color theme="1"/>
        <sz val="12.0"/>
      </rPr>
      <t xml:space="preserve"> se refere a capacidade do municipio/territorio para atendimento a gestante de baixo risco e apontamento da pactuação do serviço que realiza o Pré-Natal de Alto Risco (AGAR), a entrada deve ser coerente com as referencias e Região de Saúde.</t>
    </r>
  </si>
  <si>
    <r>
      <rPr>
        <rFont val="Arial"/>
        <b/>
        <color theme="1"/>
        <sz val="12.0"/>
      </rPr>
      <t>NASCIDOS VIVOS:</t>
    </r>
    <r>
      <rPr>
        <rFont val="Arial"/>
        <color theme="1"/>
        <sz val="12.0"/>
      </rPr>
      <t xml:space="preserve"> PARA ATUAL PLANO: CONSIDERAR ANO 2023</t>
    </r>
  </si>
  <si>
    <t>ESTIMATIVA DE GESTANTES SUSDEPENDENTE (CÁLCULO) = NV + 10% - % Cobertura Saude Suplementar (por municipio)-fonte: https://tabnet.saude.sp.gov.br/tabcgi.exe?tabnet/ind47a_matriz.def</t>
  </si>
  <si>
    <t>COBERTURA ANS - REFERENCIA 2023 (Fonte/Tabnet:https://tabnet.saude.sp.gov.br/tabcgi.exe?tabnet/ind47a_matriz.def)</t>
  </si>
  <si>
    <r>
      <rPr>
        <rFont val="Arial"/>
        <sz val="12.0"/>
      </rPr>
      <t xml:space="preserve">Nº de UBS - Referência 2024. (Fonte: </t>
    </r>
    <r>
      <rPr>
        <rFont val="Arial"/>
        <color rgb="FF1155CC"/>
        <sz val="12.0"/>
        <u/>
      </rPr>
      <t>https://cnes2.datasus.gov.br/Mod_Ind_Unidade.asp?VEstado=35&amp;VMun=351380&amp;VComp=00&amp;VUni=02)</t>
    </r>
  </si>
  <si>
    <r>
      <rPr>
        <rFont val="Arial"/>
        <sz val="12.0"/>
      </rPr>
      <t xml:space="preserve">COBERTURA DA ESF/MUNICÍPIO - Referência 2020 (Fonte: </t>
    </r>
    <r>
      <rPr>
        <rFont val="Arial"/>
        <color rgb="FF1155CC"/>
        <sz val="12.0"/>
        <u/>
      </rPr>
      <t>https://tabnet.saude.sp.gov.br/tabcgi.exe?tabnet/ind33a_matriz.def)</t>
    </r>
  </si>
  <si>
    <r>
      <rPr>
        <rFont val="Arial"/>
        <sz val="12.0"/>
      </rPr>
      <t xml:space="preserve">COBERTURA DA AB/MUNICÍPIO - Referência 2020 (Fonte: </t>
    </r>
    <r>
      <rPr>
        <rFont val="Arial"/>
        <color rgb="FF1155CC"/>
        <sz val="12.0"/>
        <u/>
      </rPr>
      <t>https://tabnet.saude.sp.gov.br/tabcgi.exe?tabnet/ind33a_matriz.def)</t>
    </r>
  </si>
  <si>
    <t>GLOSSÁRIO</t>
  </si>
  <si>
    <r>
      <rPr>
        <rFont val="Arial"/>
        <b/>
        <color theme="1"/>
        <sz val="12.0"/>
      </rPr>
      <t>AAE</t>
    </r>
    <r>
      <rPr>
        <rFont val="Arial"/>
        <color theme="1"/>
        <sz val="12.0"/>
      </rPr>
      <t xml:space="preserve"> -Atenção Ambulatorial Especializada</t>
    </r>
  </si>
  <si>
    <r>
      <rPr>
        <rFont val="Arial"/>
        <b/>
        <color theme="1"/>
        <sz val="12.0"/>
      </rPr>
      <t>APS</t>
    </r>
    <r>
      <rPr>
        <rFont val="Arial"/>
        <color theme="1"/>
        <sz val="12.0"/>
      </rPr>
      <t xml:space="preserve"> - ATENÇÃO PRIMÁRIA À SAÚDE</t>
    </r>
  </si>
  <si>
    <r>
      <rPr>
        <rFont val="Arial"/>
        <b/>
        <color theme="1"/>
        <sz val="12.0"/>
      </rPr>
      <t>ESF</t>
    </r>
    <r>
      <rPr>
        <rFont val="Arial"/>
        <color theme="1"/>
        <sz val="12.0"/>
      </rPr>
      <t xml:space="preserve"> - ESTRATÉGIA SAÚDE DA FAMILIA</t>
    </r>
  </si>
  <si>
    <r>
      <rPr>
        <rFont val="Arial"/>
        <b/>
        <color theme="1"/>
        <sz val="12.0"/>
      </rPr>
      <t>UBS</t>
    </r>
    <r>
      <rPr>
        <rFont val="Arial"/>
        <color theme="1"/>
        <sz val="12.0"/>
      </rPr>
      <t xml:space="preserve"> - UNIDADE BÁSICA DE SAÚDE</t>
    </r>
  </si>
  <si>
    <r>
      <rPr>
        <rFont val="Arial"/>
        <b/>
        <color theme="1"/>
        <sz val="12.0"/>
      </rPr>
      <t>ANS</t>
    </r>
    <r>
      <rPr>
        <rFont val="Arial"/>
        <color theme="1"/>
        <sz val="12.0"/>
      </rPr>
      <t xml:space="preserve"> - AGENCIA NACIONAL DE SAUDE SUPLEMENTAR</t>
    </r>
  </si>
  <si>
    <t>Tabela: 1	    Cobertura de Acesso e capacidade instalada na Atenção Primária à Saúde (APS) para a gestação de baixo risco.</t>
  </si>
  <si>
    <t>RS</t>
  </si>
  <si>
    <t>MUNICIPIO</t>
  </si>
  <si>
    <t>NASCIDOS VIVOS MUNICIPIO (2023)</t>
  </si>
  <si>
    <t>COBERTURA ANS %</t>
  </si>
  <si>
    <t>Nº DE UBS</t>
  </si>
  <si>
    <t>COBERTURA DE ESF/MUNICIPIO %</t>
  </si>
  <si>
    <t>COBERTURA DA APS/MUNICIPIO</t>
  </si>
  <si>
    <t>TOTAL DE GESTANTES SUSDEPENDENTES ESTIMADAS/ANO</t>
  </si>
  <si>
    <t>TOTAL DE NASCIDOS VIVOS SUSDEPENDENTES ESTIMADOS/ANO</t>
  </si>
  <si>
    <t>CNES/ESTABELECIMENTO PARA REFERENCIA PARA AAE (AGAR)</t>
  </si>
  <si>
    <t>CNES/ESTABELECIMENTO DA REFERENCIA PARA PARTO (BX RISCO)</t>
  </si>
  <si>
    <t>Taubate</t>
  </si>
  <si>
    <t>Alto Vale do Paraiba</t>
  </si>
  <si>
    <t>Caçapava</t>
  </si>
  <si>
    <t>6294049/ Ambulatório Médico de Especialidades</t>
  </si>
  <si>
    <t>São José dos Campos</t>
  </si>
  <si>
    <t>2024756/ Hospital e Maternidade Nossa Senhora Da Ajuda - FUSAM</t>
  </si>
  <si>
    <t>Igaratá</t>
  </si>
  <si>
    <t>2085194/ Hospital São Francisco de Assis - CEAMI</t>
  </si>
  <si>
    <t>Jacareí</t>
  </si>
  <si>
    <t>2085194/ Hospital São Francisco de Assis</t>
  </si>
  <si>
    <t>Jambeiro</t>
  </si>
  <si>
    <t>Monteiro Lobato</t>
  </si>
  <si>
    <t>9628/ Hospital Municipal Dr José de Carvalho Florence</t>
  </si>
  <si>
    <t>Paraibuna</t>
  </si>
  <si>
    <t>Santa Branca</t>
  </si>
  <si>
    <t>9628/ Hospital Municipal Dr José de Carvalho Florence - Ambulatório da Mulher Dra. Therezinha Veneziani Silva</t>
  </si>
  <si>
    <t>Circ. da Fe-V. Historico</t>
  </si>
  <si>
    <t>Aparecida</t>
  </si>
  <si>
    <t>2087111/ Irmandade Santa Casa de Lorena</t>
  </si>
  <si>
    <t>Lorena</t>
  </si>
  <si>
    <t>Arapeí</t>
  </si>
  <si>
    <t>2024691/ Santa Casa de Cruzeiro</t>
  </si>
  <si>
    <t>Cruzeiro</t>
  </si>
  <si>
    <t>Areias</t>
  </si>
  <si>
    <t>Bananal</t>
  </si>
  <si>
    <t>Cachoeira Paulista</t>
  </si>
  <si>
    <t>Canas</t>
  </si>
  <si>
    <t>2749319/ Hospital Municipal Universitário de Taubaté</t>
  </si>
  <si>
    <t>Cunha</t>
  </si>
  <si>
    <t>2031027/ Assistência Médica Especializada</t>
  </si>
  <si>
    <t>Guaratinguetá</t>
  </si>
  <si>
    <t xml:space="preserve"> 2079518/ Santa Casa de Misericordia e Maternidade Nossa Senhora da Conceição</t>
  </si>
  <si>
    <t>2081512/ Santa Casa de Misericórdia de Guaratinguetá</t>
  </si>
  <si>
    <t>Lavrinhas</t>
  </si>
  <si>
    <t>Piquete</t>
  </si>
  <si>
    <t>Potim</t>
  </si>
  <si>
    <t>Queluz</t>
  </si>
  <si>
    <t>Roseira</t>
  </si>
  <si>
    <t>São José do Barreiro</t>
  </si>
  <si>
    <t>Silveiras</t>
  </si>
  <si>
    <t>Caraguatatuba</t>
  </si>
  <si>
    <t>9768289/ Centro de Referência de Saúde da Mulher Dra Ana M Veronesi</t>
  </si>
  <si>
    <t>2082926/ Casa de Saúde Stella Maris</t>
  </si>
  <si>
    <t>IIhabela</t>
  </si>
  <si>
    <t>9632786/ Centro de Referência Especializada Julia Tenório e mais 8 unidades de saúde</t>
  </si>
  <si>
    <t>Ilhabela</t>
  </si>
  <si>
    <t>2747871/ Hospital Municipal Gov Mario Covas Jr</t>
  </si>
  <si>
    <t>São Sebastião</t>
  </si>
  <si>
    <t xml:space="preserve">2086824/ Centro de Saude II Dr Carlos Alberto Camara Leal    e   CIAMA Costa Sul </t>
  </si>
  <si>
    <t>2765934/ Hospital de Clínicas de São Sebastião</t>
  </si>
  <si>
    <t>Ubatuba</t>
  </si>
  <si>
    <t>2073285/ Centro de Especialidades Dr Affonso de Faria Fraga Ubatuba</t>
  </si>
  <si>
    <t>2702193/ Santa Casa de Misericórdia de Ubatuba</t>
  </si>
  <si>
    <t>V. Paraiba - R. Serrana</t>
  </si>
  <si>
    <t>Campos do Jordão</t>
  </si>
  <si>
    <t>81,09</t>
  </si>
  <si>
    <t>7947984/ Complexo Municipal de Saúde</t>
  </si>
  <si>
    <t>Lagoinha</t>
  </si>
  <si>
    <t>2749319/ Hospital Municipal Universitário de Taubaté                                                 2755092/ Santa Casa de Pindamonhangaba</t>
  </si>
  <si>
    <t>Taubaté  Pindamonhangaba</t>
  </si>
  <si>
    <t>Natividade da Serra</t>
  </si>
  <si>
    <t>2749319/ Hospital Municipal Universitário de Taubaté                                                 2755092/ Santa Casa de Pindamonhangaba                                        2082926/ Casa de Saúde Stella Maris</t>
  </si>
  <si>
    <t>Pindamonhangaba</t>
  </si>
  <si>
    <t>67,99</t>
  </si>
  <si>
    <t>7911246/ Centro Integrado de Atendimento a Saúde da Mulher</t>
  </si>
  <si>
    <t>2755092/ Santa Casa de Pindamonhangaba</t>
  </si>
  <si>
    <t>Redenção da Serra</t>
  </si>
  <si>
    <t>Santo Antônio do Pinhal</t>
  </si>
  <si>
    <t>7947984/ Complexo Municipal de Saúde                                               2755092/ Santa Casa de Pindamonhangaba</t>
  </si>
  <si>
    <t>São Bento do Sapucaí</t>
  </si>
  <si>
    <t>2078546/ Santa Casa São Bento do Sapucaí                                         7947984/ Complexo Municipal de Saúde</t>
  </si>
  <si>
    <t>São Luís do Paraitinga</t>
  </si>
  <si>
    <t>96,85</t>
  </si>
  <si>
    <t>58,44</t>
  </si>
  <si>
    <t>2749300/ Centro da Mulher Casa da Mãe Taubateana          2749319/ Hospital Municipal Universitário de Taubaté</t>
  </si>
  <si>
    <t>Tremembé</t>
  </si>
  <si>
    <t>53,15</t>
  </si>
  <si>
    <t>REGIÃO DE SAÚDE</t>
  </si>
  <si>
    <t>MUNICÍPIO DA RRAS</t>
  </si>
  <si>
    <t>NASCIDOS VIVOS MUNICÍPIO</t>
  </si>
  <si>
    <t>COBERTURA ANS (%)</t>
  </si>
  <si>
    <t>COBERTURA DA ESF (%)</t>
  </si>
  <si>
    <t>COBERTURA DA AB (%)</t>
  </si>
  <si>
    <t>GESTANTES SUSDEPENDENTES ESTIMADAS/ANO</t>
  </si>
  <si>
    <t>NASCIDOS VIVOS SUSDEPENDENTES ESTIMADOS/ANO</t>
  </si>
  <si>
    <t>CNES</t>
  </si>
  <si>
    <t>NOME DO ESTABELECIMENTO</t>
  </si>
  <si>
    <t>MUNICÍPIO DO ESTABELECIMENTO</t>
  </si>
  <si>
    <t>Ambulatório Médico de Especialidades</t>
  </si>
  <si>
    <t>Hospital São Francisco de Assis - CEAMI</t>
  </si>
  <si>
    <t>Hospital Municipal Dr José de Carvalho Florence</t>
  </si>
  <si>
    <t>Ambulatório da Mulher Dra. Therezinha Veneziani Silva</t>
  </si>
  <si>
    <t>Irmandade Santa Casa de Lorena</t>
  </si>
  <si>
    <t>Hospital Municipal Universitário de Taubaté</t>
  </si>
  <si>
    <t>Assistência Médica Especializada</t>
  </si>
  <si>
    <t>Centro de Referência de Saúde da Mulher Dra. Ana M. Veronesi</t>
  </si>
  <si>
    <t>Centro de Referência Especializada Julia Tenório e mais 8 unidades de saúde</t>
  </si>
  <si>
    <t>Centro de Saude II Dr Carlos Alberto Camara Leal</t>
  </si>
  <si>
    <t>CIAMA Costa Sul</t>
  </si>
  <si>
    <t>Centro de Especialidades Dr. Affonso de Faria Fraga</t>
  </si>
  <si>
    <t>Centro Integrado de Atendimento a Saúde da Mulher</t>
  </si>
  <si>
    <t>Centro da Mulher Casa da Mãe Taubateana</t>
  </si>
  <si>
    <t>Hospital e Maternidade Nossa Senhora Da Ajuda - FUSAM</t>
  </si>
  <si>
    <t>Hospital São Francisco de Assis</t>
  </si>
  <si>
    <t>Hospital Municipal Dr. José de Carvalho Florence</t>
  </si>
  <si>
    <t>Santa Casa de Cruzeiro</t>
  </si>
  <si>
    <t>Santa Casa de Misericordia e Maternidade Nossa Senhora da Conceição</t>
  </si>
  <si>
    <t>Santa Casa de Misericórdia de Guaratinguetá</t>
  </si>
  <si>
    <t>Casa de Saúde Stella Maris</t>
  </si>
  <si>
    <t>Hospital Municipal Gov. Mario Covas Jr.</t>
  </si>
  <si>
    <t>Hospital de Clínicas de São Sebastião</t>
  </si>
  <si>
    <t>Santa Casa de Misericórdia de Ubatuba</t>
  </si>
  <si>
    <t>Complexo Municipal de Saúde</t>
  </si>
  <si>
    <t>Santa Casa de Pindamonhangaba</t>
  </si>
  <si>
    <t xml:space="preserve">Santa Casa de Pindamonhangaba </t>
  </si>
  <si>
    <t>Santa Casa São Bento do Sapucaí</t>
  </si>
  <si>
    <t>CAPACIDADE OPERACIONAL PRÉ-NATAL DE ALTO RISCO</t>
  </si>
  <si>
    <t>TOTAL DE GESTANTES SUSDEPENDENTES ESTIMADAS/ANO = VIDE TABELA 1</t>
  </si>
  <si>
    <t>TOTAL DE GESTANTES DE ALTO RISCO SUSDEPENDENTES ESTIMADAS/ANO = 15% DAS GESTANTES SUSDEPENDENTES ESTIMADAS</t>
  </si>
  <si>
    <t>PREVISÃO DE NÚMERO DE CONSULTA DE PRÉ-NATAL  ALTO RISCO/ANO = Nº DE GESTANTES DE ALTO RISCO ESTIMADAS X 12 CONSULTAS</t>
  </si>
  <si>
    <t>OBSERVAR QUE O RESULTADO OBTIDO É O TOTAL DE CONSULTAS NECESSÁRIAS PARA A RRAS/REGIÃO/MUNICIPIO/ANO . O ESTABELECIMENTO DEVERÁ PREVER SE HÁ NECESSIDADE DE CONTRATAÇÃO DE RH E SERVIÇOS PARA O ATENDIMENTO DE 100% DAS CONSULTAS ESTIMADAS</t>
  </si>
  <si>
    <t>PARA ESTIMATIVA DE CAPACIDADE DE CONSULTAS DO AAE(AGAR)/ANO  CONSIDERAR DE 3 A 4 CONSULTAS /HORA/PROFISSIONAL, ESSA INFORMAÇÃO DEVE SER OBTIDA JUNTO AO SERVIÇO DE ALTO RISCO.</t>
  </si>
  <si>
    <t>NÃO ESQUECER DE COLOCAR O NOME DO ESTABELECIMENTO E CNES</t>
  </si>
  <si>
    <t>tabela: 2     Cobertura de Acesso e capacidade instalada na Atenção Ambulatorial Especializada (AAE) - PRÉ-NATAL DE ALTO RISCO (AGAR)</t>
  </si>
  <si>
    <t>TOTAL DE GESTANTES SUSDEPENDENTES ESTIMADAS/ANO
(trazer da tabela1 APS)</t>
  </si>
  <si>
    <t>TOTAL DE GESTANTES DE ALTO RISCO SUSDEPENDENTES ESTIMADAS/ANO</t>
  </si>
  <si>
    <t>PREVISÃO DE NÚMERO DE CONSULTA DE ALTO RISCO PARA MUNICIPIO/ANO</t>
  </si>
  <si>
    <t>ESTIMATIVA DE CAPACIDADE PARA CONSULTAS DO AAE/ANO</t>
  </si>
  <si>
    <t>GESTÃO</t>
  </si>
  <si>
    <t>INDICADO PARA HABILITAÇÃO TIPO I OU TIPO II</t>
  </si>
  <si>
    <t>CONSULTA REGULADA (S) OU (N)</t>
  </si>
  <si>
    <t>CNES/ESTABELECIMENTO DA REFERENCIA PARA PARTO DE ALTO RISCO</t>
  </si>
  <si>
    <t>Estadual</t>
  </si>
  <si>
    <t>SIM</t>
  </si>
  <si>
    <t>Municipal</t>
  </si>
  <si>
    <t>Monteiro</t>
  </si>
  <si>
    <t>AGAR TIPO II</t>
  </si>
  <si>
    <t>Ihabela</t>
  </si>
  <si>
    <t xml:space="preserve">2086824/ Centro de Saude II Dr Carlos Alberto Camara Leal   </t>
  </si>
  <si>
    <t>2749319/ Hospital Municipal Universitário de Taubaté   2755092/ Santa Casa de Pindamonhangaba</t>
  </si>
  <si>
    <t>AGAR Tipo I    2749300/ Centro da Mulher Casa da Mãe Taubateana</t>
  </si>
  <si>
    <t>CAPACIDADE OPERACIONAL ALTO RISCO - ANEO</t>
  </si>
  <si>
    <r>
      <rPr>
        <rFont val="Calibri"/>
        <b/>
        <color theme="1"/>
        <sz val="11.0"/>
      </rPr>
      <t>UNEO</t>
    </r>
    <r>
      <rPr>
        <rFont val="Calibri"/>
        <color theme="1"/>
        <sz val="11.0"/>
      </rPr>
      <t xml:space="preserve"> = UNIDADE NEONATAL</t>
    </r>
  </si>
  <si>
    <t>(1) ESTIMATIVA DE RECEM NASCIDO DE ALTO RISCO /ANEO: CONSIDERAR AS SAIDAS DA DA UNEO NO ANO ANTERIOR</t>
  </si>
  <si>
    <t>(2) ESTIMATIVA PARA CONSULTAS MÉDICAS  2.500g = 92% DOS RN DE ALTO RISCO ESTIMADOS X 3 CONSULTAS</t>
  </si>
  <si>
    <t>(3) ESTIMATIVA PARA CONSULTAS DE ENFERMAGEM  2.500g = 92% DOS RN DE ALTO RISCO ESTIMADOS X 4 CONSULTAS</t>
  </si>
  <si>
    <t>(4) ESTIMATIVA PARA CONSULTAS MÉDICA  PESO &lt; 2.500G = 8% DOS RN DE ALTO RISCO ESTIMADOS X 7 CONSULTAS</t>
  </si>
  <si>
    <t>(5) ESTIMATIVA PARA CONSULTAS DE ENFERMAGEM  PESO &lt; 2.500GDOS 8% RN DE ALTO RISCO ESTIMADOS X 6 CONSULTAS</t>
  </si>
  <si>
    <t>Tabela 3 : Cobertura de Acesso e capacidade instalada na Atenção Ambulatorial Especializada (AAE) - ANEO</t>
  </si>
  <si>
    <t>ESTIMATIVA DE RECEM NASCIDO DE ALTO RISCO /ANEO (1)</t>
  </si>
  <si>
    <t>CNES/ESTABELECIMENTO PARA REFERENCIA PARA AAE (ANEO)</t>
  </si>
  <si>
    <t>ESTIMATIVA PARA CONSULTAS MÉDICA DO ANEO &gt; 2.500G (2)</t>
  </si>
  <si>
    <t>ESTIMATIVA PARA CONSULTAS ENFERMAGEM DO ANEO &gt; 2.500G (3)</t>
  </si>
  <si>
    <t>ESTIMATIVA PARA CONSULTAS MÉDICA DO ANEO PESO &lt; 2.500G (4)</t>
  </si>
  <si>
    <t>ESTIMATIVA PARA CONSULTAS DE ENFERMAGEM DO ANEO &lt; 2.500G (5)</t>
  </si>
  <si>
    <t>CNES/ESTABELECIMENTO DE REFERENCIA HOSPITALAR PARA O AAE (ANEO)</t>
  </si>
  <si>
    <t>CONSULTA REGULADA 
(S) OU (N)</t>
  </si>
  <si>
    <t>GAR I</t>
  </si>
  <si>
    <t>OBSTETRICOS</t>
  </si>
  <si>
    <t>CNES/ESTABELECIMENTO</t>
  </si>
  <si>
    <t xml:space="preserve">REGIÃO DE SAUDE </t>
  </si>
  <si>
    <t>Soma de GAR II</t>
  </si>
  <si>
    <t>Soma de SERVIÇO DE ATENDIMENTO SECUNDÁRIO OU TERCIÁRIO A GESTAÇÃO DE ALTO RISCO</t>
  </si>
  <si>
    <t>Soma de UTI ADULTO</t>
  </si>
  <si>
    <t>Soma de UTIN II</t>
  </si>
  <si>
    <t>Soma de UTIN III</t>
  </si>
  <si>
    <t>Soma de UCINCO</t>
  </si>
  <si>
    <t>Soma de UCINCA</t>
  </si>
  <si>
    <t>Soma de BLH</t>
  </si>
  <si>
    <t>Soma de DRS</t>
  </si>
  <si>
    <t xml:space="preserve"> Total</t>
  </si>
  <si>
    <t>Grand Total</t>
  </si>
  <si>
    <t>TABELA 4 :  LEITOS OBSTETRICOS E NEONATAIS EXISTENTES NA REDE</t>
  </si>
  <si>
    <t>OS ESTABELECIMENTOS CLASSIFICADOS COMO SERVIÇO DE ATENDIMENTO SECUNDÁRIO OU TERCIÁRIO A GESTAÇÃO DE ALTO RISCO DEVEM SER APONTADOS</t>
  </si>
  <si>
    <t>INSERIR SOMENTE OS LEITOS HABILITADOS, OS EXISTENTES DEVEM FAZER PARTE DA TABELA LEITOS A SEREM HABILITADOS</t>
  </si>
  <si>
    <t>OS LEITOS GAR FAZEM PARTE DOS LEITOS OBSTETRICOS, APONTAR O NÚMERO DE LEITOS HABILITADOS.</t>
  </si>
  <si>
    <t>NUMERO DE LEITOS  EXISTENTES DA REDE MATERNA E INFANTIL</t>
  </si>
  <si>
    <t>GAR II</t>
  </si>
  <si>
    <t>SERVIÇO DE ATENDIMENTO SECUNDÁRIO OU TERCIÁRIO A GESTAÇÃO DE ALTO RISCO</t>
  </si>
  <si>
    <t>UTI ADULTO</t>
  </si>
  <si>
    <t>UTIN II</t>
  </si>
  <si>
    <t>UTIN III</t>
  </si>
  <si>
    <t>UCINCO</t>
  </si>
  <si>
    <t>UCINCA</t>
  </si>
  <si>
    <t>CPN I
3 LEITOS</t>
  </si>
  <si>
    <t>CPN I
5 LEITOS</t>
  </si>
  <si>
    <t>CPN II
3 LEITOS</t>
  </si>
  <si>
    <t>CPN II
5 LEITOS</t>
  </si>
  <si>
    <t>CGBP
10 LEITOS</t>
  </si>
  <si>
    <t>CGBP
15 LEITOS</t>
  </si>
  <si>
    <t>CGBP
20 LEITOS</t>
  </si>
  <si>
    <t>BLH</t>
  </si>
  <si>
    <t>2748029/ Santa Casa de Misericórdia de São José dos Campos</t>
  </si>
  <si>
    <t>2079518/ Santa Casa de Misericordia e Maternidade Nossa Senhora da Conceição</t>
  </si>
  <si>
    <t>2081644/ Hospital e Maternidade Frei Galvão</t>
  </si>
  <si>
    <t xml:space="preserve">	2087642/ Unidade Mista de Bananal</t>
  </si>
  <si>
    <t xml:space="preserve">	2058340/ Hospital Municipal de Queluz</t>
  </si>
  <si>
    <t>2078546/ Santa Casa São Bento do Sapucaí</t>
  </si>
  <si>
    <t>2079690/ Santa Casa de Misericordia de São Luis do Paraitinga</t>
  </si>
  <si>
    <t>São Luis do Paraitinga</t>
  </si>
  <si>
    <t>NUMERO DE LEITOS  NECESSÁRIOS PARA A  REDE MATERNA E INFANTIL</t>
  </si>
  <si>
    <t>NASCIDOS VIVOS SUSDEPENDENTES
(trazer da tabela1 APS)</t>
  </si>
  <si>
    <t xml:space="preserve">GAR </t>
  </si>
  <si>
    <t xml:space="preserve">UTIN </t>
  </si>
  <si>
    <t>CPN I</t>
  </si>
  <si>
    <t>CPN II</t>
  </si>
  <si>
    <t>CGBP</t>
  </si>
  <si>
    <t>3 LEITOS</t>
  </si>
  <si>
    <t>5 LEITOS</t>
  </si>
  <si>
    <t>10 LEITOS</t>
  </si>
  <si>
    <t>15 LEITOS</t>
  </si>
  <si>
    <t>20 LEITOS</t>
  </si>
  <si>
    <t>TOTAL DA RRAS</t>
  </si>
  <si>
    <t>NUMERO DE LEITOS  EXISTENTES NA  REDE MATERNA E INFANTIL (trazer da aba "totais TABELA 4")</t>
  </si>
  <si>
    <t>TOTAL DE LEITOS EXISTENTES</t>
  </si>
  <si>
    <t>ANÁLISE DA SUFICIÊNCIA DE LEITOS  PARA A  REDE MATERNA E INFANTIL</t>
  </si>
  <si>
    <t xml:space="preserve">TOTAL DE LEITOS NECESSÁRIOS </t>
  </si>
  <si>
    <t>nº de CPN</t>
  </si>
  <si>
    <t>(1) Nº ANUAL DE PARTOS: Considerar para este plano a média de produção de partos dos anos de 2019/2020 e 2021</t>
  </si>
  <si>
    <t>(2) OBSTETRICOS : Somente assinalar com S(Sim) ou N(Não) o tipo de habilitação da maternidade, lembrar que serviços que tem leitos de alto risco não são elegíveis para receber o custeio global (MAB)</t>
  </si>
  <si>
    <t>(3) CGBP: Assinalar com Existente (E) ou Novo (N)</t>
  </si>
  <si>
    <t>(4) BLH ( banco de Leite Humano): Assinalar com Existente (E) ou Novo (N)</t>
  </si>
  <si>
    <t>LEITOS EXISTENTES: Leitos que já estão habilitados</t>
  </si>
  <si>
    <t>LEITOS NOVOS: Leitos a serem habilitados de acordo com a necessidade da Região</t>
  </si>
  <si>
    <t>TOTAL: Leitos totais por componente por maternidade</t>
  </si>
  <si>
    <t>Tabela 6: Serviços que compõe a RRAS, número de leitos existentes e novos.</t>
  </si>
  <si>
    <t xml:space="preserve">NUMERO DE LEITOS  </t>
  </si>
  <si>
    <t>Nº ANUAL DE PARTOS (1)</t>
  </si>
  <si>
    <t>OBSTETRICOS (2)</t>
  </si>
  <si>
    <t>UTIN</t>
  </si>
  <si>
    <t xml:space="preserve">20 LEITOS </t>
  </si>
  <si>
    <t xml:space="preserve">EXISTENTE </t>
  </si>
  <si>
    <t>NOVO</t>
  </si>
  <si>
    <t>TOTAL</t>
  </si>
  <si>
    <t>EXISTENTE</t>
  </si>
  <si>
    <t>2087642/ Unidade Mista de Bananal</t>
  </si>
  <si>
    <t>2058340/ Hospital Municipal de Queluz</t>
  </si>
  <si>
    <t xml:space="preserve">ILHABELA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</si>
</sst>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>
    <font>
      <sz val="11.0"/>
      <color theme="1"/>
      <name val="Calibri"/>
      <scheme val="minor"/>
    </font>
    <font>
      <sz val="11.0"/>
      <color theme="1"/>
      <name val="Calibri"/>
    </font>
    <font>
      <sz val="10.0"/>
      <color theme="1"/>
      <name val="Calibri"/>
    </font>
    <font>
      <sz val="11.0"/>
      <color theme="1"/>
      <name val="Calibri"/>
      <b/>
      <i/>
      <u val="single"/>
      <strike/>
    </font>
    <font>
      <sz val="12.0"/>
      <color theme="1"/>
      <name val="Arial"/>
    </font>
    <font>
      <sz val="12.0"/>
      <color rgb="FF0000FF"/>
      <name val="Arial"/>
      <u val="single"/>
    </font>
    <font>
      <sz val="12.0"/>
      <color theme="1"/>
      <name val="Arial"/>
      <b/>
    </font>
    <font>
      <sz val="16.0"/>
      <color theme="1"/>
      <name val="Calibri"/>
      <b/>
    </font>
    <font>
      <sz val="11.0"/>
      <color theme="1"/>
      <name val="Calibri"/>
      <b/>
    </font>
    <font>
      <sz val="14.0"/>
      <color theme="1"/>
      <name val="Calibri"/>
      <b/>
    </font>
    <font>
      <sz val="9.0"/>
      <color theme="1"/>
      <name val="Calibri"/>
    </font>
    <font>
      <sz val="12.0"/>
      <color theme="1"/>
      <name val="Calibri"/>
      <b/>
    </font>
    <font>
      <sz val="11.0"/>
      <color rgb="FF444444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</fills>
  <borders count="3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4" fillId="2" borderId="0" xfId="0" applyFont="1" applyFill="1" applyAlignment="1">
      <alignment vertical="bottom"/>
    </xf>
    <xf numFmtId="1" fontId="4" fillId="0" borderId="0" xfId="0" applyFont="1" applyNumberFormat="1"/>
    <xf numFmtId="0" fontId="5" fillId="2" borderId="0" xfId="0" applyFont="1" applyFill="1" applyAlignment="1">
      <alignment vertical="bottom"/>
    </xf>
    <xf numFmtId="0" fontId="4" fillId="2" borderId="2" xfId="0" applyFont="1" applyFill="1" applyBorder="1" applyAlignment="1">
      <alignment vertical="bottom"/>
    </xf>
    <xf numFmtId="0" fontId="4" fillId="2" borderId="4" xfId="0" applyFont="1" applyFill="1" applyBorder="1" applyAlignment="1">
      <alignment vertical="bottom"/>
    </xf>
    <xf numFmtId="0" fontId="5" fillId="2" borderId="2" xfId="0" applyFont="1" applyFill="1" applyBorder="1" applyAlignment="1">
      <alignment vertical="bottom"/>
    </xf>
    <xf numFmtId="0" fontId="6" fillId="0" borderId="2" xfId="0" applyFont="1" applyBorder="1" applyAlignment="1">
      <alignment vertical="bottom"/>
    </xf>
    <xf numFmtId="0" fontId="4" fillId="2" borderId="5" xfId="0" applyFont="1" applyFill="1" applyBorder="1" applyAlignment="1">
      <alignment vertical="bottom"/>
    </xf>
    <xf numFmtId="0" fontId="3" fillId="0" borderId="6" xfId="0" applyFont="1" applyBorder="1"/>
    <xf numFmtId="0" fontId="3" fillId="0" borderId="7" xfId="0" applyFont="1" applyBorder="1"/>
    <xf numFmtId="0" fontId="6" fillId="0" borderId="8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6" fillId="0" borderId="12" xfId="0" applyFont="1" applyBorder="1"/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3" fontId="4" fillId="3" borderId="15" xfId="0" applyFont="1" applyNumberFormat="1" applyFill="1" applyBorder="1" applyAlignment="1">
      <alignment horizontal="center" vertical="center" wrapText="1"/>
    </xf>
    <xf numFmtId="0" fontId="6" fillId="5" borderId="14" xfId="0" applyFont="1" applyFill="1" applyBorder="1"/>
    <xf numFmtId="0" fontId="4" fillId="0" borderId="0" xfId="0" applyFont="1"/>
    <xf numFmtId="0" fontId="4" fillId="0" borderId="0" xfId="0" applyFont="1" applyAlignment="1">
      <alignment vertical="bottom"/>
    </xf>
    <xf numFmtId="0" fontId="4" fillId="2" borderId="16" xfId="0" applyFont="1" applyFill="1" applyBorder="1" applyAlignment="1">
      <alignment vertical="top" wrapText="1"/>
    </xf>
    <xf numFmtId="0" fontId="3" fillId="0" borderId="8" xfId="0" applyFont="1" applyBorder="1"/>
    <xf numFmtId="0" fontId="6" fillId="0" borderId="13" xfId="0" applyFont="1" applyBorder="1" applyAlignment="1">
      <alignment horizontal="center" vertical="center" wrapText="1"/>
    </xf>
    <xf numFmtId="2" fontId="6" fillId="0" borderId="13" xfId="0" applyFont="1" applyNumberForma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2" fontId="4" fillId="0" borderId="17" xfId="0" applyFont="1" applyNumberFormat="1" applyBorder="1" applyAlignment="1">
      <alignment horizontal="center" vertical="center" wrapText="1"/>
    </xf>
    <xf numFmtId="3" fontId="4" fillId="0" borderId="17" xfId="0" applyFont="1" applyNumberFormat="1" applyBorder="1" applyAlignment="1">
      <alignment horizontal="center" vertical="center" wrapText="1"/>
    </xf>
    <xf numFmtId="0" fontId="1" fillId="0" borderId="0" xfId="0" applyFont="1" applyAlignment="1">
      <alignment vertical="bottom"/>
    </xf>
    <xf numFmtId="2" fontId="1" fillId="0" borderId="0" xfId="0" applyFont="1" applyNumberFormat="1" applyAlignment="1">
      <alignment vertical="bottom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7" fillId="0" borderId="12" xfId="0" applyFont="1" applyBorder="1"/>
    <xf numFmtId="49" fontId="7" fillId="6" borderId="14" xfId="0" applyFont="1" applyNumberFormat="1" applyFill="1" applyBorder="1"/>
    <xf numFmtId="0" fontId="8" fillId="0" borderId="18" xfId="0" applyFont="1" applyBorder="1" applyAlignment="1">
      <alignment horizontal="center"/>
    </xf>
    <xf numFmtId="0" fontId="3" fillId="0" borderId="9" xfId="0" applyFont="1" applyBorder="1"/>
    <xf numFmtId="0" fontId="3" fillId="0" borderId="4" xfId="0" applyFont="1" applyBorder="1"/>
    <xf numFmtId="0" fontId="2" fillId="0" borderId="16" xfId="0" applyFont="1" applyBorder="1" applyAlignment="1">
      <alignment horizontal="left" vertical="center" wrapText="1"/>
    </xf>
    <xf numFmtId="0" fontId="1" fillId="0" borderId="2" xfId="0" applyFont="1" applyBorder="1"/>
    <xf numFmtId="0" fontId="1" fillId="0" borderId="3" xfId="0" applyFont="1" applyBorder="1"/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wrapText="1"/>
    </xf>
    <xf numFmtId="0" fontId="1" fillId="0" borderId="5" xfId="0" applyFont="1" applyBorder="1"/>
    <xf numFmtId="0" fontId="1" fillId="0" borderId="6" xfId="0" applyFont="1" applyBorder="1"/>
    <xf numFmtId="0" fontId="1" fillId="0" borderId="19" xfId="0" applyFont="1" applyBorder="1"/>
    <xf numFmtId="0" fontId="9" fillId="0" borderId="16" xfId="0" applyFont="1" applyBorder="1" applyAlignment="1">
      <alignment horizontal="center"/>
    </xf>
    <xf numFmtId="0" fontId="3" fillId="0" borderId="5" xfId="0" applyFont="1" applyBorder="1"/>
    <xf numFmtId="0" fontId="3" fillId="0" borderId="19" xfId="0" applyFont="1" applyBorder="1"/>
    <xf numFmtId="0" fontId="1" fillId="0" borderId="1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 wrapText="1"/>
    </xf>
    <xf numFmtId="0" fontId="1" fillId="3" borderId="13" xfId="0" applyFont="1" applyFill="1" applyBorder="1"/>
    <xf numFmtId="0" fontId="1" fillId="4" borderId="13" xfId="0" applyFont="1" applyFill="1" applyBorder="1"/>
    <xf numFmtId="0" fontId="1" fillId="3" borderId="15" xfId="0" applyFont="1" applyFill="1" applyBorder="1" applyAlignment="1">
      <alignment horizontal="center" vertical="center"/>
    </xf>
    <xf numFmtId="0" fontId="7" fillId="6" borderId="14" xfId="0" applyFont="1" applyFill="1" applyBorder="1"/>
    <xf numFmtId="0" fontId="1" fillId="0" borderId="16" xfId="0" applyFont="1" applyBorder="1"/>
    <xf numFmtId="0" fontId="1" fillId="0" borderId="8" xfId="0" applyFont="1" applyBorder="1"/>
    <xf numFmtId="0" fontId="8" fillId="0" borderId="0" xfId="0" applyFont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1" fillId="0" borderId="17" xfId="0" applyFont="1" applyBorder="1"/>
    <xf numFmtId="0" fontId="1" fillId="4" borderId="15" xfId="0" applyFont="1" applyFill="1" applyBorder="1"/>
    <xf numFmtId="0" fontId="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" fillId="0" borderId="13" xfId="0" applyFont="1" applyBorder="1" applyAlignment="1">
      <alignment horizontal="center" vertical="center" wrapText="1"/>
    </xf>
    <xf numFmtId="3" fontId="2" fillId="0" borderId="13" xfId="0" applyFont="1" applyNumberFormat="1" applyBorder="1" applyAlignment="1">
      <alignment horizontal="center" vertical="center" wrapText="1"/>
    </xf>
    <xf numFmtId="3" fontId="1" fillId="0" borderId="13" xfId="0" applyFont="1" applyNumberFormat="1" applyBorder="1" applyAlignment="1">
      <alignment horizontal="center" vertical="top" wrapText="1"/>
    </xf>
    <xf numFmtId="3" fontId="1" fillId="0" borderId="20" xfId="0" applyFont="1" applyNumberFormat="1" applyBorder="1" applyAlignment="1">
      <alignment horizontal="center" vertical="top" wrapText="1"/>
    </xf>
    <xf numFmtId="3" fontId="1" fillId="0" borderId="20" xfId="0" applyFont="1" applyNumberFormat="1" applyBorder="1"/>
    <xf numFmtId="0" fontId="1" fillId="2" borderId="15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3" fontId="2" fillId="0" borderId="13" xfId="0" applyFont="1" applyNumberFormat="1" applyBorder="1" applyAlignment="1">
      <alignment horizontal="center" vertical="top" wrapText="1"/>
    </xf>
    <xf numFmtId="3" fontId="1" fillId="0" borderId="13" xfId="0" applyFont="1" applyNumberForma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/>
    </xf>
    <xf numFmtId="3" fontId="1" fillId="0" borderId="20" xfId="0" applyFont="1" applyNumberForma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left" vertical="center" wrapText="1"/>
    </xf>
    <xf numFmtId="0" fontId="12" fillId="0" borderId="13" xfId="0" applyFont="1" applyBorder="1" applyAlignment="1">
      <alignment wrapText="1"/>
    </xf>
    <xf numFmtId="0" fontId="1" fillId="0" borderId="23" xfId="0" applyFont="1" applyBorder="1" applyAlignment="1">
      <alignment horizontal="center" vertical="center" wrapText="1"/>
    </xf>
    <xf numFmtId="3" fontId="1" fillId="0" borderId="13" xfId="0" applyFont="1" applyNumberFormat="1" applyBorder="1" applyAlignment="1">
      <alignment horizontal="center" wrapText="1"/>
    </xf>
    <xf numFmtId="3" fontId="1" fillId="0" borderId="20" xfId="0" applyFont="1" applyNumberFormat="1" applyBorder="1" applyAlignment="1">
      <alignment horizontal="center" wrapText="1"/>
    </xf>
    <xf numFmtId="3" fontId="1" fillId="0" borderId="13" xfId="0" applyFont="1" applyNumberFormat="1" applyBorder="1"/>
    <xf numFmtId="0" fontId="1" fillId="2" borderId="13" xfId="0" applyFont="1" applyFill="1" applyBorder="1" applyAlignment="1">
      <alignment horizontal="center" vertical="center" wrapText="1"/>
    </xf>
    <xf numFmtId="0" fontId="12" fillId="0" borderId="22" xfId="0" applyFont="1" applyBorder="1" applyAlignment="1">
      <alignment wrapText="1"/>
    </xf>
    <xf numFmtId="0" fontId="1" fillId="0" borderId="24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3" fontId="2" fillId="0" borderId="22" xfId="0" applyFont="1" applyNumberFormat="1" applyBorder="1" applyAlignment="1">
      <alignment horizontal="center" vertical="center" wrapText="1"/>
    </xf>
    <xf numFmtId="3" fontId="1" fillId="0" borderId="22" xfId="0" applyFont="1" applyNumberFormat="1" applyBorder="1" applyAlignment="1">
      <alignment horizontal="center" wrapText="1"/>
    </xf>
    <xf numFmtId="0" fontId="1" fillId="0" borderId="20" xfId="0" applyFont="1" applyBorder="1" applyAlignment="1">
      <alignment horizontal="center" vertical="center" wrapText="1"/>
    </xf>
    <xf numFmtId="3" fontId="2" fillId="0" borderId="22" xfId="0" applyFont="1" applyNumberFormat="1" applyBorder="1" applyAlignment="1">
      <alignment horizontal="center" wrapText="1"/>
    </xf>
    <xf numFmtId="3" fontId="1" fillId="0" borderId="22" xfId="0" applyFont="1" applyNumberFormat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vertical="center" wrapText="1"/>
    </xf>
    <xf numFmtId="3" fontId="2" fillId="0" borderId="13" xfId="0" applyFont="1" applyNumberFormat="1" applyBorder="1" applyAlignment="1">
      <alignment horizontal="center" wrapText="1"/>
    </xf>
    <xf numFmtId="0" fontId="1" fillId="2" borderId="20" xfId="0" applyFont="1" applyFill="1" applyBorder="1" applyAlignment="1">
      <alignment horizontal="center" vertical="center" wrapText="1"/>
    </xf>
    <xf numFmtId="0" fontId="12" fillId="0" borderId="24" xfId="0" applyFont="1" applyBorder="1" applyAlignment="1">
      <alignment wrapText="1"/>
    </xf>
    <xf numFmtId="0" fontId="1" fillId="2" borderId="26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3" fontId="1" fillId="0" borderId="13" xfId="0" applyFont="1" applyNumberForma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2" fillId="0" borderId="17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3" xfId="0" applyFont="1" applyBorder="1"/>
    <xf numFmtId="0" fontId="1" fillId="0" borderId="22" xfId="0" applyFont="1" applyBorder="1"/>
    <xf numFmtId="3" fontId="1" fillId="0" borderId="22" xfId="0" applyFont="1" applyNumberFormat="1" applyBorder="1"/>
    <xf numFmtId="0" fontId="1" fillId="6" borderId="13" xfId="0" applyFont="1" applyFill="1" applyBorder="1"/>
    <xf numFmtId="3" fontId="1" fillId="6" borderId="13" xfId="0" applyFont="1" applyNumberFormat="1" applyFill="1" applyBorder="1"/>
    <xf numFmtId="0" fontId="1" fillId="6" borderId="2" xfId="0" applyFont="1" applyFill="1" applyBorder="1"/>
    <xf numFmtId="0" fontId="8" fillId="0" borderId="0" xfId="0" applyFont="1"/>
    <xf numFmtId="0" fontId="1" fillId="7" borderId="16" xfId="0" applyFont="1" applyFill="1" applyBorder="1" applyAlignment="1">
      <alignment horizontal="left" vertical="top" wrapText="1"/>
    </xf>
    <xf numFmtId="0" fontId="3" fillId="0" borderId="28" xfId="0" applyFont="1" applyBorder="1"/>
    <xf numFmtId="0" fontId="1" fillId="7" borderId="0" xfId="0" applyFont="1" applyFill="1" applyAlignment="1">
      <alignment horizontal="left"/>
    </xf>
    <xf numFmtId="0" fontId="1" fillId="7" borderId="5" xfId="0" applyFont="1" applyFill="1" applyBorder="1" applyAlignment="1">
      <alignment horizontal="left"/>
    </xf>
    <xf numFmtId="0" fontId="7" fillId="0" borderId="18" xfId="0" applyFont="1" applyBorder="1" applyAlignment="1">
      <alignment horizontal="center" vertical="center"/>
    </xf>
    <xf numFmtId="0" fontId="1" fillId="0" borderId="24" xfId="0" applyFont="1" applyBorder="1" applyAlignment="1">
      <alignment vertical="top" wrapText="1"/>
    </xf>
    <xf numFmtId="0" fontId="1" fillId="0" borderId="22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2" fillId="0" borderId="17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2" fillId="0" borderId="13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top" wrapText="1"/>
    </xf>
    <xf numFmtId="0" fontId="1" fillId="0" borderId="29" xfId="0" applyFont="1" applyBorder="1" applyAlignment="1">
      <alignment horizontal="center" vertical="top" wrapText="1"/>
    </xf>
    <xf numFmtId="0" fontId="3" fillId="0" borderId="1" xfId="0" applyFont="1" applyBorder="1"/>
    <xf numFmtId="0" fontId="3" fillId="0" borderId="21" xfId="0" applyFont="1" applyBorder="1"/>
    <xf numFmtId="0" fontId="3" fillId="0" borderId="17" xfId="0" applyFont="1" applyBorder="1"/>
    <xf numFmtId="0" fontId="1" fillId="0" borderId="13" xfId="0" applyFont="1" applyBorder="1" applyAlignment="1">
      <alignment horizontal="center" vertical="top" wrapText="1"/>
    </xf>
    <xf numFmtId="0" fontId="1" fillId="3" borderId="13" xfId="0" applyFont="1" applyFill="1" applyBorder="1" applyAlignment="1">
      <alignment horizontal="center" wrapText="1"/>
    </xf>
    <xf numFmtId="1" fontId="2" fillId="6" borderId="13" xfId="0" applyFont="1" applyNumberFormat="1" applyFill="1" applyBorder="1" applyAlignment="1">
      <alignment horizontal="center" vertical="top" wrapText="1"/>
    </xf>
    <xf numFmtId="1" fontId="1" fillId="6" borderId="13" xfId="0" applyFont="1" applyNumberFormat="1" applyFill="1" applyBorder="1" applyAlignment="1">
      <alignment horizontal="center" vertical="top" wrapText="1"/>
    </xf>
    <xf numFmtId="3" fontId="1" fillId="3" borderId="13" xfId="0" applyFont="1" applyNumberFormat="1" applyFill="1" applyBorder="1" applyAlignment="1">
      <alignment wrapText="1"/>
    </xf>
    <xf numFmtId="3" fontId="1" fillId="3" borderId="13" xfId="0" applyFont="1" applyNumberFormat="1" applyFill="1" applyBorder="1"/>
    <xf numFmtId="3" fontId="1" fillId="3" borderId="26" xfId="0" applyFont="1" applyNumberFormat="1" applyFill="1" applyBorder="1"/>
    <xf numFmtId="1" fontId="2" fillId="6" borderId="26" xfId="0" applyFont="1" applyNumberFormat="1" applyFill="1" applyBorder="1" applyAlignment="1">
      <alignment horizontal="center" vertical="top" wrapText="1"/>
    </xf>
    <xf numFmtId="1" fontId="1" fillId="6" borderId="26" xfId="0" applyFont="1" applyNumberFormat="1" applyFill="1" applyBorder="1" applyAlignment="1">
      <alignment horizontal="center" vertical="top" wrapText="1"/>
    </xf>
    <xf numFmtId="0" fontId="1" fillId="3" borderId="26" xfId="0" applyFont="1" applyFill="1" applyBorder="1"/>
    <xf numFmtId="0" fontId="8" fillId="8" borderId="18" xfId="0" applyFont="1" applyFill="1" applyBorder="1" applyAlignment="1">
      <alignment horizontal="center" wrapText="1"/>
    </xf>
    <xf numFmtId="1" fontId="1" fillId="8" borderId="13" xfId="0" applyFont="1" applyNumberFormat="1" applyFill="1" applyBorder="1" applyAlignment="1">
      <alignment horizontal="center"/>
    </xf>
    <xf numFmtId="0" fontId="1" fillId="8" borderId="13" xfId="0" applyFont="1" applyFill="1" applyBorder="1"/>
    <xf numFmtId="0" fontId="1" fillId="8" borderId="14" xfId="0" applyFont="1" applyFill="1" applyBorder="1"/>
    <xf numFmtId="1" fontId="1" fillId="0" borderId="0" xfId="0" applyFont="1" applyNumberFormat="1"/>
    <xf numFmtId="0" fontId="1" fillId="0" borderId="22" xfId="0" applyFont="1" applyBorder="1" applyAlignment="1">
      <alignment horizontal="center" vertical="top" wrapText="1"/>
    </xf>
    <xf numFmtId="49" fontId="1" fillId="6" borderId="23" xfId="0" applyFont="1" applyNumberFormat="1" applyFill="1" applyBorder="1" applyAlignment="1">
      <alignment wrapText="1"/>
    </xf>
    <xf numFmtId="49" fontId="1" fillId="6" borderId="13" xfId="0" applyFont="1" applyNumberFormat="1" applyFill="1" applyBorder="1" applyAlignment="1">
      <alignment wrapText="1"/>
    </xf>
    <xf numFmtId="0" fontId="1" fillId="6" borderId="13" xfId="0" applyFont="1" applyFill="1" applyBorder="1" applyAlignment="1">
      <alignment wrapText="1"/>
    </xf>
    <xf numFmtId="1" fontId="2" fillId="3" borderId="13" xfId="0" applyFont="1" applyNumberFormat="1" applyFill="1" applyBorder="1" applyAlignment="1">
      <alignment horizontal="center" vertical="top" wrapText="1"/>
    </xf>
    <xf numFmtId="1" fontId="1" fillId="3" borderId="13" xfId="0" applyFont="1" applyNumberFormat="1" applyFill="1" applyBorder="1" applyAlignment="1">
      <alignment horizontal="center" vertical="top" wrapText="1"/>
    </xf>
    <xf numFmtId="0" fontId="1" fillId="3" borderId="13" xfId="0" applyFont="1" applyFill="1" applyBorder="1" applyAlignment="1">
      <alignment horizontal="center" vertical="top" wrapText="1"/>
    </xf>
    <xf numFmtId="0" fontId="1" fillId="3" borderId="20" xfId="0" applyFont="1" applyFill="1" applyBorder="1" applyAlignment="1">
      <alignment horizontal="center" wrapText="1"/>
    </xf>
    <xf numFmtId="0" fontId="1" fillId="3" borderId="26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3" fontId="1" fillId="6" borderId="13" xfId="0" applyFont="1" applyNumberFormat="1" applyFill="1" applyBorder="1" applyAlignment="1">
      <alignment wrapText="1"/>
    </xf>
    <xf numFmtId="1" fontId="2" fillId="3" borderId="26" xfId="0" applyFont="1" applyNumberFormat="1" applyFill="1" applyBorder="1" applyAlignment="1">
      <alignment horizontal="center" vertical="top" wrapText="1"/>
    </xf>
    <xf numFmtId="1" fontId="1" fillId="3" borderId="26" xfId="0" applyFont="1" applyNumberFormat="1" applyFill="1" applyBorder="1" applyAlignment="1">
      <alignment horizontal="center" vertical="top" wrapText="1"/>
    </xf>
    <xf numFmtId="0" fontId="1" fillId="3" borderId="26" xfId="0" applyFont="1" applyFill="1" applyBorder="1" applyAlignment="1">
      <alignment horizontal="center" vertical="top" wrapText="1"/>
    </xf>
    <xf numFmtId="0" fontId="1" fillId="3" borderId="7" xfId="0" applyFont="1" applyFill="1" applyBorder="1"/>
    <xf numFmtId="0" fontId="8" fillId="8" borderId="30" xfId="0" applyFont="1" applyFill="1" applyBorder="1" applyAlignment="1">
      <alignment horizontal="center"/>
    </xf>
    <xf numFmtId="0" fontId="1" fillId="6" borderId="26" xfId="0" applyFont="1" applyFill="1" applyBorder="1" applyAlignment="1">
      <alignment wrapText="1"/>
    </xf>
    <xf numFmtId="3" fontId="1" fillId="6" borderId="26" xfId="0" applyFont="1" applyNumberFormat="1" applyFill="1" applyBorder="1" applyAlignment="1">
      <alignment wrapText="1"/>
    </xf>
    <xf numFmtId="0" fontId="8" fillId="8" borderId="18" xfId="0" applyFont="1" applyFill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13" xfId="0" applyFont="1" applyBorder="1" applyAlignment="1">
      <alignment horizontal="center"/>
    </xf>
    <xf numFmtId="0" fontId="1" fillId="0" borderId="31" xfId="0" applyFont="1" applyBorder="1" applyAlignment="1">
      <alignment horizontal="left" vertical="top" wrapText="1"/>
    </xf>
    <xf numFmtId="0" fontId="3" fillId="0" borderId="31" xfId="0" applyFont="1" applyBorder="1"/>
    <xf numFmtId="0" fontId="3" fillId="0" borderId="24" xfId="0" applyFont="1" applyBorder="1"/>
    <xf numFmtId="0" fontId="3" fillId="0" borderId="27" xfId="0" applyFont="1" applyBorder="1"/>
    <xf numFmtId="0" fontId="7" fillId="5" borderId="14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1" fillId="0" borderId="32" xfId="0" applyFont="1" applyBorder="1" applyAlignment="1">
      <alignment horizontal="center" vertical="top" wrapText="1"/>
    </xf>
    <xf numFmtId="0" fontId="3" fillId="0" borderId="23" xfId="0" applyFont="1" applyBorder="1"/>
    <xf numFmtId="0" fontId="3" fillId="0" borderId="0" xfId="0" applyFont="1"/>
    <xf numFmtId="0" fontId="2" fillId="0" borderId="21" xfId="0" applyFont="1" applyBorder="1" applyAlignment="1">
      <alignment horizontal="center" vertical="top" wrapText="1"/>
    </xf>
    <xf numFmtId="0" fontId="3" fillId="0" borderId="25" xfId="0" applyFont="1" applyBorder="1"/>
    <xf numFmtId="0" fontId="2" fillId="0" borderId="2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top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0" fontId="2" fillId="5" borderId="23" xfId="0" applyFont="1" applyFill="1" applyBorder="1" applyAlignment="1">
      <alignment horizontal="center" vertical="top" wrapText="1"/>
    </xf>
    <xf numFmtId="0" fontId="2" fillId="5" borderId="13" xfId="0" applyFont="1" applyFill="1" applyBorder="1" applyAlignment="1">
      <alignment horizontal="center" vertical="top" wrapText="1"/>
    </xf>
    <xf numFmtId="0" fontId="1" fillId="5" borderId="13" xfId="0" applyFont="1" applyFill="1" applyBorder="1" applyAlignment="1">
      <alignment horizontal="center" vertical="top" wrapText="1"/>
    </xf>
    <xf numFmtId="0" fontId="1" fillId="6" borderId="13" xfId="0" applyFont="1" applyFill="1" applyBorder="1" applyAlignment="1">
      <alignment horizontal="center" vertical="top" wrapText="1"/>
    </xf>
  </cellXfs>
  <cellStyles count="1">
    <cellStyle name="Normal" xfId="0" builtinId="0"/>
  </cellStyles>
  <dxfs count="7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6">
    <tableStyle count="3" pivot="0" name="listas de opções-style">
      <tableStyleElement dxfId="1" type="headerRow"/>
      <tableStyleElement dxfId="2" type="firstRowStripe"/>
      <tableStyleElement dxfId="3" type="secondRowStripe"/>
    </tableStyle>
    <tableStyle count="3" pivot="0" name="listas de opções-style 2">
      <tableStyleElement dxfId="1" type="headerRow"/>
      <tableStyleElement dxfId="2" type="firstRowStripe"/>
      <tableStyleElement dxfId="3" type="secondRowStripe"/>
    </tableStyle>
    <tableStyle count="3" pivot="0" name="listas de opções-style 3">
      <tableStyleElement dxfId="1" type="headerRow"/>
      <tableStyleElement dxfId="2" type="firstRowStripe"/>
      <tableStyleElement dxfId="3" type="secondRowStripe"/>
    </tableStyle>
    <tableStyle count="3" pivot="0" name="listas de opções-style 4">
      <tableStyleElement dxfId="1" type="headerRow"/>
      <tableStyleElement dxfId="2" type="firstRowStripe"/>
      <tableStyleElement dxfId="3" type="secondRowStripe"/>
    </tableStyle>
    <tableStyle count="3" pivot="0" name="listas de opções-style 5">
      <tableStyleElement dxfId="1" type="headerRow"/>
      <tableStyleElement dxfId="2" type="firstRowStripe"/>
      <tableStyleElement dxfId="3" type="secondRowStripe"/>
    </tableStyle>
    <tableStyle count="3" pivot="0" name="tabela 4  leitos existentes-style">
      <tableStyleElement dxfId="4" type="headerRow"/>
      <tableStyleElement dxfId="5" type="firstRowStripe"/>
      <tableStyleElement dxfId="3" type="secondRowStripe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Relationship Id="rId20001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2:V202" sheet="tabela 4  leitos existentes"/>
  </cacheSource>
  <cacheFields>
    <cacheField name="DRS" numFmtId="0">
      <sharedItems containsBlank="1">
        <s v="Taubate"/>
        <m/>
      </sharedItems>
    </cacheField>
    <cacheField name="REGIÃO DE SAUDE " numFmtId="0">
      <sharedItems containsBlank="1">
        <s v="Alto Vale do Paraiba"/>
        <m/>
        <s v="Circ. da Fe-V. Historico"/>
        <s v="Litoral Norte"/>
        <s v="V. Paraiba - R. Serrana"/>
      </sharedItems>
    </cacheField>
    <cacheField name="CNES/ESTABELECIMENTO" numFmtId="0">
      <sharedItems containsBlank="1">
        <s v="2024756/ Hospital e Maternidade Nossa Senhora Da Ajuda - FUSAM"/>
        <s v="2085194/ Hospital São Francisco de Assis"/>
        <s v="9628/ Hospital Municipal Dr José de Carvalho Florence"/>
        <s v="2748029/ Santa Casa de Misericórdia de São José dos Campos"/>
        <s v="2079518/ Santa Casa de Misericordia e Maternidade Nossa Senhora da Conceição"/>
        <s v="2024691/ Santa Casa de Cruzeiro"/>
        <s v="2081512/ Santa Casa de Misericórdia de Guaratinguetá"/>
        <s v="2081644/ Hospital e Maternidade Frei Galvão"/>
        <s v="2087111/ Irmandade Santa Casa de Lorena"/>
        <s v=" 2087642/ Unidade Mista de Bananal"/>
        <s v=" 2058340/ Hospital Municipal de Queluz"/>
        <s v="2082926/ Casa de Saúde Stella Maris"/>
        <s v="2747871/ Hospital Municipal Gov Mario Covas Jr"/>
        <s v="2765934/ Hospital de Clínicas de São Sebastião"/>
        <s v="2702193/ Santa Casa de Misericórdia de Ubatuba"/>
        <s v="7947984/ Complexo Municipal de Saúde"/>
        <s v="2755092/ Santa Casa de Pindamonhangaba"/>
        <s v="2078546/ Santa Casa São Bento do Sapucaí"/>
        <s v="2749319/ Hospital Municipal Universitário de Taubaté"/>
        <s v="2079690/ Santa Casa de Misericordia de São Luis do Paraitinga"/>
        <m/>
      </sharedItems>
    </cacheField>
    <cacheField name="MUNICIPIO" numFmtId="0">
      <sharedItems containsBlank="1">
        <s v="Caçapava"/>
        <s v="Jacareí"/>
        <s v="São José dos Campos"/>
        <s v="Cunha"/>
        <s v="Cruzeiro"/>
        <s v="Guaratinguetá"/>
        <s v="Lorena"/>
        <s v="Bananal"/>
        <s v="Queluz"/>
        <s v="Caraguatatuba"/>
        <s v="Ilhabela"/>
        <s v="São Sebastião"/>
        <s v="Ubatuba"/>
        <s v="Campos do Jordão"/>
        <s v="Pindamonhangaba"/>
        <s v="São Bento do Sapucaí"/>
        <s v="Taubaté"/>
        <s v="São Luis do Paraitinga"/>
        <m/>
      </sharedItems>
    </cacheField>
    <cacheField name="GESTÃO" numFmtId="0">
      <sharedItems containsBlank="1">
        <s v="Municipal"/>
        <s v="Estadual"/>
        <m/>
      </sharedItems>
    </cacheField>
    <cacheField name="OBSTETRICOS" numFmtId="3">
      <sharedItems containsString="0" containsBlank="1" containsNumber="1" containsInteger="1">
        <n v="10.0"/>
        <n v="26.0"/>
        <n v="79.0"/>
        <n v="5.0"/>
        <n v="4.0"/>
        <n v="13.0"/>
        <n v="14.0"/>
        <m/>
        <n v="16.0"/>
        <n v="3.0"/>
        <n v="27.0"/>
        <n v="11.0"/>
        <n v="17.0"/>
        <n v="20.0"/>
        <n v="36.0"/>
        <n v="6.0"/>
        <n v="30.0"/>
        <n v="2.0"/>
      </sharedItems>
    </cacheField>
    <cacheField name="GAR I" numFmtId="0">
      <sharedItems containsString="0" containsBlank="1">
        <m/>
      </sharedItems>
    </cacheField>
    <cacheField name="GAR II" numFmtId="0">
      <sharedItems containsString="0" containsBlank="1" containsNumber="1" containsInteger="1">
        <m/>
        <n v="5.0"/>
        <n v="2.0"/>
      </sharedItems>
    </cacheField>
    <cacheField name="SERVIÇO DE ATENDIMENTO SECUNDÁRIO OU TERCIÁRIO A GESTAÇÃO DE ALTO RISCO" numFmtId="0">
      <sharedItems containsString="0" containsBlank="1" containsNumber="1" containsInteger="1">
        <m/>
        <n v="6.0"/>
      </sharedItems>
    </cacheField>
    <cacheField name="UTI ADULTO" numFmtId="0">
      <sharedItems containsString="0" containsBlank="1" containsNumber="1" containsInteger="1">
        <m/>
        <n v="2.0"/>
        <n v="4.0"/>
        <n v="1.0"/>
        <n v="3.0"/>
      </sharedItems>
    </cacheField>
    <cacheField name="UTIN II" numFmtId="0">
      <sharedItems containsString="0" containsBlank="1" containsNumber="1" containsInteger="1">
        <m/>
        <n v="8.0"/>
        <n v="10.0"/>
        <n v="12.0"/>
        <n v="6.0"/>
        <n v="7.0"/>
      </sharedItems>
    </cacheField>
    <cacheField name="UTIN III" numFmtId="0">
      <sharedItems containsString="0" containsBlank="1">
        <m/>
      </sharedItems>
    </cacheField>
    <cacheField name="UCINCO" numFmtId="0">
      <sharedItems containsString="0" containsBlank="1" containsNumber="1" containsInteger="1">
        <m/>
        <n v="7.0"/>
        <n v="16.0"/>
      </sharedItems>
    </cacheField>
    <cacheField name="UCINCA" numFmtId="0">
      <sharedItems containsString="0" containsBlank="1" containsNumber="1" containsInteger="1">
        <m/>
        <n v="3.0"/>
      </sharedItems>
    </cacheField>
    <cacheField name="CPN I&#10;3 LEITOS" numFmtId="0">
      <sharedItems containsString="0" containsBlank="1">
        <m/>
      </sharedItems>
    </cacheField>
    <cacheField name="CPN I&#10;5 LEITOS" numFmtId="0">
      <sharedItems containsString="0" containsBlank="1">
        <m/>
      </sharedItems>
    </cacheField>
    <cacheField name="CPN II&#10;3 LEITOS" numFmtId="0">
      <sharedItems containsString="0" containsBlank="1" containsNumber="1" containsInteger="1">
        <m/>
        <n v="3.0"/>
      </sharedItems>
    </cacheField>
    <cacheField name="CPN II&#10;5 LEITOS" numFmtId="0">
      <sharedItems containsString="0" containsBlank="1">
        <m/>
      </sharedItems>
    </cacheField>
    <cacheField name="CGBP&#10;10 LEITOS" numFmtId="0">
      <sharedItems containsString="0" containsBlank="1">
        <m/>
      </sharedItems>
    </cacheField>
    <cacheField name="CGBP&#10;15 LEITOS" numFmtId="0">
      <sharedItems containsString="0" containsBlank="1">
        <m/>
      </sharedItems>
    </cacheField>
    <cacheField name="CGBP&#10;20 LEITOS" numFmtId="0">
      <sharedItems containsString="0" containsBlank="1">
        <m/>
      </sharedItems>
    </cacheField>
    <cacheField name="BLH" numFmtId="0">
      <sharedItems containsString="0" containsBlank="1" containsNumber="1" containsInteger="1">
        <m/>
        <n v="1.0"/>
      </sharedItems>
    </cacheField>
  </cacheFields>
</pivotCacheDefinition>
</file>

<file path=xl/pivotTables/_rels/pivotTable1.xml.rels><?xml version="1.0" encoding="UTF-8" standalone="yes"?> <Relationships xmlns="http://schemas.openxmlformats.org/package/2006/relationships"><Relationship Id="rId1" Type="http://schemas.openxmlformats.org/officeDocument/2006/relationships/pivotCacheDefinition" Target="../pivotCache/pivotCacheDefinition1.xml"/></Relationships> 
</file>

<file path=xl/pivotTables/pivotTable1.xml><?xml version="1.0" encoding="utf-8"?>
<pivotTableDefinition xmlns="http://schemas.openxmlformats.org/spreadsheetml/2006/main" name="totais TABELA 4" cacheId="0" dataCaption="" compact="0" compactData="0">
  <location ref="A3:O5" firstHeaderRow="0" firstDataRow="7" firstDataCol="0"/>
  <pivotFields>
    <pivotField name="DRS" dataField="1" compact="0" outline="0" multipleItemSelectionAllowed="1" showAll="0">
      <items>
        <item x="0"/>
        <item x="1"/>
        <item t="default"/>
      </items>
    </pivotField>
    <pivotField name="REGIÃO DE SAUDE " axis="axisRow" compact="0" outline="0" multipleItemSelectionAllowed="1" showAll="0" sortType="ascending">
      <items>
        <item x="1"/>
        <item x="0"/>
        <item x="2"/>
        <item x="3"/>
        <item x="4"/>
        <item t="default"/>
      </items>
    </pivotField>
    <pivotField name="CNES/ESTABELECIMENTO" axis="axisRow" compact="0" outline="0" multipleItemSelectionAllowed="1" showAll="0" sortType="ascending">
      <items>
        <item x="20"/>
        <item x="10"/>
        <item x="9"/>
        <item x="5"/>
        <item x="0"/>
        <item x="17"/>
        <item x="4"/>
        <item x="19"/>
        <item x="6"/>
        <item x="7"/>
        <item x="11"/>
        <item x="1"/>
        <item x="8"/>
        <item x="14"/>
        <item x="12"/>
        <item x="3"/>
        <item x="18"/>
        <item x="16"/>
        <item x="13"/>
        <item x="15"/>
        <item x="2"/>
        <item t="default"/>
      </items>
    </pivotField>
    <pivotField name="MUNICIPIO" axis="axisRow" compact="0" outline="0" multipleItemSelectionAllowed="1" showAll="0" sortType="ascending">
      <items>
        <item x="18"/>
        <item x="7"/>
        <item x="0"/>
        <item x="13"/>
        <item x="9"/>
        <item x="4"/>
        <item x="3"/>
        <item x="5"/>
        <item x="10"/>
        <item x="1"/>
        <item x="6"/>
        <item x="14"/>
        <item x="8"/>
        <item x="15"/>
        <item x="2"/>
        <item x="17"/>
        <item x="11"/>
        <item x="16"/>
        <item x="12"/>
        <item t="default"/>
      </items>
    </pivotField>
    <pivotField name="GESTÃO" axis="axisRow" compact="0" outline="0" multipleItemSelectionAllowed="1" showAll="0" sortType="ascending">
      <items>
        <item x="2"/>
        <item x="1"/>
        <item x="0"/>
        <item t="default"/>
      </items>
    </pivotField>
    <pivotField name="OBSTETRICOS" axis="axisRow" compact="0" numFmtId="3" outline="0" multipleItemSelectionAllowed="1" showAll="0" sortType="ascending">
      <items>
        <item x="7"/>
        <item x="17"/>
        <item x="9"/>
        <item x="4"/>
        <item x="3"/>
        <item x="15"/>
        <item x="0"/>
        <item x="11"/>
        <item x="5"/>
        <item x="6"/>
        <item x="8"/>
        <item x="12"/>
        <item x="13"/>
        <item x="1"/>
        <item x="10"/>
        <item x="16"/>
        <item x="14"/>
        <item x="2"/>
        <item t="default"/>
      </items>
    </pivotField>
    <pivotField name="GAR I" axis="axisRow" compact="0" outline="0" multipleItemSelectionAllowed="1" showAll="0" sortType="ascending">
      <items>
        <item sd="0" x="0"/>
        <item t="default"/>
      </items>
    </pivotField>
    <pivotField name="GAR II" dataField="1" compact="0" outline="0" multipleItemSelectionAllowed="1" showAll="0">
      <items>
        <item x="0"/>
        <item x="1"/>
        <item x="2"/>
        <item t="default"/>
      </items>
    </pivotField>
    <pivotField name="SERVIÇO DE ATENDIMENTO SECUNDÁRIO OU TERCIÁRIO A GESTAÇÃO DE ALTO RISCO" dataField="1" compact="0" outline="0" multipleItemSelectionAllowed="1" showAll="0">
      <items>
        <item x="0"/>
        <item x="1"/>
        <item t="default"/>
      </items>
    </pivotField>
    <pivotField name="UTI ADULTO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TIN II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UTIN III" dataField="1" compact="0" outline="0" multipleItemSelectionAllowed="1" showAll="0">
      <items>
        <item x="0"/>
        <item t="default"/>
      </items>
    </pivotField>
    <pivotField name="UCINCO" dataField="1" compact="0" outline="0" multipleItemSelectionAllowed="1" showAll="0">
      <items>
        <item x="0"/>
        <item x="1"/>
        <item x="2"/>
        <item t="default"/>
      </items>
    </pivotField>
    <pivotField name="UCINCA" dataField="1" compact="0" outline="0" multipleItemSelectionAllowed="1" showAll="0">
      <items>
        <item x="0"/>
        <item x="1"/>
        <item t="default"/>
      </items>
    </pivotField>
    <pivotField name="CPN I&#10;3 LEITOS" compact="0" outline="0" multipleItemSelectionAllowed="1" showAll="0">
      <items>
        <item x="0"/>
        <item t="default"/>
      </items>
    </pivotField>
    <pivotField name="CPN I&#10;5 LEITOS" compact="0" outline="0" multipleItemSelectionAllowed="1" showAll="0">
      <items>
        <item x="0"/>
        <item t="default"/>
      </items>
    </pivotField>
    <pivotField name="CPN II&#10;3 LEITOS" compact="0" outline="0" multipleItemSelectionAllowed="1" showAll="0">
      <items>
        <item x="0"/>
        <item x="1"/>
        <item t="default"/>
      </items>
    </pivotField>
    <pivotField name="CPN II&#10;5 LEITOS" compact="0" outline="0" multipleItemSelectionAllowed="1" showAll="0">
      <items>
        <item x="0"/>
        <item t="default"/>
      </items>
    </pivotField>
    <pivotField name="CGBP&#10;10 LEITOS" compact="0" outline="0" multipleItemSelectionAllowed="1" showAll="0">
      <items>
        <item x="0"/>
        <item t="default"/>
      </items>
    </pivotField>
    <pivotField name="CGBP&#10;15 LEITOS" compact="0" outline="0" multipleItemSelectionAllowed="1" showAll="0">
      <items>
        <item x="0"/>
        <item t="default"/>
      </items>
    </pivotField>
    <pivotField name="CGBP&#10;20 LEITOS" compact="0" outline="0" multipleItemSelectionAllowed="1" showAll="0">
      <items>
        <item x="0"/>
        <item t="default"/>
      </items>
    </pivotField>
    <pivotField name="BLH" dataField="1" compact="0" outline="0" multipleItemSelectionAllowed="1" showAll="0">
      <items>
        <item x="0"/>
        <item x="1"/>
        <item t="default"/>
      </items>
    </pivotField>
  </pivotFields>
  <rowFields>
    <field x="6"/>
    <field x="5"/>
    <field x="4"/>
    <field x="3"/>
    <field x="2"/>
    <field x="1"/>
  </rowFields>
  <colFields>
    <field x="-2"/>
  </colFields>
  <dataFields>
    <dataField name="Soma de GAR II" fld="7" baseField="0"/>
    <dataField name="Soma de SERVIÇO DE ATENDIMENTO SECUNDÁRIO OU TERCIÁRIO A GESTAÇÃO DE ALTO RISCO" fld="8" baseField="0"/>
    <dataField name="Soma de UTI ADULTO" fld="9" baseField="0"/>
    <dataField name="Soma de UTIN II" fld="10" baseField="0"/>
    <dataField name="Soma de UTIN III" fld="11" baseField="0"/>
    <dataField name="Soma de UCINCO" fld="12" baseField="0"/>
    <dataField name="Soma de UCINCA" fld="13" baseField="0"/>
    <dataField name="Soma de BLH" fld="21" baseField="0"/>
    <dataField name="Soma de DRS" fld="0" baseField="0"/>
  </dataFields>
</pivotTableDefinition>
</file>

<file path=xl/tables/table3.xml><?xml version="1.0" encoding="utf-8"?>
<table xmlns="http://schemas.openxmlformats.org/spreadsheetml/2006/main" ref="I1:I5" displayName="Table_5" name="Table_5" id="5">
  <tableColumns count="1">
    <tableColumn name="HABILITAÇÃO MAB" id="1"/>
  </tableColumns>
  <tableStyleInfo name="listas de opções-style 5" showColumnStripes="0" showFirstColumn="1" showLastColumn="1" showRowStripes="1"/>
</table>
</file>

<file path=xl/tables/table4.xml><?xml version="1.0" encoding="utf-8"?>
<table xmlns="http://schemas.openxmlformats.org/spreadsheetml/2006/main" ref="G1:G4" displayName="Table_4" name="Table_4" id="4">
  <tableColumns count="1">
    <tableColumn name="STATUS" id="1"/>
  </tableColumns>
  <tableStyleInfo name="listas de opções-style 4" showColumnStripes="0" showFirstColumn="1" showLastColumn="1" showRowStripes="1"/>
</table>
</file>

<file path=xl/tables/table5.xml><?xml version="1.0" encoding="utf-8"?>
<table xmlns="http://schemas.openxmlformats.org/spreadsheetml/2006/main" ref="E1:E64" displayName="Table_3" name="Table_3" id="3">
  <tableColumns count="1">
    <tableColumn name="Região de Saúde" id="1"/>
  </tableColumns>
  <tableStyleInfo name="listas de opções-style 3" showColumnStripes="0" showFirstColumn="1" showLastColumn="1" showRowStripes="1"/>
</table>
</file>

<file path=xl/tables/table6.xml><?xml version="1.0" encoding="utf-8"?>
<table xmlns="http://schemas.openxmlformats.org/spreadsheetml/2006/main" ref="A1:A18" displayName="Table_1" name="Table_1" id="1">
  <tableColumns count="1">
    <tableColumn name="RRAS" id="1"/>
  </tableColumns>
  <tableStyleInfo name="listas de opções-style" showColumnStripes="0" showFirstColumn="1" showLastColumn="1" showRowStripes="1"/>
</table>
</file>

<file path=xl/tables/table7.xml><?xml version="1.0" encoding="utf-8"?>
<table xmlns="http://schemas.openxmlformats.org/spreadsheetml/2006/main" ref="C1:C18" displayName="Table_2" name="Table_2" id="2">
  <tableColumns count="1">
    <tableColumn name="DRS" id="1"/>
  </tableColumns>
  <tableStyleInfo name="listas de opções-style 2" showColumnStripes="0" showFirstColumn="1" showLastColumn="1" showRowStripes="1"/>
</table>
</file>

<file path=xl/tables/table8.xml><?xml version="1.0" encoding="utf-8"?>
<table xmlns="http://schemas.openxmlformats.org/spreadsheetml/2006/main" ref="A12:V202" displayName="Table_6" name="Table_6" id="6">
  <tableColumns count="22">
    <tableColumn name="DRS" id="1"/>
    <tableColumn name="REGIÃO DE SAUDE " id="2"/>
    <tableColumn name="CNES/ESTABELECIMENTO" id="3"/>
    <tableColumn name="MUNICIPIO" id="4"/>
    <tableColumn name="GESTÃO" id="5"/>
    <tableColumn name="OBSTETRICOS" id="6"/>
    <tableColumn name="GAR I" id="7"/>
    <tableColumn name="GAR II" id="8"/>
    <tableColumn name="SERVIÇO DE ATENDIMENTO SECUNDÁRIO OU TERCIÁRIO A GESTAÇÃO DE ALTO RISCO" id="9"/>
    <tableColumn name="UTI ADULTO" id="10"/>
    <tableColumn name="UTIN II" id="11"/>
    <tableColumn name="UTIN III" id="12"/>
    <tableColumn name="UCINCO" id="13"/>
    <tableColumn name="UCINCA" id="14"/>
    <tableColumn name="CPN I_x000a_3 LEITOS" id="15"/>
    <tableColumn name="CPN I_x000a_5 LEITOS" id="16"/>
    <tableColumn name="CPN II_x000a_3 LEITOS" id="17"/>
    <tableColumn name="CPN II_x000a_5 LEITOS" id="18"/>
    <tableColumn name="CGBP_x000a_10 LEITOS" id="19"/>
    <tableColumn name="CGBP_x000a_15 LEITOS" id="20"/>
    <tableColumn name="CGBP_x000a_20 LEITOS" id="21"/>
    <tableColumn name="BLH" id="22"/>
  </tableColumns>
  <tableStyleInfo name="tabela 4  leitos existen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1h" Type="http://schemas.openxmlformats.org/officeDocument/2006/relationships/hyperlink" Target="https://cnes2.datasus.gov.br/Mod_Ind_Unidade.asp?VEstado=35&amp;VMun=351380&amp;VComp=00&amp;VUni=02)" TargetMode="External"/><Relationship Id="rId2h" Type="http://schemas.openxmlformats.org/officeDocument/2006/relationships/hyperlink" Target="https://tabnet.saude.sp.gov.br/tabcgi.exe?tabnet/ind33a_matriz.def)" TargetMode="External"/><Relationship Id="rId3h" Type="http://schemas.openxmlformats.org/officeDocument/2006/relationships/hyperlink" Target="https://tabnet.saude.sp.gov.br/tabcgi.exe?tabnet/ind33a_matriz.def)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20001" Type="http://schemas.openxmlformats.org/officeDocument/2006/relationships/pivotTable" Target="../pivotTables/pivotTable1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8" Type="http://schemas.openxmlformats.org/officeDocument/2006/relationships/table" Target="../tables/table8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2.43" hidden="0" customWidth="1"/>
    <col min="2" max="2" width="8.71" hidden="0" customWidth="1"/>
    <col min="3" max="3" width="24" hidden="0" customWidth="1"/>
    <col min="4" max="4" width="8.71" hidden="0" customWidth="1"/>
    <col min="5" max="5" width="37" hidden="0" customWidth="1"/>
    <col min="6" max="6" width="8.71" hidden="0" customWidth="1"/>
    <col min="7" max="7" width="14" hidden="0" customWidth="1"/>
    <col min="8" max="8" width="8.71" hidden="0" customWidth="1"/>
    <col min="9" max="9" width="18.57" hidden="0" customWidth="1"/>
  </cols>
  <sheetData>
    <row r="1" ht="14.25" customHeight="1">
      <c r="A1" s="1" t="s">
        <v>0</v>
      </c>
      <c r="C1" s="1" t="s">
        <v>1</v>
      </c>
      <c r="E1" s="1" t="s">
        <v>2</v>
      </c>
      <c r="G1" s="1" t="s">
        <v>3</v>
      </c>
      <c r="I1" s="2" t="s">
        <v>4</v>
      </c>
    </row>
    <row r="2" ht="14.25" customHeight="1">
      <c r="A2" s="1" t="s">
        <v>5</v>
      </c>
      <c r="C2" s="1" t="s">
        <v>6</v>
      </c>
      <c r="E2" s="1" t="s">
        <v>7</v>
      </c>
      <c r="G2" s="1" t="s">
        <v>8</v>
      </c>
      <c r="I2" s="1" t="s">
        <v>9</v>
      </c>
    </row>
    <row r="3" ht="14.25" customHeight="1">
      <c r="A3" s="1" t="s">
        <v>10</v>
      </c>
      <c r="C3" s="1" t="s">
        <v>11</v>
      </c>
      <c r="E3" s="1" t="s">
        <v>12</v>
      </c>
      <c r="G3" s="1" t="s">
        <v>13</v>
      </c>
      <c r="I3" s="1" t="s">
        <v>14</v>
      </c>
    </row>
    <row r="4" ht="14.25" customHeight="1">
      <c r="A4" s="1" t="s">
        <v>15</v>
      </c>
      <c r="C4" s="1" t="s">
        <v>16</v>
      </c>
      <c r="E4" s="1" t="s">
        <v>17</v>
      </c>
      <c r="G4" s="1" t="s">
        <v>18</v>
      </c>
      <c r="I4" s="1" t="s">
        <v>19</v>
      </c>
    </row>
    <row r="5" ht="14.25" customHeight="1">
      <c r="A5" s="1" t="s">
        <v>20</v>
      </c>
      <c r="C5" s="1" t="s">
        <v>21</v>
      </c>
      <c r="E5" s="1" t="s">
        <v>22</v>
      </c>
      <c r="I5" s="1" t="s">
        <v>23</v>
      </c>
    </row>
    <row r="6" ht="14.25" customHeight="1">
      <c r="A6" s="1" t="s">
        <v>24</v>
      </c>
      <c r="C6" s="1" t="s">
        <v>25</v>
      </c>
      <c r="E6" s="1" t="s">
        <v>26</v>
      </c>
    </row>
    <row r="7" ht="14.25" customHeight="1">
      <c r="A7" s="1" t="s">
        <v>27</v>
      </c>
      <c r="C7" s="1" t="s">
        <v>28</v>
      </c>
      <c r="E7" s="1" t="s">
        <v>29</v>
      </c>
    </row>
    <row r="8" ht="14.25" customHeight="1">
      <c r="A8" s="1" t="s">
        <v>30</v>
      </c>
      <c r="C8" s="1" t="s">
        <v>31</v>
      </c>
      <c r="E8" s="1" t="s">
        <v>32</v>
      </c>
    </row>
    <row r="9" ht="14.25" customHeight="1">
      <c r="A9" s="1" t="s">
        <v>33</v>
      </c>
      <c r="C9" s="1" t="s">
        <v>34</v>
      </c>
      <c r="E9" s="1" t="s">
        <v>35</v>
      </c>
    </row>
    <row r="10" ht="14.25" customHeight="1">
      <c r="A10" s="1" t="s">
        <v>36</v>
      </c>
      <c r="C10" s="1" t="s">
        <v>37</v>
      </c>
      <c r="E10" s="1" t="s">
        <v>38</v>
      </c>
    </row>
    <row r="11" ht="14.25" customHeight="1">
      <c r="A11" s="1" t="s">
        <v>39</v>
      </c>
      <c r="C11" s="1" t="s">
        <v>40</v>
      </c>
      <c r="E11" s="1" t="s">
        <v>41</v>
      </c>
    </row>
    <row r="12" ht="14.25" customHeight="1">
      <c r="A12" s="1" t="s">
        <v>42</v>
      </c>
      <c r="C12" s="1" t="s">
        <v>43</v>
      </c>
      <c r="E12" s="1" t="s">
        <v>44</v>
      </c>
    </row>
    <row r="13" ht="14.25" customHeight="1">
      <c r="A13" s="1" t="s">
        <v>45</v>
      </c>
      <c r="C13" s="1" t="s">
        <v>46</v>
      </c>
      <c r="E13" s="1" t="s">
        <v>47</v>
      </c>
    </row>
    <row r="14" ht="14.25" customHeight="1">
      <c r="A14" s="1" t="s">
        <v>48</v>
      </c>
      <c r="C14" s="1" t="s">
        <v>49</v>
      </c>
      <c r="E14" s="1" t="s">
        <v>16</v>
      </c>
    </row>
    <row r="15" ht="14.25" customHeight="1">
      <c r="A15" s="1" t="s">
        <v>50</v>
      </c>
      <c r="C15" s="1" t="s">
        <v>51</v>
      </c>
      <c r="E15" s="1" t="s">
        <v>25</v>
      </c>
    </row>
    <row r="16" ht="14.25" customHeight="1">
      <c r="A16" s="1" t="s">
        <v>52</v>
      </c>
      <c r="C16" s="1" t="s">
        <v>53</v>
      </c>
      <c r="E16" s="1" t="s">
        <v>54</v>
      </c>
    </row>
    <row r="17" ht="14.25" customHeight="1">
      <c r="A17" s="1" t="s">
        <v>55</v>
      </c>
      <c r="C17" s="1" t="s">
        <v>56</v>
      </c>
      <c r="E17" s="1" t="s">
        <v>57</v>
      </c>
    </row>
    <row r="18" ht="14.25" customHeight="1">
      <c r="A18" s="1" t="s">
        <v>58</v>
      </c>
      <c r="C18" s="1" t="s">
        <v>59</v>
      </c>
      <c r="E18" s="1" t="s">
        <v>60</v>
      </c>
    </row>
    <row r="19" ht="14.25" customHeight="1">
      <c r="E19" s="1" t="s">
        <v>61</v>
      </c>
    </row>
    <row r="20" ht="14.25" customHeight="1">
      <c r="E20" s="1" t="s">
        <v>62</v>
      </c>
    </row>
    <row r="21" ht="14.25" customHeight="1">
      <c r="E21" s="1" t="s">
        <v>63</v>
      </c>
    </row>
    <row r="22" ht="14.25" customHeight="1">
      <c r="E22" s="1" t="s">
        <v>64</v>
      </c>
    </row>
    <row r="23" ht="14.25" customHeight="1">
      <c r="E23" s="1" t="s">
        <v>65</v>
      </c>
    </row>
    <row r="24" ht="14.25" customHeight="1">
      <c r="E24" s="1" t="s">
        <v>66</v>
      </c>
    </row>
    <row r="25" ht="14.25" customHeight="1">
      <c r="E25" s="1" t="s">
        <v>67</v>
      </c>
    </row>
    <row r="26" ht="14.25" customHeight="1">
      <c r="E26" s="1" t="s">
        <v>68</v>
      </c>
    </row>
    <row r="27" ht="14.25" customHeight="1">
      <c r="E27" s="1" t="s">
        <v>69</v>
      </c>
    </row>
    <row r="28" ht="14.25" customHeight="1">
      <c r="E28" s="1" t="s">
        <v>70</v>
      </c>
    </row>
    <row r="29" ht="14.25" customHeight="1">
      <c r="E29" s="1" t="s">
        <v>71</v>
      </c>
    </row>
    <row r="30" ht="14.25" customHeight="1">
      <c r="E30" s="1" t="s">
        <v>72</v>
      </c>
    </row>
    <row r="31" ht="14.25" customHeight="1">
      <c r="E31" s="1" t="s">
        <v>73</v>
      </c>
    </row>
    <row r="32" ht="14.25" customHeight="1">
      <c r="E32" s="1" t="s">
        <v>74</v>
      </c>
    </row>
    <row r="33" ht="14.25" customHeight="1">
      <c r="E33" s="1" t="s">
        <v>75</v>
      </c>
    </row>
    <row r="34" ht="14.25" customHeight="1">
      <c r="E34" s="1" t="s">
        <v>76</v>
      </c>
    </row>
    <row r="35" ht="14.25" customHeight="1">
      <c r="E35" s="1" t="s">
        <v>77</v>
      </c>
    </row>
    <row r="36" ht="14.25" customHeight="1">
      <c r="E36" s="1" t="s">
        <v>78</v>
      </c>
    </row>
    <row r="37" ht="14.25" customHeight="1">
      <c r="E37" s="1" t="s">
        <v>79</v>
      </c>
    </row>
    <row r="38" ht="14.25" customHeight="1">
      <c r="E38" s="1" t="s">
        <v>80</v>
      </c>
    </row>
    <row r="39" ht="14.25" customHeight="1">
      <c r="E39" s="1" t="s">
        <v>81</v>
      </c>
    </row>
    <row r="40" ht="14.25" customHeight="1">
      <c r="E40" s="1" t="s">
        <v>82</v>
      </c>
    </row>
    <row r="41" ht="14.25" customHeight="1">
      <c r="E41" s="1" t="s">
        <v>83</v>
      </c>
    </row>
    <row r="42" ht="14.25" customHeight="1">
      <c r="E42" s="1" t="s">
        <v>37</v>
      </c>
    </row>
    <row r="43" ht="14.25" customHeight="1">
      <c r="E43" s="1" t="s">
        <v>84</v>
      </c>
    </row>
    <row r="44" ht="14.25" customHeight="1">
      <c r="E44" s="1" t="s">
        <v>85</v>
      </c>
    </row>
    <row r="45" ht="14.25" customHeight="1">
      <c r="E45" s="1" t="s">
        <v>86</v>
      </c>
    </row>
    <row r="46" ht="14.25" customHeight="1">
      <c r="E46" s="1" t="s">
        <v>40</v>
      </c>
    </row>
    <row r="47" ht="14.25" customHeight="1">
      <c r="E47" s="1" t="s">
        <v>87</v>
      </c>
    </row>
    <row r="48" ht="14.25" customHeight="1">
      <c r="E48" s="1" t="s">
        <v>88</v>
      </c>
    </row>
    <row r="49" ht="14.25" customHeight="1">
      <c r="E49" s="1" t="s">
        <v>89</v>
      </c>
    </row>
    <row r="50" ht="14.25" customHeight="1">
      <c r="E50" s="1" t="s">
        <v>90</v>
      </c>
    </row>
    <row r="51" ht="14.25" customHeight="1">
      <c r="E51" s="1" t="s">
        <v>91</v>
      </c>
    </row>
    <row r="52" ht="14.25" customHeight="1">
      <c r="E52" s="1" t="s">
        <v>92</v>
      </c>
    </row>
    <row r="53" ht="14.25" customHeight="1">
      <c r="E53" s="1" t="s">
        <v>93</v>
      </c>
    </row>
    <row r="54" ht="14.25" customHeight="1">
      <c r="E54" s="1" t="s">
        <v>53</v>
      </c>
    </row>
    <row r="55" ht="14.25" customHeight="1">
      <c r="E55" s="1" t="s">
        <v>94</v>
      </c>
    </row>
    <row r="56" ht="14.25" customHeight="1">
      <c r="E56" s="1" t="s">
        <v>56</v>
      </c>
    </row>
    <row r="57" ht="14.25" customHeight="1">
      <c r="E57" s="1" t="s">
        <v>95</v>
      </c>
    </row>
    <row r="58" ht="14.25" customHeight="1">
      <c r="E58" s="1" t="s">
        <v>96</v>
      </c>
    </row>
    <row r="59" ht="14.25" customHeight="1">
      <c r="E59" s="1" t="s">
        <v>97</v>
      </c>
    </row>
    <row r="60" ht="14.25" customHeight="1">
      <c r="E60" s="1" t="s">
        <v>98</v>
      </c>
    </row>
    <row r="61" ht="14.25" customHeight="1">
      <c r="E61" s="1" t="s">
        <v>99</v>
      </c>
    </row>
    <row r="62" ht="14.25" customHeight="1">
      <c r="E62" s="1" t="s">
        <v>100</v>
      </c>
    </row>
    <row r="63" ht="14.25" customHeight="1">
      <c r="E63" s="1" t="s">
        <v>101</v>
      </c>
    </row>
    <row r="64" ht="14.25" customHeight="1">
      <c r="E64" s="1" t="s">
        <v>102</v>
      </c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bottom="0.787401575" footer="0.0" header="0.0" left="0.511811024" right="0.511811024" top="0.787401575"/>
  <pageSetup orientation="landscape"/>
  <tableParts count="5"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4.71" hidden="0" customWidth="1"/>
    <col min="2" max="2" width="18.86" hidden="0" customWidth="1"/>
    <col min="3" max="3" width="21.29" hidden="0" customWidth="1"/>
    <col min="4" max="4" width="14.71" hidden="0" customWidth="1"/>
    <col min="5" max="5" width="15.71" hidden="0" customWidth="1"/>
    <col min="6" max="6" width="12.71" hidden="0" customWidth="1"/>
    <col min="7" max="7" width="25.71" hidden="0" customWidth="1"/>
    <col min="8" max="8" width="26.86" hidden="0" customWidth="1"/>
    <col min="9" max="9" width="23.43" hidden="0" customWidth="1"/>
    <col min="10" max="10" width="23.71" hidden="0" customWidth="1"/>
    <col min="11" max="11" width="29.14" hidden="0" customWidth="1"/>
    <col min="12" max="12" width="15.57" hidden="0" customWidth="1"/>
    <col min="13" max="13" width="32" hidden="0" customWidth="1"/>
    <col min="14" max="14" width="13.57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  <col min="19" max="19" width="8.71" hidden="0" customWidth="1"/>
    <col min="20" max="20" width="8.71" hidden="0" customWidth="1"/>
    <col min="21" max="21" width="8.71" hidden="0" customWidth="1"/>
    <col min="22" max="22" width="8.71" hidden="0" customWidth="1"/>
    <col min="23" max="23" width="8.71" hidden="0" customWidth="1"/>
    <col min="24" max="24" width="8.71" hidden="0" customWidth="1"/>
    <col min="25" max="25" width="8.71" hidden="0" customWidth="1"/>
    <col min="26" max="26" width="8.71" hidden="0" customWidth="1"/>
    <col min="27" max="27" width="8.71" hidden="0" customWidth="1"/>
  </cols>
  <sheetData>
    <row r="1" ht="14.25" customHeight="1">
      <c r="A1" s="20" t="s">
        <v>103</v>
      </c>
      <c r="B1" s="26" t="s">
        <v>58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 ht="14.25" customHeigh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ht="14.25" customHeight="1">
      <c r="A3" s="27"/>
      <c r="B3" s="27"/>
      <c r="C3" s="28" t="s">
        <v>104</v>
      </c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 ht="14.2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 ht="14.25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ht="14.25" customHeight="1">
      <c r="A6" s="29" t="s">
        <v>105</v>
      </c>
      <c r="B6" s="30"/>
      <c r="C6" s="30"/>
      <c r="D6" s="30"/>
      <c r="E6" s="30"/>
      <c r="F6" s="30"/>
      <c r="G6" s="30"/>
      <c r="H6" s="30"/>
      <c r="I6" s="30"/>
      <c r="J6" s="30"/>
      <c r="K6" s="4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 ht="14.25" customHeight="1">
      <c r="A7" s="3"/>
      <c r="K7" s="4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 ht="14.25" customHeight="1">
      <c r="A8" s="5" t="s">
        <v>106</v>
      </c>
      <c r="B8" s="3"/>
      <c r="C8" s="3"/>
      <c r="D8" s="3"/>
      <c r="E8" s="3"/>
      <c r="F8" s="3"/>
      <c r="G8" s="3"/>
      <c r="H8" s="3"/>
      <c r="I8" s="3"/>
      <c r="J8" s="3"/>
      <c r="K8" s="4"/>
      <c r="L8" s="27"/>
      <c r="M8" s="27"/>
      <c r="N8" s="27"/>
      <c r="O8" s="27"/>
      <c r="P8" s="27"/>
      <c r="Q8" s="27"/>
      <c r="R8" s="27"/>
      <c r="S8" s="6"/>
      <c r="T8" s="27"/>
      <c r="U8" s="27"/>
      <c r="V8" s="27"/>
      <c r="W8" s="27"/>
      <c r="X8" s="27"/>
      <c r="Y8" s="27"/>
      <c r="Z8" s="27"/>
      <c r="AA8" s="27"/>
    </row>
    <row r="9" ht="14.25" customHeight="1">
      <c r="A9" s="5" t="s">
        <v>107</v>
      </c>
      <c r="B9" s="3"/>
      <c r="C9" s="3"/>
      <c r="D9" s="3"/>
      <c r="E9" s="3"/>
      <c r="F9" s="3"/>
      <c r="G9" s="3"/>
      <c r="H9" s="3"/>
      <c r="I9" s="3"/>
      <c r="J9" s="3"/>
      <c r="K9" s="4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 ht="14.25" customHeight="1">
      <c r="A10" s="5" t="s">
        <v>108</v>
      </c>
      <c r="B10" s="3"/>
      <c r="C10" s="3"/>
      <c r="D10" s="3"/>
      <c r="E10" s="3"/>
      <c r="F10" s="3"/>
      <c r="G10" s="3"/>
      <c r="H10" s="3"/>
      <c r="I10" s="3"/>
      <c r="J10" s="3"/>
      <c r="K10" s="4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 ht="14.25" customHeight="1">
      <c r="A11" s="7" t="s">
        <v>109</v>
      </c>
      <c r="B11" s="8"/>
      <c r="C11" s="8"/>
      <c r="D11" s="8"/>
      <c r="E11" s="8"/>
      <c r="F11" s="8"/>
      <c r="G11" s="8"/>
      <c r="H11" s="8"/>
      <c r="I11" s="8"/>
      <c r="J11" s="8"/>
      <c r="K11" s="9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 ht="14.25" customHeight="1">
      <c r="A12" s="10" t="s">
        <v>110</v>
      </c>
      <c r="K12" s="4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 ht="14.25" customHeight="1">
      <c r="A13" s="10" t="s">
        <v>111</v>
      </c>
      <c r="K13" s="4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ht="14.25" customHeight="1">
      <c r="A14" s="8"/>
      <c r="K14" s="4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 ht="14.25" customHeight="1">
      <c r="A15" s="11" t="s">
        <v>112</v>
      </c>
      <c r="K15" s="4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 ht="14.25" customHeight="1">
      <c r="A16" s="5" t="s">
        <v>113</v>
      </c>
      <c r="B16" s="3"/>
      <c r="C16" s="3"/>
      <c r="D16" s="3"/>
      <c r="E16" s="3"/>
      <c r="F16" s="3"/>
      <c r="G16" s="3"/>
      <c r="H16" s="3"/>
      <c r="I16" s="3"/>
      <c r="J16" s="3"/>
      <c r="K16" s="4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 ht="14.25" customHeight="1">
      <c r="A17" s="5" t="s">
        <v>114</v>
      </c>
      <c r="B17" s="3"/>
      <c r="C17" s="3"/>
      <c r="D17" s="3"/>
      <c r="E17" s="3"/>
      <c r="F17" s="3"/>
      <c r="G17" s="3"/>
      <c r="H17" s="3"/>
      <c r="I17" s="3"/>
      <c r="J17" s="3"/>
      <c r="K17" s="4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 ht="14.25" customHeight="1">
      <c r="A18" s="5" t="s">
        <v>115</v>
      </c>
      <c r="B18" s="3"/>
      <c r="C18" s="3"/>
      <c r="D18" s="3"/>
      <c r="E18" s="3"/>
      <c r="F18" s="3"/>
      <c r="G18" s="3"/>
      <c r="H18" s="3"/>
      <c r="I18" s="3"/>
      <c r="J18" s="3"/>
      <c r="K18" s="4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 ht="14.25" customHeight="1">
      <c r="A19" s="5" t="s">
        <v>116</v>
      </c>
      <c r="B19" s="3"/>
      <c r="C19" s="3"/>
      <c r="D19" s="3"/>
      <c r="E19" s="3"/>
      <c r="F19" s="3"/>
      <c r="G19" s="3"/>
      <c r="H19" s="3"/>
      <c r="I19" s="3"/>
      <c r="J19" s="3"/>
      <c r="K19" s="4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 ht="14.25" customHeight="1">
      <c r="A20" s="12" t="s">
        <v>117</v>
      </c>
      <c r="B20" s="13"/>
      <c r="C20" s="13"/>
      <c r="D20" s="13"/>
      <c r="E20" s="13"/>
      <c r="F20" s="13"/>
      <c r="G20" s="13"/>
      <c r="H20" s="13"/>
      <c r="I20" s="13"/>
      <c r="J20" s="13"/>
      <c r="K20" s="14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 ht="14.25" customHeight="1">
      <c r="A21" s="15" t="s">
        <v>118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 ht="14.2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ht="14.25" customHeight="1">
      <c r="A23" s="17" t="s">
        <v>1</v>
      </c>
      <c r="B23" s="18" t="s">
        <v>119</v>
      </c>
      <c r="C23" s="19" t="s">
        <v>120</v>
      </c>
      <c r="D23" s="21" t="s">
        <v>121</v>
      </c>
      <c r="E23" s="21" t="s">
        <v>122</v>
      </c>
      <c r="F23" s="21" t="s">
        <v>123</v>
      </c>
      <c r="G23" s="21" t="s">
        <v>124</v>
      </c>
      <c r="H23" s="21" t="s">
        <v>125</v>
      </c>
      <c r="I23" s="21" t="s">
        <v>126</v>
      </c>
      <c r="J23" s="21" t="s">
        <v>127</v>
      </c>
      <c r="K23" s="21" t="s">
        <v>128</v>
      </c>
      <c r="L23" s="21" t="s">
        <v>120</v>
      </c>
      <c r="M23" s="21" t="s">
        <v>129</v>
      </c>
      <c r="N23" s="22" t="s">
        <v>120</v>
      </c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ht="14.25" customHeight="1">
      <c r="A24" s="23" t="s">
        <v>130</v>
      </c>
      <c r="B24" s="23" t="s">
        <v>131</v>
      </c>
      <c r="C24" s="23" t="s">
        <v>132</v>
      </c>
      <c r="D24" s="23" t="n">
        <v>1041.0</v>
      </c>
      <c r="E24" s="23" t="n">
        <v>35.9</v>
      </c>
      <c r="F24" s="23" t="n">
        <v>21.0</v>
      </c>
      <c r="G24" s="23" t="n">
        <v>54.9</v>
      </c>
      <c r="H24" s="23" t="n">
        <v>61.26</v>
      </c>
      <c r="I24" s="24" t="n">
        <f t="shared" ref="I24:I169" si="1">(D24*(1-E24/100)*1.1)</f>
        <v>734.0091</v>
      </c>
      <c r="J24" s="24" t="n">
        <f t="shared" ref="J24:J169" si="2">D24*(1-E24/100)</f>
        <v>667.281</v>
      </c>
      <c r="K24" s="23" t="s">
        <v>133</v>
      </c>
      <c r="L24" s="23" t="s">
        <v>134</v>
      </c>
      <c r="M24" s="23" t="s">
        <v>135</v>
      </c>
      <c r="N24" s="23" t="s">
        <v>132</v>
      </c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ht="14.25" customHeight="1">
      <c r="A25" s="23"/>
      <c r="B25" s="23"/>
      <c r="C25" s="23" t="s">
        <v>136</v>
      </c>
      <c r="D25" s="23" t="n">
        <v>124.0</v>
      </c>
      <c r="E25" s="23" t="n">
        <v>12.55</v>
      </c>
      <c r="F25" s="23" t="n">
        <v>3.0</v>
      </c>
      <c r="G25" s="23" t="n">
        <v>0.0</v>
      </c>
      <c r="H25" s="23" t="n">
        <v>0.0</v>
      </c>
      <c r="I25" s="24" t="n">
        <f t="shared" si="1"/>
        <v>119.2818</v>
      </c>
      <c r="J25" s="24" t="n">
        <f t="shared" si="2"/>
        <v>108.438</v>
      </c>
      <c r="K25" s="23" t="s">
        <v>137</v>
      </c>
      <c r="L25" s="23" t="s">
        <v>138</v>
      </c>
      <c r="M25" s="23" t="s">
        <v>139</v>
      </c>
      <c r="N25" s="23" t="s">
        <v>138</v>
      </c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ht="14.25" customHeight="1">
      <c r="A26" s="23"/>
      <c r="B26" s="23"/>
      <c r="C26" s="23" t="s">
        <v>138</v>
      </c>
      <c r="D26" s="23" t="n">
        <v>2642.0</v>
      </c>
      <c r="E26" s="23" t="n">
        <v>42.82</v>
      </c>
      <c r="F26" s="23" t="n">
        <v>53.0</v>
      </c>
      <c r="G26" s="23" t="n">
        <v>64.97</v>
      </c>
      <c r="H26" s="23" t="n">
        <v>88.49</v>
      </c>
      <c r="I26" s="24" t="n">
        <f t="shared" si="1"/>
        <v>1661.76516</v>
      </c>
      <c r="J26" s="24" t="n">
        <f t="shared" si="2"/>
        <v>1510.6956</v>
      </c>
      <c r="K26" s="23" t="s">
        <v>137</v>
      </c>
      <c r="L26" s="23" t="s">
        <v>138</v>
      </c>
      <c r="M26" s="23" t="s">
        <v>139</v>
      </c>
      <c r="N26" s="23" t="s">
        <v>138</v>
      </c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ht="14.25" customHeight="1">
      <c r="A27" s="23"/>
      <c r="B27" s="23"/>
      <c r="C27" s="23" t="s">
        <v>140</v>
      </c>
      <c r="D27" s="23" t="n">
        <v>73.0</v>
      </c>
      <c r="E27" s="23" t="n">
        <v>21.9</v>
      </c>
      <c r="F27" s="23" t="n">
        <v>1.0</v>
      </c>
      <c r="G27" s="23" t="n">
        <v>52.26</v>
      </c>
      <c r="H27" s="23" t="n">
        <v>52.26</v>
      </c>
      <c r="I27" s="24" t="n">
        <f t="shared" si="1"/>
        <v>62.7143</v>
      </c>
      <c r="J27" s="24" t="n">
        <f t="shared" si="2"/>
        <v>57.013</v>
      </c>
      <c r="K27" s="23" t="s">
        <v>133</v>
      </c>
      <c r="L27" s="23" t="s">
        <v>134</v>
      </c>
      <c r="M27" s="23" t="s">
        <v>135</v>
      </c>
      <c r="N27" s="23" t="s">
        <v>132</v>
      </c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ht="14.25" customHeight="1">
      <c r="A28" s="23"/>
      <c r="B28" s="23"/>
      <c r="C28" s="23" t="s">
        <v>141</v>
      </c>
      <c r="D28" s="23" t="n">
        <v>54.0</v>
      </c>
      <c r="E28" s="23" t="n">
        <v>13.3</v>
      </c>
      <c r="F28" s="23" t="n">
        <v>1.0</v>
      </c>
      <c r="G28" s="23" t="n">
        <v>74.15</v>
      </c>
      <c r="H28" s="23" t="n">
        <v>74.15</v>
      </c>
      <c r="I28" s="24" t="n">
        <f t="shared" si="1"/>
        <v>51.4998</v>
      </c>
      <c r="J28" s="24" t="n">
        <f t="shared" si="2"/>
        <v>46.818</v>
      </c>
      <c r="K28" s="23" t="s">
        <v>133</v>
      </c>
      <c r="L28" s="23" t="s">
        <v>134</v>
      </c>
      <c r="M28" s="23" t="s">
        <v>142</v>
      </c>
      <c r="N28" s="23" t="s">
        <v>134</v>
      </c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ht="14.25" customHeight="1">
      <c r="A29" s="23"/>
      <c r="B29" s="23"/>
      <c r="C29" s="23" t="s">
        <v>143</v>
      </c>
      <c r="D29" s="23" t="n">
        <v>196.0</v>
      </c>
      <c r="E29" s="23" t="n">
        <v>18.97</v>
      </c>
      <c r="F29" s="23" t="n">
        <v>1.0</v>
      </c>
      <c r="G29" s="23" t="n">
        <v>56.8</v>
      </c>
      <c r="H29" s="23" t="n">
        <v>73.26</v>
      </c>
      <c r="I29" s="24" t="n">
        <f t="shared" si="1"/>
        <v>174.70068</v>
      </c>
      <c r="J29" s="24" t="n">
        <f t="shared" si="2"/>
        <v>158.8188</v>
      </c>
      <c r="K29" s="23" t="s">
        <v>133</v>
      </c>
      <c r="L29" s="23" t="s">
        <v>134</v>
      </c>
      <c r="M29" s="23" t="s">
        <v>142</v>
      </c>
      <c r="N29" s="23" t="s">
        <v>134</v>
      </c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ht="14.25" customHeight="1">
      <c r="A30" s="23"/>
      <c r="B30" s="23"/>
      <c r="C30" s="23" t="s">
        <v>144</v>
      </c>
      <c r="D30" s="23" t="n">
        <v>153.0</v>
      </c>
      <c r="E30" s="23" t="n">
        <v>20.08</v>
      </c>
      <c r="F30" s="23" t="n">
        <v>2.0</v>
      </c>
      <c r="G30" s="23" t="n">
        <v>69.99</v>
      </c>
      <c r="H30" s="23" t="n">
        <v>100.0</v>
      </c>
      <c r="I30" s="24" t="n">
        <f t="shared" si="1"/>
        <v>134.50536</v>
      </c>
      <c r="J30" s="24" t="n">
        <f t="shared" si="2"/>
        <v>122.2776</v>
      </c>
      <c r="K30" s="23" t="s">
        <v>137</v>
      </c>
      <c r="L30" s="23" t="s">
        <v>138</v>
      </c>
      <c r="M30" s="23" t="s">
        <v>139</v>
      </c>
      <c r="N30" s="23" t="s">
        <v>138</v>
      </c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ht="14.25" customHeight="1">
      <c r="A31" s="23"/>
      <c r="B31" s="23"/>
      <c r="C31" s="23" t="s">
        <v>134</v>
      </c>
      <c r="D31" s="23" t="n">
        <v>8090.0</v>
      </c>
      <c r="E31" s="23" t="n">
        <v>45.38</v>
      </c>
      <c r="F31" s="23" t="n">
        <v>40.0</v>
      </c>
      <c r="G31" s="23" t="n">
        <v>20.07</v>
      </c>
      <c r="H31" s="23" t="n">
        <v>55.64</v>
      </c>
      <c r="I31" s="24" t="n">
        <f t="shared" si="1"/>
        <v>4860.6338</v>
      </c>
      <c r="J31" s="24" t="n">
        <f t="shared" si="2"/>
        <v>4418.758</v>
      </c>
      <c r="K31" s="23" t="s">
        <v>145</v>
      </c>
      <c r="L31" s="23" t="s">
        <v>134</v>
      </c>
      <c r="M31" s="23" t="s">
        <v>142</v>
      </c>
      <c r="N31" s="23" t="s">
        <v>134</v>
      </c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ht="14.25" customHeight="1">
      <c r="A32" s="23" t="s">
        <v>130</v>
      </c>
      <c r="B32" s="23" t="s">
        <v>146</v>
      </c>
      <c r="C32" s="23" t="s">
        <v>147</v>
      </c>
      <c r="D32" s="23" t="n">
        <v>304.0</v>
      </c>
      <c r="E32" s="23" t="n">
        <v>17.64</v>
      </c>
      <c r="F32" s="23" t="n">
        <v>10.0</v>
      </c>
      <c r="G32" s="23" t="n">
        <v>66.79</v>
      </c>
      <c r="H32" s="23" t="n">
        <v>100.0</v>
      </c>
      <c r="I32" s="24" t="n">
        <f t="shared" si="1"/>
        <v>275.41184</v>
      </c>
      <c r="J32" s="24" t="n">
        <f t="shared" si="2"/>
        <v>250.3744</v>
      </c>
      <c r="K32" s="23" t="s">
        <v>148</v>
      </c>
      <c r="L32" s="23" t="s">
        <v>149</v>
      </c>
      <c r="M32" s="23" t="s">
        <v>148</v>
      </c>
      <c r="N32" s="23" t="s">
        <v>149</v>
      </c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ht="14.25" customHeight="1">
      <c r="A33" s="23"/>
      <c r="B33" s="23"/>
      <c r="C33" s="23" t="s">
        <v>150</v>
      </c>
      <c r="D33" s="23" t="n">
        <v>27.0</v>
      </c>
      <c r="E33" s="23" t="n">
        <v>2.73</v>
      </c>
      <c r="F33" s="23" t="n">
        <v>1.0</v>
      </c>
      <c r="G33" s="23" t="n">
        <v>100.0</v>
      </c>
      <c r="H33" s="23" t="n">
        <v>100.0</v>
      </c>
      <c r="I33" s="24" t="n">
        <f t="shared" si="1"/>
        <v>28.88919</v>
      </c>
      <c r="J33" s="24" t="n">
        <f t="shared" si="2"/>
        <v>26.2629</v>
      </c>
      <c r="K33" s="23" t="s">
        <v>148</v>
      </c>
      <c r="L33" s="23" t="s">
        <v>149</v>
      </c>
      <c r="M33" s="23" t="s">
        <v>151</v>
      </c>
      <c r="N33" s="23" t="s">
        <v>152</v>
      </c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 ht="14.25" customHeight="1">
      <c r="A34" s="23"/>
      <c r="B34" s="23"/>
      <c r="C34" s="23" t="s">
        <v>153</v>
      </c>
      <c r="D34" s="23" t="n">
        <v>53.0</v>
      </c>
      <c r="E34" s="23" t="n">
        <v>5.06</v>
      </c>
      <c r="F34" s="23" t="n">
        <v>1.0</v>
      </c>
      <c r="G34" s="23" t="n">
        <v>88.78</v>
      </c>
      <c r="H34" s="23" t="n">
        <v>100.0</v>
      </c>
      <c r="I34" s="24" t="n">
        <f t="shared" si="1"/>
        <v>55.35002</v>
      </c>
      <c r="J34" s="24" t="n">
        <f t="shared" si="2"/>
        <v>50.3182</v>
      </c>
      <c r="K34" s="23" t="s">
        <v>148</v>
      </c>
      <c r="L34" s="23" t="s">
        <v>149</v>
      </c>
      <c r="M34" s="23" t="s">
        <v>151</v>
      </c>
      <c r="N34" s="23" t="s">
        <v>152</v>
      </c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ht="14.25" customHeight="1">
      <c r="A35" s="23"/>
      <c r="B35" s="23"/>
      <c r="C35" s="23" t="s">
        <v>154</v>
      </c>
      <c r="D35" s="23" t="n">
        <v>89.0</v>
      </c>
      <c r="E35" s="23" t="n">
        <v>10.29</v>
      </c>
      <c r="F35" s="23" t="n">
        <v>5.0</v>
      </c>
      <c r="G35" s="23" t="n">
        <v>100.0</v>
      </c>
      <c r="H35" s="23" t="n">
        <v>100.0</v>
      </c>
      <c r="I35" s="24" t="n">
        <f t="shared" si="1"/>
        <v>87.82609</v>
      </c>
      <c r="J35" s="24" t="n">
        <f t="shared" si="2"/>
        <v>79.8419</v>
      </c>
      <c r="K35" s="23" t="s">
        <v>148</v>
      </c>
      <c r="L35" s="23" t="s">
        <v>149</v>
      </c>
      <c r="M35" s="23" t="s">
        <v>151</v>
      </c>
      <c r="N35" s="23" t="s">
        <v>152</v>
      </c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 ht="14.25" customHeight="1">
      <c r="A36" s="23"/>
      <c r="B36" s="23"/>
      <c r="C36" s="23" t="s">
        <v>155</v>
      </c>
      <c r="D36" s="23" t="n">
        <v>346.0</v>
      </c>
      <c r="E36" s="23" t="n">
        <v>24.01</v>
      </c>
      <c r="F36" s="23" t="n">
        <v>9.0</v>
      </c>
      <c r="G36" s="23" t="n">
        <v>62.11</v>
      </c>
      <c r="H36" s="23" t="n">
        <v>71.11</v>
      </c>
      <c r="I36" s="24" t="n">
        <f t="shared" si="1"/>
        <v>289.21794</v>
      </c>
      <c r="J36" s="24" t="n">
        <f t="shared" si="2"/>
        <v>262.9254</v>
      </c>
      <c r="K36" s="23" t="s">
        <v>148</v>
      </c>
      <c r="L36" s="23" t="s">
        <v>149</v>
      </c>
      <c r="M36" s="23" t="s">
        <v>148</v>
      </c>
      <c r="N36" s="23" t="s">
        <v>149</v>
      </c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ht="14.25" customHeight="1">
      <c r="A37" s="23"/>
      <c r="B37" s="23"/>
      <c r="C37" s="23" t="s">
        <v>156</v>
      </c>
      <c r="D37" s="23" t="n">
        <v>79.0</v>
      </c>
      <c r="E37" s="23" t="n">
        <v>10.05</v>
      </c>
      <c r="F37" s="23" t="n">
        <v>1.0</v>
      </c>
      <c r="G37" s="23" t="n">
        <v>67.15</v>
      </c>
      <c r="H37" s="23" t="n">
        <v>79.36</v>
      </c>
      <c r="I37" s="24" t="n">
        <f t="shared" si="1"/>
        <v>78.16655</v>
      </c>
      <c r="J37" s="24" t="n">
        <f t="shared" si="2"/>
        <v>71.0605</v>
      </c>
      <c r="K37" s="23" t="s">
        <v>148</v>
      </c>
      <c r="L37" s="23" t="s">
        <v>149</v>
      </c>
      <c r="M37" s="23" t="s">
        <v>148</v>
      </c>
      <c r="N37" s="23" t="s">
        <v>149</v>
      </c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ht="14.25" customHeight="1">
      <c r="A38" s="23"/>
      <c r="B38" s="23"/>
      <c r="C38" s="23" t="s">
        <v>152</v>
      </c>
      <c r="D38" s="23" t="n">
        <v>760.0</v>
      </c>
      <c r="E38" s="23" t="n">
        <v>30.4</v>
      </c>
      <c r="F38" s="23" t="n">
        <v>13.0</v>
      </c>
      <c r="G38" s="23" t="n">
        <v>37.76</v>
      </c>
      <c r="H38" s="23" t="n">
        <v>59.64</v>
      </c>
      <c r="I38" s="24" t="n">
        <f t="shared" si="1"/>
        <v>581.856</v>
      </c>
      <c r="J38" s="24" t="n">
        <f t="shared" si="2"/>
        <v>528.96</v>
      </c>
      <c r="K38" s="23" t="s">
        <v>157</v>
      </c>
      <c r="L38" s="23" t="s">
        <v>59</v>
      </c>
      <c r="M38" s="23" t="s">
        <v>151</v>
      </c>
      <c r="N38" s="23" t="s">
        <v>152</v>
      </c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 ht="14.25" customHeight="1">
      <c r="A39" s="23"/>
      <c r="B39" s="23"/>
      <c r="C39" s="23" t="s">
        <v>158</v>
      </c>
      <c r="D39" s="23" t="n">
        <v>229.0</v>
      </c>
      <c r="E39" s="23" t="n">
        <v>5.16</v>
      </c>
      <c r="F39" s="23" t="n">
        <v>6.0</v>
      </c>
      <c r="G39" s="23" t="n">
        <v>64.05</v>
      </c>
      <c r="H39" s="23" t="n">
        <v>64.0</v>
      </c>
      <c r="I39" s="24" t="n">
        <f t="shared" si="1"/>
        <v>238.90196</v>
      </c>
      <c r="J39" s="24" t="n">
        <f t="shared" si="2"/>
        <v>217.1836</v>
      </c>
      <c r="K39" s="23" t="s">
        <v>159</v>
      </c>
      <c r="L39" s="23" t="s">
        <v>160</v>
      </c>
      <c r="M39" s="23" t="s">
        <v>161</v>
      </c>
      <c r="N39" s="23" t="s">
        <v>158</v>
      </c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 ht="14.25" customHeight="1">
      <c r="A40" s="23"/>
      <c r="B40" s="23"/>
      <c r="C40" s="23" t="s">
        <v>160</v>
      </c>
      <c r="D40" s="23" t="n">
        <v>1324.0</v>
      </c>
      <c r="E40" s="23" t="n">
        <v>24.87</v>
      </c>
      <c r="F40" s="23" t="n">
        <v>16.0</v>
      </c>
      <c r="G40" s="23" t="n">
        <v>22.66</v>
      </c>
      <c r="H40" s="23" t="n">
        <v>43.84</v>
      </c>
      <c r="I40" s="24" t="n">
        <f t="shared" si="1"/>
        <v>1094.19332</v>
      </c>
      <c r="J40" s="24" t="n">
        <f t="shared" si="2"/>
        <v>994.7212</v>
      </c>
      <c r="K40" s="23" t="s">
        <v>159</v>
      </c>
      <c r="L40" s="23" t="s">
        <v>160</v>
      </c>
      <c r="M40" s="23" t="s">
        <v>162</v>
      </c>
      <c r="N40" s="23" t="s">
        <v>160</v>
      </c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 ht="14.25" customHeight="1">
      <c r="A41" s="23"/>
      <c r="B41" s="23"/>
      <c r="C41" s="23" t="s">
        <v>163</v>
      </c>
      <c r="D41" s="23" t="n">
        <v>89.0</v>
      </c>
      <c r="E41" s="23" t="n">
        <v>25.33</v>
      </c>
      <c r="F41" s="23" t="n">
        <v>4.0</v>
      </c>
      <c r="G41" s="23" t="n">
        <v>100.0</v>
      </c>
      <c r="H41" s="23" t="n">
        <v>100.0</v>
      </c>
      <c r="I41" s="24" t="n">
        <f t="shared" si="1"/>
        <v>73.10193</v>
      </c>
      <c r="J41" s="24" t="n">
        <f t="shared" si="2"/>
        <v>66.4563</v>
      </c>
      <c r="K41" s="23" t="s">
        <v>157</v>
      </c>
      <c r="L41" s="23" t="s">
        <v>59</v>
      </c>
      <c r="M41" s="23" t="s">
        <v>151</v>
      </c>
      <c r="N41" s="23" t="s">
        <v>152</v>
      </c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 ht="14.25" customHeight="1">
      <c r="A42" s="23"/>
      <c r="B42" s="23"/>
      <c r="C42" s="23" t="s">
        <v>149</v>
      </c>
      <c r="D42" s="23" t="n">
        <v>1011.0</v>
      </c>
      <c r="E42" s="23" t="n">
        <v>28.71</v>
      </c>
      <c r="F42" s="23" t="n">
        <v>17.0</v>
      </c>
      <c r="G42" s="23" t="n">
        <v>35.0</v>
      </c>
      <c r="H42" s="23" t="n">
        <v>56.14</v>
      </c>
      <c r="I42" s="24" t="n">
        <f t="shared" si="1"/>
        <v>792.81609</v>
      </c>
      <c r="J42" s="24" t="n">
        <f t="shared" si="2"/>
        <v>720.7419</v>
      </c>
      <c r="K42" s="23" t="s">
        <v>148</v>
      </c>
      <c r="L42" s="23" t="s">
        <v>149</v>
      </c>
      <c r="M42" s="23" t="s">
        <v>148</v>
      </c>
      <c r="N42" s="23" t="s">
        <v>149</v>
      </c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 ht="14.25" customHeight="1">
      <c r="A43" s="23"/>
      <c r="B43" s="23"/>
      <c r="C43" s="23" t="s">
        <v>164</v>
      </c>
      <c r="D43" s="23" t="n">
        <v>106.0</v>
      </c>
      <c r="E43" s="23" t="n">
        <v>15.61</v>
      </c>
      <c r="F43" s="23" t="n">
        <v>4.0</v>
      </c>
      <c r="G43" s="23" t="n">
        <v>75.79</v>
      </c>
      <c r="H43" s="23" t="n">
        <v>75.79</v>
      </c>
      <c r="I43" s="24" t="n">
        <f t="shared" si="1"/>
        <v>98.39874</v>
      </c>
      <c r="J43" s="24" t="n">
        <f t="shared" si="2"/>
        <v>89.4534</v>
      </c>
      <c r="K43" s="23" t="s">
        <v>148</v>
      </c>
      <c r="L43" s="23" t="s">
        <v>149</v>
      </c>
      <c r="M43" s="23" t="s">
        <v>148</v>
      </c>
      <c r="N43" s="23" t="s">
        <v>149</v>
      </c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 ht="14.25" customHeight="1">
      <c r="A44" s="23"/>
      <c r="B44" s="23"/>
      <c r="C44" s="23" t="s">
        <v>165</v>
      </c>
      <c r="D44" s="23" t="n">
        <v>219.0</v>
      </c>
      <c r="E44" s="23" t="n">
        <v>7.23</v>
      </c>
      <c r="F44" s="23" t="n">
        <v>6.0</v>
      </c>
      <c r="G44" s="23" t="n">
        <v>70.0</v>
      </c>
      <c r="H44" s="23" t="n">
        <v>100.0</v>
      </c>
      <c r="I44" s="24" t="n">
        <f t="shared" si="1"/>
        <v>223.48293</v>
      </c>
      <c r="J44" s="24" t="n">
        <f t="shared" si="2"/>
        <v>203.1663</v>
      </c>
      <c r="K44" s="23" t="s">
        <v>148</v>
      </c>
      <c r="L44" s="23" t="s">
        <v>149</v>
      </c>
      <c r="M44" s="23" t="s">
        <v>148</v>
      </c>
      <c r="N44" s="23" t="s">
        <v>149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 ht="14.25" customHeight="1">
      <c r="A45" s="23"/>
      <c r="B45" s="23"/>
      <c r="C45" s="23" t="s">
        <v>166</v>
      </c>
      <c r="D45" s="23" t="n">
        <v>85.0</v>
      </c>
      <c r="E45" s="23" t="n">
        <v>10.19</v>
      </c>
      <c r="F45" s="23" t="n">
        <v>3.0</v>
      </c>
      <c r="G45" s="23" t="n">
        <v>77.12</v>
      </c>
      <c r="H45" s="23" t="n">
        <v>77.12</v>
      </c>
      <c r="I45" s="24" t="n">
        <f t="shared" si="1"/>
        <v>83.97235</v>
      </c>
      <c r="J45" s="24" t="n">
        <f t="shared" si="2"/>
        <v>76.3385</v>
      </c>
      <c r="K45" s="23" t="s">
        <v>148</v>
      </c>
      <c r="L45" s="23" t="s">
        <v>149</v>
      </c>
      <c r="M45" s="23" t="s">
        <v>151</v>
      </c>
      <c r="N45" s="23" t="s">
        <v>152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 ht="14.25" customHeight="1">
      <c r="A46" s="23"/>
      <c r="B46" s="23"/>
      <c r="C46" s="23" t="s">
        <v>167</v>
      </c>
      <c r="D46" s="23" t="n">
        <v>112.0</v>
      </c>
      <c r="E46" s="23" t="n">
        <v>14.38</v>
      </c>
      <c r="F46" s="23" t="n">
        <v>4.0</v>
      </c>
      <c r="G46" s="23" t="n">
        <v>100.0</v>
      </c>
      <c r="H46" s="23" t="n">
        <v>100.0</v>
      </c>
      <c r="I46" s="24" t="n">
        <f t="shared" si="1"/>
        <v>105.48384</v>
      </c>
      <c r="J46" s="24" t="n">
        <f t="shared" si="2"/>
        <v>95.8944</v>
      </c>
      <c r="K46" s="23" t="s">
        <v>148</v>
      </c>
      <c r="L46" s="23" t="s">
        <v>149</v>
      </c>
      <c r="M46" s="23" t="s">
        <v>148</v>
      </c>
      <c r="N46" s="23" t="s">
        <v>149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 ht="14.25" customHeight="1">
      <c r="A47" s="23"/>
      <c r="B47" s="23"/>
      <c r="C47" s="23" t="s">
        <v>168</v>
      </c>
      <c r="D47" s="23" t="n">
        <v>41.0</v>
      </c>
      <c r="E47" s="23" t="n">
        <v>4.67</v>
      </c>
      <c r="F47" s="23" t="n">
        <v>2.0</v>
      </c>
      <c r="G47" s="23" t="n">
        <v>83.19</v>
      </c>
      <c r="H47" s="23" t="n">
        <v>100.0</v>
      </c>
      <c r="I47" s="24" t="n">
        <f t="shared" si="1"/>
        <v>42.99383</v>
      </c>
      <c r="J47" s="24" t="n">
        <f t="shared" si="2"/>
        <v>39.0853</v>
      </c>
      <c r="K47" s="23" t="s">
        <v>148</v>
      </c>
      <c r="L47" s="23" t="s">
        <v>149</v>
      </c>
      <c r="M47" s="23" t="s">
        <v>151</v>
      </c>
      <c r="N47" s="23" t="s">
        <v>152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 ht="14.25" customHeight="1">
      <c r="A48" s="23"/>
      <c r="B48" s="23"/>
      <c r="C48" s="23" t="s">
        <v>169</v>
      </c>
      <c r="D48" s="23" t="n">
        <v>79.0</v>
      </c>
      <c r="E48" s="23" t="n">
        <v>6.52</v>
      </c>
      <c r="F48" s="23" t="n">
        <v>3.0</v>
      </c>
      <c r="G48" s="23" t="n">
        <v>100.0</v>
      </c>
      <c r="H48" s="23" t="n">
        <v>100.0</v>
      </c>
      <c r="I48" s="24" t="n">
        <f t="shared" si="1"/>
        <v>81.23412</v>
      </c>
      <c r="J48" s="24" t="n">
        <f t="shared" si="2"/>
        <v>73.8492</v>
      </c>
      <c r="K48" s="23" t="s">
        <v>148</v>
      </c>
      <c r="L48" s="23" t="s">
        <v>149</v>
      </c>
      <c r="M48" s="23" t="s">
        <v>151</v>
      </c>
      <c r="N48" s="23" t="s">
        <v>152</v>
      </c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 ht="14.25" customHeight="1">
      <c r="A49" s="23" t="s">
        <v>130</v>
      </c>
      <c r="B49" s="23" t="s">
        <v>81</v>
      </c>
      <c r="C49" s="23" t="s">
        <v>170</v>
      </c>
      <c r="D49" s="23" t="n">
        <v>1627.0</v>
      </c>
      <c r="E49" s="23" t="n">
        <v>18.25</v>
      </c>
      <c r="F49" s="23" t="n">
        <v>13.0</v>
      </c>
      <c r="G49" s="23" t="n">
        <v>76.65</v>
      </c>
      <c r="H49" s="23" t="n">
        <v>79.36</v>
      </c>
      <c r="I49" s="24" t="n">
        <f t="shared" si="1"/>
        <v>1463.07975</v>
      </c>
      <c r="J49" s="24" t="n">
        <f t="shared" si="2"/>
        <v>1330.0725</v>
      </c>
      <c r="K49" s="23" t="s">
        <v>171</v>
      </c>
      <c r="L49" s="23" t="s">
        <v>170</v>
      </c>
      <c r="M49" s="23" t="s">
        <v>172</v>
      </c>
      <c r="N49" s="23" t="s">
        <v>170</v>
      </c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 ht="14.25" customHeight="1">
      <c r="A50" s="23"/>
      <c r="B50" s="23"/>
      <c r="C50" s="23" t="s">
        <v>173</v>
      </c>
      <c r="D50" s="23" t="n">
        <v>490.0</v>
      </c>
      <c r="E50" s="23" t="n">
        <v>9.62</v>
      </c>
      <c r="F50" s="23" t="n">
        <v>8.0</v>
      </c>
      <c r="G50" s="23" t="n">
        <v>0.0</v>
      </c>
      <c r="H50" s="23" t="n">
        <v>79.35</v>
      </c>
      <c r="I50" s="24" t="n">
        <f t="shared" si="1"/>
        <v>487.1482</v>
      </c>
      <c r="J50" s="24" t="n">
        <f t="shared" si="2"/>
        <v>442.862</v>
      </c>
      <c r="K50" s="23" t="s">
        <v>174</v>
      </c>
      <c r="L50" s="23" t="s">
        <v>175</v>
      </c>
      <c r="M50" s="23" t="s">
        <v>176</v>
      </c>
      <c r="N50" s="23" t="s">
        <v>175</v>
      </c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 ht="14.25" customHeight="1">
      <c r="A51" s="23"/>
      <c r="B51" s="23"/>
      <c r="C51" s="23" t="s">
        <v>177</v>
      </c>
      <c r="D51" s="25" t="n">
        <v>1106.0</v>
      </c>
      <c r="E51" s="23" t="n">
        <v>16.63</v>
      </c>
      <c r="F51" s="23" t="n">
        <v>26.0</v>
      </c>
      <c r="G51" s="23" t="n">
        <v>93.05</v>
      </c>
      <c r="H51" s="23" t="n">
        <v>100.0</v>
      </c>
      <c r="I51" s="24" t="n">
        <f t="shared" si="1"/>
        <v>1014.27942</v>
      </c>
      <c r="J51" s="24" t="n">
        <f t="shared" si="2"/>
        <v>922.0722</v>
      </c>
      <c r="K51" s="23" t="s">
        <v>178</v>
      </c>
      <c r="L51" s="23" t="s">
        <v>177</v>
      </c>
      <c r="M51" s="23" t="s">
        <v>179</v>
      </c>
      <c r="N51" s="23" t="s">
        <v>177</v>
      </c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 ht="14.25" customHeight="1">
      <c r="A52" s="23"/>
      <c r="B52" s="23"/>
      <c r="C52" s="23" t="s">
        <v>180</v>
      </c>
      <c r="D52" s="25" t="n">
        <v>1280.0</v>
      </c>
      <c r="E52" s="23" t="n">
        <v>11.76</v>
      </c>
      <c r="F52" s="23" t="n">
        <v>21.0</v>
      </c>
      <c r="G52" s="23" t="n">
        <v>100.0</v>
      </c>
      <c r="H52" s="23" t="n">
        <v>100.0</v>
      </c>
      <c r="I52" s="24" t="n">
        <f t="shared" si="1"/>
        <v>1242.4192</v>
      </c>
      <c r="J52" s="24" t="n">
        <f t="shared" si="2"/>
        <v>1129.472</v>
      </c>
      <c r="K52" s="23" t="s">
        <v>181</v>
      </c>
      <c r="L52" s="23" t="s">
        <v>180</v>
      </c>
      <c r="M52" s="23" t="s">
        <v>182</v>
      </c>
      <c r="N52" s="23" t="s">
        <v>180</v>
      </c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 ht="14.25" customHeight="1">
      <c r="A53" s="23" t="s">
        <v>130</v>
      </c>
      <c r="B53" s="23" t="s">
        <v>183</v>
      </c>
      <c r="C53" s="23" t="s">
        <v>184</v>
      </c>
      <c r="D53" s="23" t="n">
        <v>657.0</v>
      </c>
      <c r="E53" s="23" t="n">
        <v>13.69</v>
      </c>
      <c r="F53" s="23" t="n">
        <v>20.0</v>
      </c>
      <c r="G53" s="23" t="n">
        <v>66.23</v>
      </c>
      <c r="H53" s="23" t="s">
        <v>185</v>
      </c>
      <c r="I53" s="24" t="n">
        <f t="shared" si="1"/>
        <v>623.76237</v>
      </c>
      <c r="J53" s="24" t="n">
        <f t="shared" si="2"/>
        <v>567.0567</v>
      </c>
      <c r="K53" s="23" t="s">
        <v>157</v>
      </c>
      <c r="L53" s="23" t="s">
        <v>59</v>
      </c>
      <c r="M53" s="23" t="s">
        <v>186</v>
      </c>
      <c r="N53" s="23" t="s">
        <v>184</v>
      </c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 ht="14.25" customHeight="1">
      <c r="A54" s="23"/>
      <c r="B54" s="23"/>
      <c r="C54" s="23" t="s">
        <v>187</v>
      </c>
      <c r="D54" s="23" t="n">
        <v>38.0</v>
      </c>
      <c r="E54" s="23" t="n">
        <v>5.44</v>
      </c>
      <c r="F54" s="23" t="n">
        <v>2.0</v>
      </c>
      <c r="G54" s="23" t="n">
        <v>100.0</v>
      </c>
      <c r="H54" s="23" t="n">
        <v>100.0</v>
      </c>
      <c r="I54" s="24" t="n">
        <f t="shared" si="1"/>
        <v>39.52608</v>
      </c>
      <c r="J54" s="24" t="n">
        <f t="shared" si="2"/>
        <v>35.9328</v>
      </c>
      <c r="K54" s="23" t="s">
        <v>157</v>
      </c>
      <c r="L54" s="23" t="s">
        <v>59</v>
      </c>
      <c r="M54" s="23" t="s">
        <v>188</v>
      </c>
      <c r="N54" s="23" t="s">
        <v>189</v>
      </c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 ht="14.25" customHeight="1">
      <c r="A55" s="23"/>
      <c r="B55" s="23"/>
      <c r="C55" s="23" t="s">
        <v>190</v>
      </c>
      <c r="D55" s="23" t="n">
        <v>62.0</v>
      </c>
      <c r="E55" s="23" t="n">
        <v>5.59</v>
      </c>
      <c r="F55" s="23" t="n">
        <v>3.0</v>
      </c>
      <c r="G55" s="23" t="n">
        <v>51.79</v>
      </c>
      <c r="H55" s="23" t="n">
        <v>100.0</v>
      </c>
      <c r="I55" s="24" t="n">
        <f t="shared" si="1"/>
        <v>64.38762</v>
      </c>
      <c r="J55" s="24" t="n">
        <f t="shared" si="2"/>
        <v>58.5342</v>
      </c>
      <c r="K55" s="23" t="s">
        <v>157</v>
      </c>
      <c r="L55" s="23" t="s">
        <v>59</v>
      </c>
      <c r="M55" s="23" t="s">
        <v>191</v>
      </c>
      <c r="N55" s="23" t="s">
        <v>189</v>
      </c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 ht="14.25" customHeight="1">
      <c r="A56" s="23"/>
      <c r="B56" s="23"/>
      <c r="C56" s="23" t="s">
        <v>192</v>
      </c>
      <c r="D56" s="25" t="n">
        <v>2172.0</v>
      </c>
      <c r="E56" s="23" t="n">
        <v>28.22</v>
      </c>
      <c r="F56" s="23" t="n">
        <v>29.0</v>
      </c>
      <c r="G56" s="23" t="n">
        <v>43.04</v>
      </c>
      <c r="H56" s="23" t="s">
        <v>193</v>
      </c>
      <c r="I56" s="24" t="n">
        <f t="shared" si="1"/>
        <v>1714.96776</v>
      </c>
      <c r="J56" s="24" t="n">
        <f t="shared" si="2"/>
        <v>1559.0616</v>
      </c>
      <c r="K56" s="23" t="s">
        <v>194</v>
      </c>
      <c r="L56" s="23" t="s">
        <v>192</v>
      </c>
      <c r="M56" s="23" t="s">
        <v>195</v>
      </c>
      <c r="N56" s="23" t="s">
        <v>192</v>
      </c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 ht="14.25" customHeight="1">
      <c r="A57" s="23"/>
      <c r="B57" s="23"/>
      <c r="C57" s="23" t="s">
        <v>196</v>
      </c>
      <c r="D57" s="23" t="n">
        <v>54.0</v>
      </c>
      <c r="E57" s="23" t="n">
        <v>6.68</v>
      </c>
      <c r="F57" s="23" t="n">
        <v>2.0</v>
      </c>
      <c r="G57" s="23" t="n">
        <v>89.59</v>
      </c>
      <c r="H57" s="23" t="n">
        <v>100.0</v>
      </c>
      <c r="I57" s="24" t="n">
        <f t="shared" si="1"/>
        <v>55.43208</v>
      </c>
      <c r="J57" s="24" t="n">
        <f t="shared" si="2"/>
        <v>50.3928</v>
      </c>
      <c r="K57" s="23" t="s">
        <v>157</v>
      </c>
      <c r="L57" s="23" t="s">
        <v>59</v>
      </c>
      <c r="M57" s="23" t="s">
        <v>188</v>
      </c>
      <c r="N57" s="23" t="s">
        <v>189</v>
      </c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 ht="14.25" customHeight="1">
      <c r="A58" s="23"/>
      <c r="B58" s="23"/>
      <c r="C58" s="23" t="s">
        <v>197</v>
      </c>
      <c r="D58" s="23" t="n">
        <v>94.0</v>
      </c>
      <c r="E58" s="23" t="n">
        <v>8.81</v>
      </c>
      <c r="F58" s="23" t="n">
        <v>3.0</v>
      </c>
      <c r="G58" s="23" t="n">
        <v>100.0</v>
      </c>
      <c r="H58" s="23" t="n">
        <v>100.0</v>
      </c>
      <c r="I58" s="24" t="n">
        <f t="shared" si="1"/>
        <v>94.29046</v>
      </c>
      <c r="J58" s="24" t="n">
        <f t="shared" si="2"/>
        <v>85.7186</v>
      </c>
      <c r="K58" s="23" t="s">
        <v>157</v>
      </c>
      <c r="L58" s="23" t="s">
        <v>59</v>
      </c>
      <c r="M58" s="23" t="s">
        <v>198</v>
      </c>
      <c r="N58" s="23" t="s">
        <v>184</v>
      </c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 ht="14.25" customHeight="1">
      <c r="A59" s="23"/>
      <c r="B59" s="23"/>
      <c r="C59" s="23" t="s">
        <v>199</v>
      </c>
      <c r="D59" s="23" t="n">
        <v>105.0</v>
      </c>
      <c r="E59" s="23" t="n">
        <v>7.14</v>
      </c>
      <c r="F59" s="23" t="n">
        <v>4.0</v>
      </c>
      <c r="G59" s="23" t="n">
        <v>63.43</v>
      </c>
      <c r="H59" s="23" t="n">
        <v>100.0</v>
      </c>
      <c r="I59" s="24" t="n">
        <f t="shared" si="1"/>
        <v>107.2533</v>
      </c>
      <c r="J59" s="24" t="n">
        <f t="shared" si="2"/>
        <v>97.503</v>
      </c>
      <c r="K59" s="23" t="s">
        <v>157</v>
      </c>
      <c r="L59" s="23" t="s">
        <v>59</v>
      </c>
      <c r="M59" s="23" t="s">
        <v>200</v>
      </c>
      <c r="N59" s="23" t="s">
        <v>199</v>
      </c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 ht="14.25" customHeight="1">
      <c r="A60" s="23"/>
      <c r="B60" s="23"/>
      <c r="C60" s="23" t="s">
        <v>201</v>
      </c>
      <c r="D60" s="23" t="n">
        <v>101.0</v>
      </c>
      <c r="E60" s="23" t="n">
        <v>11.66</v>
      </c>
      <c r="F60" s="23" t="n">
        <v>3.0</v>
      </c>
      <c r="G60" s="23" t="n">
        <v>96.85</v>
      </c>
      <c r="H60" s="23" t="s">
        <v>202</v>
      </c>
      <c r="I60" s="24" t="n">
        <f t="shared" si="1"/>
        <v>98.14574</v>
      </c>
      <c r="J60" s="24" t="n">
        <f t="shared" si="2"/>
        <v>89.2234</v>
      </c>
      <c r="K60" s="23" t="s">
        <v>157</v>
      </c>
      <c r="L60" s="23" t="s">
        <v>59</v>
      </c>
      <c r="M60" s="23" t="s">
        <v>188</v>
      </c>
      <c r="N60" s="23" t="s">
        <v>189</v>
      </c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 ht="14.25" customHeight="1">
      <c r="A61" s="23"/>
      <c r="B61" s="23"/>
      <c r="C61" s="23" t="s">
        <v>59</v>
      </c>
      <c r="D61" s="25" t="n">
        <v>3322.0</v>
      </c>
      <c r="E61" s="23" t="n">
        <v>33.49</v>
      </c>
      <c r="F61" s="23" t="n">
        <v>44.0</v>
      </c>
      <c r="G61" s="23" t="n">
        <v>32.87</v>
      </c>
      <c r="H61" s="23" t="s">
        <v>203</v>
      </c>
      <c r="I61" s="24" t="n">
        <f t="shared" si="1"/>
        <v>2430.40842</v>
      </c>
      <c r="J61" s="24" t="n">
        <f t="shared" si="2"/>
        <v>2209.4622</v>
      </c>
      <c r="K61" s="23" t="s">
        <v>204</v>
      </c>
      <c r="L61" s="23" t="s">
        <v>59</v>
      </c>
      <c r="M61" s="23" t="s">
        <v>188</v>
      </c>
      <c r="N61" s="23" t="s">
        <v>189</v>
      </c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 ht="14.25" customHeight="1">
      <c r="A62" s="23"/>
      <c r="B62" s="23"/>
      <c r="C62" s="23" t="s">
        <v>205</v>
      </c>
      <c r="D62" s="23" t="n">
        <v>430.0</v>
      </c>
      <c r="E62" s="23" t="n">
        <v>19.38</v>
      </c>
      <c r="F62" s="23" t="n">
        <v>7.0</v>
      </c>
      <c r="G62" s="23" t="n">
        <v>29.25</v>
      </c>
      <c r="H62" s="23" t="s">
        <v>206</v>
      </c>
      <c r="I62" s="24" t="n">
        <f t="shared" si="1"/>
        <v>381.3326</v>
      </c>
      <c r="J62" s="24" t="n">
        <f t="shared" si="2"/>
        <v>346.666</v>
      </c>
      <c r="K62" s="23" t="s">
        <v>157</v>
      </c>
      <c r="L62" s="23" t="s">
        <v>59</v>
      </c>
      <c r="M62" s="23" t="s">
        <v>188</v>
      </c>
      <c r="N62" s="23" t="s">
        <v>189</v>
      </c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 ht="14.25" customHeight="1">
      <c r="A63" s="23"/>
      <c r="B63" s="23"/>
      <c r="C63" s="23"/>
      <c r="D63" s="23"/>
      <c r="E63" s="23"/>
      <c r="F63" s="23"/>
      <c r="G63" s="23"/>
      <c r="H63" s="23"/>
      <c r="I63" s="24" t="n">
        <f t="shared" si="1"/>
        <v>0</v>
      </c>
      <c r="J63" s="24" t="n">
        <f t="shared" si="2"/>
        <v>0</v>
      </c>
      <c r="K63" s="23"/>
      <c r="L63" s="23"/>
      <c r="M63" s="23"/>
      <c r="N63" s="23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 ht="14.25" customHeight="1">
      <c r="A64" s="23"/>
      <c r="B64" s="23"/>
      <c r="C64" s="23"/>
      <c r="D64" s="23"/>
      <c r="E64" s="23"/>
      <c r="F64" s="23"/>
      <c r="G64" s="23"/>
      <c r="H64" s="23"/>
      <c r="I64" s="24" t="n">
        <f t="shared" si="1"/>
        <v>0</v>
      </c>
      <c r="J64" s="24" t="n">
        <f t="shared" si="2"/>
        <v>0</v>
      </c>
      <c r="K64" s="23"/>
      <c r="L64" s="23"/>
      <c r="M64" s="23"/>
      <c r="N64" s="23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 ht="14.25" customHeight="1">
      <c r="A65" s="23"/>
      <c r="B65" s="23"/>
      <c r="C65" s="23"/>
      <c r="D65" s="23"/>
      <c r="E65" s="23"/>
      <c r="F65" s="23"/>
      <c r="G65" s="23"/>
      <c r="H65" s="23"/>
      <c r="I65" s="24" t="n">
        <f t="shared" si="1"/>
        <v>0</v>
      </c>
      <c r="J65" s="24" t="n">
        <f t="shared" si="2"/>
        <v>0</v>
      </c>
      <c r="K65" s="23"/>
      <c r="L65" s="23"/>
      <c r="M65" s="23"/>
      <c r="N65" s="23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 ht="14.25" customHeight="1">
      <c r="A66" s="23"/>
      <c r="B66" s="23"/>
      <c r="C66" s="23"/>
      <c r="D66" s="23"/>
      <c r="E66" s="23"/>
      <c r="F66" s="23"/>
      <c r="G66" s="23"/>
      <c r="H66" s="23"/>
      <c r="I66" s="24" t="n">
        <f t="shared" si="1"/>
        <v>0</v>
      </c>
      <c r="J66" s="24" t="n">
        <f t="shared" si="2"/>
        <v>0</v>
      </c>
      <c r="K66" s="23"/>
      <c r="L66" s="23"/>
      <c r="M66" s="23"/>
      <c r="N66" s="23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 ht="14.25" customHeight="1">
      <c r="A67" s="23"/>
      <c r="B67" s="23"/>
      <c r="C67" s="23"/>
      <c r="D67" s="23"/>
      <c r="E67" s="23"/>
      <c r="F67" s="23"/>
      <c r="G67" s="23"/>
      <c r="H67" s="23"/>
      <c r="I67" s="24" t="n">
        <f t="shared" si="1"/>
        <v>0</v>
      </c>
      <c r="J67" s="24" t="n">
        <f t="shared" si="2"/>
        <v>0</v>
      </c>
      <c r="K67" s="23"/>
      <c r="L67" s="23"/>
      <c r="M67" s="23"/>
      <c r="N67" s="23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 ht="14.25" customHeight="1">
      <c r="A68" s="23"/>
      <c r="B68" s="23"/>
      <c r="C68" s="23"/>
      <c r="D68" s="23"/>
      <c r="E68" s="23"/>
      <c r="F68" s="23"/>
      <c r="G68" s="23"/>
      <c r="H68" s="23"/>
      <c r="I68" s="24" t="n">
        <f t="shared" si="1"/>
        <v>0</v>
      </c>
      <c r="J68" s="24" t="n">
        <f t="shared" si="2"/>
        <v>0</v>
      </c>
      <c r="K68" s="23"/>
      <c r="L68" s="23"/>
      <c r="M68" s="23"/>
      <c r="N68" s="23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 ht="14.25" customHeight="1">
      <c r="A69" s="23"/>
      <c r="B69" s="23"/>
      <c r="C69" s="23"/>
      <c r="D69" s="23"/>
      <c r="E69" s="23"/>
      <c r="F69" s="23"/>
      <c r="G69" s="23"/>
      <c r="H69" s="23"/>
      <c r="I69" s="24" t="n">
        <f t="shared" si="1"/>
        <v>0</v>
      </c>
      <c r="J69" s="24" t="n">
        <f t="shared" si="2"/>
        <v>0</v>
      </c>
      <c r="K69" s="23"/>
      <c r="L69" s="23"/>
      <c r="M69" s="23"/>
      <c r="N69" s="23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 ht="14.25" customHeight="1">
      <c r="A70" s="23"/>
      <c r="B70" s="23"/>
      <c r="C70" s="23"/>
      <c r="D70" s="23"/>
      <c r="E70" s="23"/>
      <c r="F70" s="23"/>
      <c r="G70" s="23"/>
      <c r="H70" s="23"/>
      <c r="I70" s="24" t="n">
        <f t="shared" si="1"/>
        <v>0</v>
      </c>
      <c r="J70" s="24" t="n">
        <f t="shared" si="2"/>
        <v>0</v>
      </c>
      <c r="K70" s="23"/>
      <c r="L70" s="23"/>
      <c r="M70" s="23"/>
      <c r="N70" s="23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 ht="14.25" customHeight="1">
      <c r="A71" s="23"/>
      <c r="B71" s="23"/>
      <c r="C71" s="23"/>
      <c r="D71" s="23"/>
      <c r="E71" s="23"/>
      <c r="F71" s="23"/>
      <c r="G71" s="23"/>
      <c r="H71" s="23"/>
      <c r="I71" s="24" t="n">
        <f t="shared" si="1"/>
        <v>0</v>
      </c>
      <c r="J71" s="24" t="n">
        <f t="shared" si="2"/>
        <v>0</v>
      </c>
      <c r="K71" s="23"/>
      <c r="L71" s="23"/>
      <c r="M71" s="23"/>
      <c r="N71" s="23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 ht="14.25" customHeight="1">
      <c r="A72" s="23"/>
      <c r="B72" s="23"/>
      <c r="C72" s="23"/>
      <c r="D72" s="23"/>
      <c r="E72" s="23"/>
      <c r="F72" s="23"/>
      <c r="G72" s="23"/>
      <c r="H72" s="23"/>
      <c r="I72" s="24" t="n">
        <f t="shared" si="1"/>
        <v>0</v>
      </c>
      <c r="J72" s="24" t="n">
        <f t="shared" si="2"/>
        <v>0</v>
      </c>
      <c r="K72" s="23"/>
      <c r="L72" s="23"/>
      <c r="M72" s="23"/>
      <c r="N72" s="23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 ht="14.25" customHeight="1">
      <c r="A73" s="23"/>
      <c r="B73" s="23"/>
      <c r="C73" s="23"/>
      <c r="D73" s="23"/>
      <c r="E73" s="23"/>
      <c r="F73" s="23"/>
      <c r="G73" s="23"/>
      <c r="H73" s="23"/>
      <c r="I73" s="24" t="n">
        <f t="shared" si="1"/>
        <v>0</v>
      </c>
      <c r="J73" s="24" t="n">
        <f t="shared" si="2"/>
        <v>0</v>
      </c>
      <c r="K73" s="23"/>
      <c r="L73" s="23"/>
      <c r="M73" s="23"/>
      <c r="N73" s="23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 ht="14.25" customHeight="1">
      <c r="A74" s="23"/>
      <c r="B74" s="23"/>
      <c r="C74" s="23"/>
      <c r="D74" s="23"/>
      <c r="E74" s="23"/>
      <c r="F74" s="23"/>
      <c r="G74" s="23"/>
      <c r="H74" s="23"/>
      <c r="I74" s="24" t="n">
        <f t="shared" si="1"/>
        <v>0</v>
      </c>
      <c r="J74" s="24" t="n">
        <f t="shared" si="2"/>
        <v>0</v>
      </c>
      <c r="K74" s="23"/>
      <c r="L74" s="23"/>
      <c r="M74" s="23"/>
      <c r="N74" s="23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 ht="14.25" customHeight="1">
      <c r="A75" s="23"/>
      <c r="B75" s="23"/>
      <c r="C75" s="23"/>
      <c r="D75" s="23"/>
      <c r="E75" s="23"/>
      <c r="F75" s="23"/>
      <c r="G75" s="23"/>
      <c r="H75" s="23"/>
      <c r="I75" s="24" t="n">
        <f t="shared" si="1"/>
        <v>0</v>
      </c>
      <c r="J75" s="24" t="n">
        <f t="shared" si="2"/>
        <v>0</v>
      </c>
      <c r="K75" s="23"/>
      <c r="L75" s="23"/>
      <c r="M75" s="23"/>
      <c r="N75" s="23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 ht="14.25" customHeight="1">
      <c r="A76" s="23"/>
      <c r="B76" s="23"/>
      <c r="C76" s="23"/>
      <c r="D76" s="23"/>
      <c r="E76" s="23"/>
      <c r="F76" s="23"/>
      <c r="G76" s="23"/>
      <c r="H76" s="23"/>
      <c r="I76" s="24" t="n">
        <f t="shared" si="1"/>
        <v>0</v>
      </c>
      <c r="J76" s="24" t="n">
        <f t="shared" si="2"/>
        <v>0</v>
      </c>
      <c r="K76" s="23"/>
      <c r="L76" s="23"/>
      <c r="M76" s="23"/>
      <c r="N76" s="23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 ht="14.25" customHeight="1">
      <c r="A77" s="23"/>
      <c r="B77" s="23"/>
      <c r="C77" s="23"/>
      <c r="D77" s="23"/>
      <c r="E77" s="23"/>
      <c r="F77" s="23"/>
      <c r="G77" s="23"/>
      <c r="H77" s="23"/>
      <c r="I77" s="24" t="n">
        <f t="shared" si="1"/>
        <v>0</v>
      </c>
      <c r="J77" s="24" t="n">
        <f t="shared" si="2"/>
        <v>0</v>
      </c>
      <c r="K77" s="23"/>
      <c r="L77" s="23"/>
      <c r="M77" s="23"/>
      <c r="N77" s="23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 ht="14.25" customHeight="1">
      <c r="A78" s="23"/>
      <c r="B78" s="23"/>
      <c r="C78" s="23"/>
      <c r="D78" s="23"/>
      <c r="E78" s="23"/>
      <c r="F78" s="23"/>
      <c r="G78" s="23"/>
      <c r="H78" s="23"/>
      <c r="I78" s="24" t="n">
        <f t="shared" si="1"/>
        <v>0</v>
      </c>
      <c r="J78" s="24" t="n">
        <f t="shared" si="2"/>
        <v>0</v>
      </c>
      <c r="K78" s="23"/>
      <c r="L78" s="23"/>
      <c r="M78" s="23"/>
      <c r="N78" s="23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 ht="14.25" customHeight="1">
      <c r="A79" s="23"/>
      <c r="B79" s="23"/>
      <c r="C79" s="23"/>
      <c r="D79" s="23"/>
      <c r="E79" s="23"/>
      <c r="F79" s="23"/>
      <c r="G79" s="23"/>
      <c r="H79" s="23"/>
      <c r="I79" s="24" t="n">
        <f t="shared" si="1"/>
        <v>0</v>
      </c>
      <c r="J79" s="24" t="n">
        <f t="shared" si="2"/>
        <v>0</v>
      </c>
      <c r="K79" s="23"/>
      <c r="L79" s="23"/>
      <c r="M79" s="23"/>
      <c r="N79" s="23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 ht="14.25" customHeight="1">
      <c r="A80" s="23"/>
      <c r="B80" s="23"/>
      <c r="C80" s="23"/>
      <c r="D80" s="23"/>
      <c r="E80" s="23"/>
      <c r="F80" s="23"/>
      <c r="G80" s="23"/>
      <c r="H80" s="23"/>
      <c r="I80" s="24" t="n">
        <f t="shared" si="1"/>
        <v>0</v>
      </c>
      <c r="J80" s="24" t="n">
        <f t="shared" si="2"/>
        <v>0</v>
      </c>
      <c r="K80" s="23"/>
      <c r="L80" s="23"/>
      <c r="M80" s="23"/>
      <c r="N80" s="23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 ht="14.25" customHeight="1">
      <c r="A81" s="23"/>
      <c r="B81" s="23"/>
      <c r="C81" s="23"/>
      <c r="D81" s="23"/>
      <c r="E81" s="23"/>
      <c r="F81" s="23"/>
      <c r="G81" s="23"/>
      <c r="H81" s="23"/>
      <c r="I81" s="24" t="n">
        <f t="shared" si="1"/>
        <v>0</v>
      </c>
      <c r="J81" s="24" t="n">
        <f t="shared" si="2"/>
        <v>0</v>
      </c>
      <c r="K81" s="23"/>
      <c r="L81" s="23"/>
      <c r="M81" s="23"/>
      <c r="N81" s="23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 ht="14.25" customHeight="1">
      <c r="A82" s="23"/>
      <c r="B82" s="23"/>
      <c r="C82" s="23"/>
      <c r="D82" s="23"/>
      <c r="E82" s="23"/>
      <c r="F82" s="23"/>
      <c r="G82" s="23"/>
      <c r="H82" s="23"/>
      <c r="I82" s="24" t="n">
        <f t="shared" si="1"/>
        <v>0</v>
      </c>
      <c r="J82" s="24" t="n">
        <f t="shared" si="2"/>
        <v>0</v>
      </c>
      <c r="K82" s="23"/>
      <c r="L82" s="23"/>
      <c r="M82" s="23"/>
      <c r="N82" s="23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 ht="14.25" customHeight="1">
      <c r="A83" s="23"/>
      <c r="B83" s="23"/>
      <c r="C83" s="23"/>
      <c r="D83" s="23"/>
      <c r="E83" s="23"/>
      <c r="F83" s="23"/>
      <c r="G83" s="23"/>
      <c r="H83" s="23"/>
      <c r="I83" s="24" t="n">
        <f t="shared" si="1"/>
        <v>0</v>
      </c>
      <c r="J83" s="24" t="n">
        <f t="shared" si="2"/>
        <v>0</v>
      </c>
      <c r="K83" s="23"/>
      <c r="L83" s="23"/>
      <c r="M83" s="23"/>
      <c r="N83" s="23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 ht="14.25" customHeight="1">
      <c r="A84" s="23"/>
      <c r="B84" s="23"/>
      <c r="C84" s="23"/>
      <c r="D84" s="23"/>
      <c r="E84" s="23"/>
      <c r="F84" s="23"/>
      <c r="G84" s="23"/>
      <c r="H84" s="23"/>
      <c r="I84" s="24" t="n">
        <f t="shared" si="1"/>
        <v>0</v>
      </c>
      <c r="J84" s="24" t="n">
        <f t="shared" si="2"/>
        <v>0</v>
      </c>
      <c r="K84" s="23"/>
      <c r="L84" s="23"/>
      <c r="M84" s="23"/>
      <c r="N84" s="23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 ht="14.25" customHeight="1">
      <c r="A85" s="23"/>
      <c r="B85" s="23"/>
      <c r="C85" s="23"/>
      <c r="D85" s="23"/>
      <c r="E85" s="23"/>
      <c r="F85" s="23"/>
      <c r="G85" s="23"/>
      <c r="H85" s="23"/>
      <c r="I85" s="24" t="n">
        <f t="shared" si="1"/>
        <v>0</v>
      </c>
      <c r="J85" s="24" t="n">
        <f t="shared" si="2"/>
        <v>0</v>
      </c>
      <c r="K85" s="23"/>
      <c r="L85" s="23"/>
      <c r="M85" s="23"/>
      <c r="N85" s="23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 ht="14.25" customHeight="1">
      <c r="A86" s="23"/>
      <c r="B86" s="23"/>
      <c r="C86" s="23"/>
      <c r="D86" s="23"/>
      <c r="E86" s="23"/>
      <c r="F86" s="23"/>
      <c r="G86" s="23"/>
      <c r="H86" s="23"/>
      <c r="I86" s="24" t="n">
        <f t="shared" si="1"/>
        <v>0</v>
      </c>
      <c r="J86" s="24" t="n">
        <f t="shared" si="2"/>
        <v>0</v>
      </c>
      <c r="K86" s="23"/>
      <c r="L86" s="23"/>
      <c r="M86" s="23"/>
      <c r="N86" s="23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 ht="14.25" customHeight="1">
      <c r="A87" s="23"/>
      <c r="B87" s="23"/>
      <c r="C87" s="23"/>
      <c r="D87" s="23"/>
      <c r="E87" s="23"/>
      <c r="F87" s="23"/>
      <c r="G87" s="23"/>
      <c r="H87" s="23"/>
      <c r="I87" s="24" t="n">
        <f t="shared" si="1"/>
        <v>0</v>
      </c>
      <c r="J87" s="24" t="n">
        <f t="shared" si="2"/>
        <v>0</v>
      </c>
      <c r="K87" s="23"/>
      <c r="L87" s="23"/>
      <c r="M87" s="23"/>
      <c r="N87" s="23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 ht="14.25" customHeight="1">
      <c r="A88" s="23"/>
      <c r="B88" s="23"/>
      <c r="C88" s="23"/>
      <c r="D88" s="23"/>
      <c r="E88" s="23"/>
      <c r="F88" s="23"/>
      <c r="G88" s="23"/>
      <c r="H88" s="23"/>
      <c r="I88" s="24" t="n">
        <f t="shared" si="1"/>
        <v>0</v>
      </c>
      <c r="J88" s="24" t="n">
        <f t="shared" si="2"/>
        <v>0</v>
      </c>
      <c r="K88" s="23"/>
      <c r="L88" s="23"/>
      <c r="M88" s="23"/>
      <c r="N88" s="23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 ht="14.25" customHeight="1">
      <c r="A89" s="23"/>
      <c r="B89" s="23"/>
      <c r="C89" s="23"/>
      <c r="D89" s="23"/>
      <c r="E89" s="23"/>
      <c r="F89" s="23"/>
      <c r="G89" s="23"/>
      <c r="H89" s="23"/>
      <c r="I89" s="24" t="n">
        <f t="shared" si="1"/>
        <v>0</v>
      </c>
      <c r="J89" s="24" t="n">
        <f t="shared" si="2"/>
        <v>0</v>
      </c>
      <c r="K89" s="23"/>
      <c r="L89" s="23"/>
      <c r="M89" s="23"/>
      <c r="N89" s="23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 ht="14.25" customHeight="1">
      <c r="A90" s="23"/>
      <c r="B90" s="23"/>
      <c r="C90" s="23"/>
      <c r="D90" s="23"/>
      <c r="E90" s="23"/>
      <c r="F90" s="23"/>
      <c r="G90" s="23"/>
      <c r="H90" s="23"/>
      <c r="I90" s="24" t="n">
        <f t="shared" si="1"/>
        <v>0</v>
      </c>
      <c r="J90" s="24" t="n">
        <f t="shared" si="2"/>
        <v>0</v>
      </c>
      <c r="K90" s="23"/>
      <c r="L90" s="23"/>
      <c r="M90" s="23"/>
      <c r="N90" s="23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 ht="14.25" customHeight="1">
      <c r="A91" s="23"/>
      <c r="B91" s="23"/>
      <c r="C91" s="23"/>
      <c r="D91" s="23"/>
      <c r="E91" s="23"/>
      <c r="F91" s="23"/>
      <c r="G91" s="23"/>
      <c r="H91" s="23"/>
      <c r="I91" s="24" t="n">
        <f t="shared" si="1"/>
        <v>0</v>
      </c>
      <c r="J91" s="24" t="n">
        <f t="shared" si="2"/>
        <v>0</v>
      </c>
      <c r="K91" s="23"/>
      <c r="L91" s="23"/>
      <c r="M91" s="23"/>
      <c r="N91" s="23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 ht="14.25" customHeight="1">
      <c r="A92" s="23"/>
      <c r="B92" s="23"/>
      <c r="C92" s="23"/>
      <c r="D92" s="23"/>
      <c r="E92" s="23"/>
      <c r="F92" s="23"/>
      <c r="G92" s="23"/>
      <c r="H92" s="23"/>
      <c r="I92" s="24" t="n">
        <f t="shared" si="1"/>
        <v>0</v>
      </c>
      <c r="J92" s="24" t="n">
        <f t="shared" si="2"/>
        <v>0</v>
      </c>
      <c r="K92" s="23"/>
      <c r="L92" s="23"/>
      <c r="M92" s="23"/>
      <c r="N92" s="23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 ht="14.25" customHeight="1">
      <c r="A93" s="23"/>
      <c r="B93" s="23"/>
      <c r="C93" s="23"/>
      <c r="D93" s="23"/>
      <c r="E93" s="23"/>
      <c r="F93" s="23"/>
      <c r="G93" s="23"/>
      <c r="H93" s="23"/>
      <c r="I93" s="24" t="n">
        <f t="shared" si="1"/>
        <v>0</v>
      </c>
      <c r="J93" s="24" t="n">
        <f t="shared" si="2"/>
        <v>0</v>
      </c>
      <c r="K93" s="23"/>
      <c r="L93" s="23"/>
      <c r="M93" s="23"/>
      <c r="N93" s="23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 ht="14.25" customHeight="1">
      <c r="A94" s="23"/>
      <c r="B94" s="23"/>
      <c r="C94" s="23"/>
      <c r="D94" s="23"/>
      <c r="E94" s="23"/>
      <c r="F94" s="23"/>
      <c r="G94" s="23"/>
      <c r="H94" s="23"/>
      <c r="I94" s="24" t="n">
        <f t="shared" si="1"/>
        <v>0</v>
      </c>
      <c r="J94" s="24" t="n">
        <f t="shared" si="2"/>
        <v>0</v>
      </c>
      <c r="K94" s="23"/>
      <c r="L94" s="23"/>
      <c r="M94" s="23"/>
      <c r="N94" s="23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 ht="14.25" customHeight="1">
      <c r="A95" s="23"/>
      <c r="B95" s="23"/>
      <c r="C95" s="23"/>
      <c r="D95" s="23"/>
      <c r="E95" s="23"/>
      <c r="F95" s="23"/>
      <c r="G95" s="23"/>
      <c r="H95" s="23"/>
      <c r="I95" s="24" t="n">
        <f t="shared" si="1"/>
        <v>0</v>
      </c>
      <c r="J95" s="24" t="n">
        <f t="shared" si="2"/>
        <v>0</v>
      </c>
      <c r="K95" s="23"/>
      <c r="L95" s="23"/>
      <c r="M95" s="23"/>
      <c r="N95" s="23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 ht="14.25" customHeight="1">
      <c r="A96" s="23"/>
      <c r="B96" s="23"/>
      <c r="C96" s="23"/>
      <c r="D96" s="23"/>
      <c r="E96" s="23"/>
      <c r="F96" s="23"/>
      <c r="G96" s="23"/>
      <c r="H96" s="23"/>
      <c r="I96" s="24" t="n">
        <f t="shared" si="1"/>
        <v>0</v>
      </c>
      <c r="J96" s="24" t="n">
        <f t="shared" si="2"/>
        <v>0</v>
      </c>
      <c r="K96" s="23"/>
      <c r="L96" s="23"/>
      <c r="M96" s="23"/>
      <c r="N96" s="23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 ht="14.25" customHeight="1">
      <c r="A97" s="23"/>
      <c r="B97" s="23"/>
      <c r="C97" s="23"/>
      <c r="D97" s="23"/>
      <c r="E97" s="23"/>
      <c r="F97" s="23"/>
      <c r="G97" s="23"/>
      <c r="H97" s="23"/>
      <c r="I97" s="24" t="n">
        <f t="shared" si="1"/>
        <v>0</v>
      </c>
      <c r="J97" s="24" t="n">
        <f t="shared" si="2"/>
        <v>0</v>
      </c>
      <c r="K97" s="23"/>
      <c r="L97" s="23"/>
      <c r="M97" s="23"/>
      <c r="N97" s="23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 ht="14.25" customHeight="1">
      <c r="A98" s="23"/>
      <c r="B98" s="23"/>
      <c r="C98" s="23"/>
      <c r="D98" s="23"/>
      <c r="E98" s="23"/>
      <c r="F98" s="23"/>
      <c r="G98" s="23"/>
      <c r="H98" s="23"/>
      <c r="I98" s="24" t="n">
        <f t="shared" si="1"/>
        <v>0</v>
      </c>
      <c r="J98" s="24" t="n">
        <f t="shared" si="2"/>
        <v>0</v>
      </c>
      <c r="K98" s="23"/>
      <c r="L98" s="23"/>
      <c r="M98" s="23"/>
      <c r="N98" s="23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 ht="14.25" customHeight="1">
      <c r="A99" s="23"/>
      <c r="B99" s="23"/>
      <c r="C99" s="23"/>
      <c r="D99" s="23"/>
      <c r="E99" s="23"/>
      <c r="F99" s="23"/>
      <c r="G99" s="23"/>
      <c r="H99" s="23"/>
      <c r="I99" s="24" t="n">
        <f t="shared" si="1"/>
        <v>0</v>
      </c>
      <c r="J99" s="24" t="n">
        <f t="shared" si="2"/>
        <v>0</v>
      </c>
      <c r="K99" s="23"/>
      <c r="L99" s="23"/>
      <c r="M99" s="23"/>
      <c r="N99" s="23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 ht="14.25" customHeight="1">
      <c r="A100" s="23"/>
      <c r="B100" s="23"/>
      <c r="C100" s="23"/>
      <c r="D100" s="23"/>
      <c r="E100" s="23"/>
      <c r="F100" s="23"/>
      <c r="G100" s="23"/>
      <c r="H100" s="23"/>
      <c r="I100" s="24" t="n">
        <f t="shared" si="1"/>
        <v>0</v>
      </c>
      <c r="J100" s="24" t="n">
        <f t="shared" si="2"/>
        <v>0</v>
      </c>
      <c r="K100" s="23"/>
      <c r="L100" s="23"/>
      <c r="M100" s="23"/>
      <c r="N100" s="23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 ht="14.25" customHeight="1">
      <c r="A101" s="23"/>
      <c r="B101" s="23"/>
      <c r="C101" s="23"/>
      <c r="D101" s="23"/>
      <c r="E101" s="23"/>
      <c r="F101" s="23"/>
      <c r="G101" s="23"/>
      <c r="H101" s="23"/>
      <c r="I101" s="24" t="n">
        <f t="shared" si="1"/>
        <v>0</v>
      </c>
      <c r="J101" s="24" t="n">
        <f t="shared" si="2"/>
        <v>0</v>
      </c>
      <c r="K101" s="23"/>
      <c r="L101" s="23"/>
      <c r="M101" s="23"/>
      <c r="N101" s="23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  <row r="102" ht="14.25" customHeight="1">
      <c r="A102" s="23"/>
      <c r="B102" s="23"/>
      <c r="C102" s="23"/>
      <c r="D102" s="23"/>
      <c r="E102" s="23"/>
      <c r="F102" s="23"/>
      <c r="G102" s="23"/>
      <c r="H102" s="23"/>
      <c r="I102" s="24" t="n">
        <f t="shared" si="1"/>
        <v>0</v>
      </c>
      <c r="J102" s="24" t="n">
        <f t="shared" si="2"/>
        <v>0</v>
      </c>
      <c r="K102" s="23"/>
      <c r="L102" s="23"/>
      <c r="M102" s="23"/>
      <c r="N102" s="23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 ht="14.25" customHeight="1">
      <c r="A103" s="23"/>
      <c r="B103" s="23"/>
      <c r="C103" s="23"/>
      <c r="D103" s="23"/>
      <c r="E103" s="23"/>
      <c r="F103" s="23"/>
      <c r="G103" s="23"/>
      <c r="H103" s="23"/>
      <c r="I103" s="24" t="n">
        <f t="shared" si="1"/>
        <v>0</v>
      </c>
      <c r="J103" s="24" t="n">
        <f t="shared" si="2"/>
        <v>0</v>
      </c>
      <c r="K103" s="23"/>
      <c r="L103" s="23"/>
      <c r="M103" s="23"/>
      <c r="N103" s="23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 ht="14.25" customHeight="1">
      <c r="A104" s="23"/>
      <c r="B104" s="23"/>
      <c r="C104" s="23"/>
      <c r="D104" s="23"/>
      <c r="E104" s="23"/>
      <c r="F104" s="23"/>
      <c r="G104" s="23"/>
      <c r="H104" s="23"/>
      <c r="I104" s="24" t="n">
        <f t="shared" si="1"/>
        <v>0</v>
      </c>
      <c r="J104" s="24" t="n">
        <f t="shared" si="2"/>
        <v>0</v>
      </c>
      <c r="K104" s="23"/>
      <c r="L104" s="23"/>
      <c r="M104" s="23"/>
      <c r="N104" s="23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 ht="14.25" customHeight="1">
      <c r="A105" s="23"/>
      <c r="B105" s="23"/>
      <c r="C105" s="23"/>
      <c r="D105" s="23"/>
      <c r="E105" s="23"/>
      <c r="F105" s="23"/>
      <c r="G105" s="23"/>
      <c r="H105" s="23"/>
      <c r="I105" s="24" t="n">
        <f t="shared" si="1"/>
        <v>0</v>
      </c>
      <c r="J105" s="24" t="n">
        <f t="shared" si="2"/>
        <v>0</v>
      </c>
      <c r="K105" s="23"/>
      <c r="L105" s="23"/>
      <c r="M105" s="23"/>
      <c r="N105" s="23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 ht="14.25" customHeight="1">
      <c r="A106" s="23"/>
      <c r="B106" s="23"/>
      <c r="C106" s="23"/>
      <c r="D106" s="23"/>
      <c r="E106" s="23"/>
      <c r="F106" s="23"/>
      <c r="G106" s="23"/>
      <c r="H106" s="23"/>
      <c r="I106" s="24" t="n">
        <f t="shared" si="1"/>
        <v>0</v>
      </c>
      <c r="J106" s="24" t="n">
        <f t="shared" si="2"/>
        <v>0</v>
      </c>
      <c r="K106" s="23"/>
      <c r="L106" s="23"/>
      <c r="M106" s="23"/>
      <c r="N106" s="23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 ht="14.25" customHeight="1">
      <c r="A107" s="23"/>
      <c r="B107" s="23"/>
      <c r="C107" s="23"/>
      <c r="D107" s="23"/>
      <c r="E107" s="23"/>
      <c r="F107" s="23"/>
      <c r="G107" s="23"/>
      <c r="H107" s="23"/>
      <c r="I107" s="24" t="n">
        <f t="shared" si="1"/>
        <v>0</v>
      </c>
      <c r="J107" s="24" t="n">
        <f t="shared" si="2"/>
        <v>0</v>
      </c>
      <c r="K107" s="23"/>
      <c r="L107" s="23"/>
      <c r="M107" s="23"/>
      <c r="N107" s="23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 ht="14.25" customHeight="1">
      <c r="A108" s="23"/>
      <c r="B108" s="23"/>
      <c r="C108" s="23"/>
      <c r="D108" s="23"/>
      <c r="E108" s="23"/>
      <c r="F108" s="23"/>
      <c r="G108" s="23"/>
      <c r="H108" s="23"/>
      <c r="I108" s="24" t="n">
        <f t="shared" si="1"/>
        <v>0</v>
      </c>
      <c r="J108" s="24" t="n">
        <f t="shared" si="2"/>
        <v>0</v>
      </c>
      <c r="K108" s="23"/>
      <c r="L108" s="23"/>
      <c r="M108" s="23"/>
      <c r="N108" s="23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 ht="14.25" customHeight="1">
      <c r="A109" s="23"/>
      <c r="B109" s="23"/>
      <c r="C109" s="23"/>
      <c r="D109" s="23"/>
      <c r="E109" s="23"/>
      <c r="F109" s="23"/>
      <c r="G109" s="23"/>
      <c r="H109" s="23"/>
      <c r="I109" s="24" t="n">
        <f t="shared" si="1"/>
        <v>0</v>
      </c>
      <c r="J109" s="24" t="n">
        <f t="shared" si="2"/>
        <v>0</v>
      </c>
      <c r="K109" s="23"/>
      <c r="L109" s="23"/>
      <c r="M109" s="23"/>
      <c r="N109" s="23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 ht="14.25" customHeight="1">
      <c r="A110" s="23"/>
      <c r="B110" s="23"/>
      <c r="C110" s="23"/>
      <c r="D110" s="23"/>
      <c r="E110" s="23"/>
      <c r="F110" s="23"/>
      <c r="G110" s="23"/>
      <c r="H110" s="23"/>
      <c r="I110" s="24" t="n">
        <f t="shared" si="1"/>
        <v>0</v>
      </c>
      <c r="J110" s="24" t="n">
        <f t="shared" si="2"/>
        <v>0</v>
      </c>
      <c r="K110" s="23"/>
      <c r="L110" s="23"/>
      <c r="M110" s="23"/>
      <c r="N110" s="23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 ht="14.25" customHeight="1">
      <c r="A111" s="23"/>
      <c r="B111" s="23"/>
      <c r="C111" s="23"/>
      <c r="D111" s="23"/>
      <c r="E111" s="23"/>
      <c r="F111" s="23"/>
      <c r="G111" s="23"/>
      <c r="H111" s="23"/>
      <c r="I111" s="24" t="n">
        <f t="shared" si="1"/>
        <v>0</v>
      </c>
      <c r="J111" s="24" t="n">
        <f t="shared" si="2"/>
        <v>0</v>
      </c>
      <c r="K111" s="23"/>
      <c r="L111" s="23"/>
      <c r="M111" s="23"/>
      <c r="N111" s="23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 ht="14.25" customHeight="1">
      <c r="A112" s="23"/>
      <c r="B112" s="23"/>
      <c r="C112" s="23"/>
      <c r="D112" s="23"/>
      <c r="E112" s="23"/>
      <c r="F112" s="23"/>
      <c r="G112" s="23"/>
      <c r="H112" s="23"/>
      <c r="I112" s="24" t="n">
        <f t="shared" si="1"/>
        <v>0</v>
      </c>
      <c r="J112" s="24" t="n">
        <f t="shared" si="2"/>
        <v>0</v>
      </c>
      <c r="K112" s="23"/>
      <c r="L112" s="23"/>
      <c r="M112" s="23"/>
      <c r="N112" s="23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 ht="14.25" customHeight="1">
      <c r="A113" s="23"/>
      <c r="B113" s="23"/>
      <c r="C113" s="23"/>
      <c r="D113" s="23"/>
      <c r="E113" s="23"/>
      <c r="F113" s="23"/>
      <c r="G113" s="23"/>
      <c r="H113" s="23"/>
      <c r="I113" s="24" t="n">
        <f t="shared" si="1"/>
        <v>0</v>
      </c>
      <c r="J113" s="24" t="n">
        <f t="shared" si="2"/>
        <v>0</v>
      </c>
      <c r="K113" s="23"/>
      <c r="L113" s="23"/>
      <c r="M113" s="23"/>
      <c r="N113" s="23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 ht="14.25" customHeight="1">
      <c r="A114" s="23"/>
      <c r="B114" s="23"/>
      <c r="C114" s="23"/>
      <c r="D114" s="23"/>
      <c r="E114" s="23"/>
      <c r="F114" s="23"/>
      <c r="G114" s="23"/>
      <c r="H114" s="23"/>
      <c r="I114" s="24" t="n">
        <f t="shared" si="1"/>
        <v>0</v>
      </c>
      <c r="J114" s="24" t="n">
        <f t="shared" si="2"/>
        <v>0</v>
      </c>
      <c r="K114" s="23"/>
      <c r="L114" s="23"/>
      <c r="M114" s="23"/>
      <c r="N114" s="23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 ht="14.25" customHeight="1">
      <c r="A115" s="23"/>
      <c r="B115" s="23"/>
      <c r="C115" s="23"/>
      <c r="D115" s="23"/>
      <c r="E115" s="23"/>
      <c r="F115" s="23"/>
      <c r="G115" s="23"/>
      <c r="H115" s="23"/>
      <c r="I115" s="24" t="n">
        <f t="shared" si="1"/>
        <v>0</v>
      </c>
      <c r="J115" s="24" t="n">
        <f t="shared" si="2"/>
        <v>0</v>
      </c>
      <c r="K115" s="23"/>
      <c r="L115" s="23"/>
      <c r="M115" s="23"/>
      <c r="N115" s="23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 ht="14.25" customHeight="1">
      <c r="A116" s="23"/>
      <c r="B116" s="23"/>
      <c r="C116" s="23"/>
      <c r="D116" s="23"/>
      <c r="E116" s="23"/>
      <c r="F116" s="23"/>
      <c r="G116" s="23"/>
      <c r="H116" s="23"/>
      <c r="I116" s="24" t="n">
        <f t="shared" si="1"/>
        <v>0</v>
      </c>
      <c r="J116" s="24" t="n">
        <f t="shared" si="2"/>
        <v>0</v>
      </c>
      <c r="K116" s="23"/>
      <c r="L116" s="23"/>
      <c r="M116" s="23"/>
      <c r="N116" s="23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 ht="14.25" customHeight="1">
      <c r="A117" s="23"/>
      <c r="B117" s="23"/>
      <c r="C117" s="23"/>
      <c r="D117" s="23"/>
      <c r="E117" s="23"/>
      <c r="F117" s="23"/>
      <c r="G117" s="23"/>
      <c r="H117" s="23"/>
      <c r="I117" s="24" t="n">
        <f t="shared" si="1"/>
        <v>0</v>
      </c>
      <c r="J117" s="24" t="n">
        <f t="shared" si="2"/>
        <v>0</v>
      </c>
      <c r="K117" s="23"/>
      <c r="L117" s="23"/>
      <c r="M117" s="23"/>
      <c r="N117" s="23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 ht="14.25" customHeight="1">
      <c r="A118" s="23"/>
      <c r="B118" s="23"/>
      <c r="C118" s="23"/>
      <c r="D118" s="23"/>
      <c r="E118" s="23"/>
      <c r="F118" s="23"/>
      <c r="G118" s="23"/>
      <c r="H118" s="23"/>
      <c r="I118" s="24" t="n">
        <f t="shared" si="1"/>
        <v>0</v>
      </c>
      <c r="J118" s="24" t="n">
        <f t="shared" si="2"/>
        <v>0</v>
      </c>
      <c r="K118" s="23"/>
      <c r="L118" s="23"/>
      <c r="M118" s="23"/>
      <c r="N118" s="23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 ht="14.25" customHeight="1">
      <c r="A119" s="23"/>
      <c r="B119" s="23"/>
      <c r="C119" s="23"/>
      <c r="D119" s="23"/>
      <c r="E119" s="23"/>
      <c r="F119" s="23"/>
      <c r="G119" s="23"/>
      <c r="H119" s="23"/>
      <c r="I119" s="24" t="n">
        <f t="shared" si="1"/>
        <v>0</v>
      </c>
      <c r="J119" s="24" t="n">
        <f t="shared" si="2"/>
        <v>0</v>
      </c>
      <c r="K119" s="23"/>
      <c r="L119" s="23"/>
      <c r="M119" s="23"/>
      <c r="N119" s="23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 ht="14.25" customHeight="1">
      <c r="A120" s="23"/>
      <c r="B120" s="23"/>
      <c r="C120" s="23"/>
      <c r="D120" s="23"/>
      <c r="E120" s="23"/>
      <c r="F120" s="23"/>
      <c r="G120" s="23"/>
      <c r="H120" s="23"/>
      <c r="I120" s="24" t="n">
        <f t="shared" si="1"/>
        <v>0</v>
      </c>
      <c r="J120" s="24" t="n">
        <f t="shared" si="2"/>
        <v>0</v>
      </c>
      <c r="K120" s="23"/>
      <c r="L120" s="23"/>
      <c r="M120" s="23"/>
      <c r="N120" s="23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</row>
    <row r="121" ht="14.25" customHeight="1">
      <c r="A121" s="23"/>
      <c r="B121" s="23"/>
      <c r="C121" s="23"/>
      <c r="D121" s="23"/>
      <c r="E121" s="23"/>
      <c r="F121" s="23"/>
      <c r="G121" s="23"/>
      <c r="H121" s="23"/>
      <c r="I121" s="24" t="n">
        <f t="shared" si="1"/>
        <v>0</v>
      </c>
      <c r="J121" s="24" t="n">
        <f t="shared" si="2"/>
        <v>0</v>
      </c>
      <c r="K121" s="23"/>
      <c r="L121" s="23"/>
      <c r="M121" s="23"/>
      <c r="N121" s="23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 ht="14.25" customHeight="1">
      <c r="A122" s="23"/>
      <c r="B122" s="23"/>
      <c r="C122" s="23"/>
      <c r="D122" s="23"/>
      <c r="E122" s="23"/>
      <c r="F122" s="23"/>
      <c r="G122" s="23"/>
      <c r="H122" s="23"/>
      <c r="I122" s="24" t="n">
        <f t="shared" si="1"/>
        <v>0</v>
      </c>
      <c r="J122" s="24" t="n">
        <f t="shared" si="2"/>
        <v>0</v>
      </c>
      <c r="K122" s="23"/>
      <c r="L122" s="23"/>
      <c r="M122" s="23"/>
      <c r="N122" s="23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 ht="14.25" customHeight="1">
      <c r="A123" s="23"/>
      <c r="B123" s="23"/>
      <c r="C123" s="23"/>
      <c r="D123" s="23"/>
      <c r="E123" s="23"/>
      <c r="F123" s="23"/>
      <c r="G123" s="23"/>
      <c r="H123" s="23"/>
      <c r="I123" s="24" t="n">
        <f t="shared" si="1"/>
        <v>0</v>
      </c>
      <c r="J123" s="24" t="n">
        <f t="shared" si="2"/>
        <v>0</v>
      </c>
      <c r="K123" s="23"/>
      <c r="L123" s="23"/>
      <c r="M123" s="23"/>
      <c r="N123" s="23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 ht="14.25" customHeight="1">
      <c r="A124" s="23"/>
      <c r="B124" s="23"/>
      <c r="C124" s="23"/>
      <c r="D124" s="23"/>
      <c r="E124" s="23"/>
      <c r="F124" s="23"/>
      <c r="G124" s="23"/>
      <c r="H124" s="23"/>
      <c r="I124" s="24" t="n">
        <f t="shared" si="1"/>
        <v>0</v>
      </c>
      <c r="J124" s="24" t="n">
        <f t="shared" si="2"/>
        <v>0</v>
      </c>
      <c r="K124" s="23"/>
      <c r="L124" s="23"/>
      <c r="M124" s="23"/>
      <c r="N124" s="23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 ht="14.25" customHeight="1">
      <c r="A125" s="23"/>
      <c r="B125" s="23"/>
      <c r="C125" s="23"/>
      <c r="D125" s="23"/>
      <c r="E125" s="23"/>
      <c r="F125" s="23"/>
      <c r="G125" s="23"/>
      <c r="H125" s="23"/>
      <c r="I125" s="24" t="n">
        <f t="shared" si="1"/>
        <v>0</v>
      </c>
      <c r="J125" s="24" t="n">
        <f t="shared" si="2"/>
        <v>0</v>
      </c>
      <c r="K125" s="23"/>
      <c r="L125" s="23"/>
      <c r="M125" s="23"/>
      <c r="N125" s="23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 ht="14.25" customHeight="1">
      <c r="A126" s="23"/>
      <c r="B126" s="23"/>
      <c r="C126" s="23"/>
      <c r="D126" s="23"/>
      <c r="E126" s="23"/>
      <c r="F126" s="23"/>
      <c r="G126" s="23"/>
      <c r="H126" s="23"/>
      <c r="I126" s="24" t="n">
        <f t="shared" si="1"/>
        <v>0</v>
      </c>
      <c r="J126" s="24" t="n">
        <f t="shared" si="2"/>
        <v>0</v>
      </c>
      <c r="K126" s="23"/>
      <c r="L126" s="23"/>
      <c r="M126" s="23"/>
      <c r="N126" s="23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 ht="14.25" customHeight="1">
      <c r="A127" s="23"/>
      <c r="B127" s="23"/>
      <c r="C127" s="23"/>
      <c r="D127" s="23"/>
      <c r="E127" s="23"/>
      <c r="F127" s="23"/>
      <c r="G127" s="23"/>
      <c r="H127" s="23"/>
      <c r="I127" s="24" t="n">
        <f t="shared" si="1"/>
        <v>0</v>
      </c>
      <c r="J127" s="24" t="n">
        <f t="shared" si="2"/>
        <v>0</v>
      </c>
      <c r="K127" s="23"/>
      <c r="L127" s="23"/>
      <c r="M127" s="23"/>
      <c r="N127" s="23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 ht="14.25" customHeight="1">
      <c r="A128" s="23"/>
      <c r="B128" s="23"/>
      <c r="C128" s="23"/>
      <c r="D128" s="23"/>
      <c r="E128" s="23"/>
      <c r="F128" s="23"/>
      <c r="G128" s="23"/>
      <c r="H128" s="23"/>
      <c r="I128" s="24" t="n">
        <f t="shared" si="1"/>
        <v>0</v>
      </c>
      <c r="J128" s="24" t="n">
        <f t="shared" si="2"/>
        <v>0</v>
      </c>
      <c r="K128" s="23"/>
      <c r="L128" s="23"/>
      <c r="M128" s="23"/>
      <c r="N128" s="23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 ht="14.25" customHeight="1">
      <c r="A129" s="23"/>
      <c r="B129" s="23"/>
      <c r="C129" s="23"/>
      <c r="D129" s="23"/>
      <c r="E129" s="23"/>
      <c r="F129" s="23"/>
      <c r="G129" s="23"/>
      <c r="H129" s="23"/>
      <c r="I129" s="24" t="n">
        <f t="shared" si="1"/>
        <v>0</v>
      </c>
      <c r="J129" s="24" t="n">
        <f t="shared" si="2"/>
        <v>0</v>
      </c>
      <c r="K129" s="23"/>
      <c r="L129" s="23"/>
      <c r="M129" s="23"/>
      <c r="N129" s="23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 ht="14.25" customHeight="1">
      <c r="A130" s="23"/>
      <c r="B130" s="23"/>
      <c r="C130" s="23"/>
      <c r="D130" s="23"/>
      <c r="E130" s="23"/>
      <c r="F130" s="23"/>
      <c r="G130" s="23"/>
      <c r="H130" s="23"/>
      <c r="I130" s="24" t="n">
        <f t="shared" si="1"/>
        <v>0</v>
      </c>
      <c r="J130" s="24" t="n">
        <f t="shared" si="2"/>
        <v>0</v>
      </c>
      <c r="K130" s="23"/>
      <c r="L130" s="23"/>
      <c r="M130" s="23"/>
      <c r="N130" s="23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 ht="14.25" customHeight="1">
      <c r="A131" s="23"/>
      <c r="B131" s="23"/>
      <c r="C131" s="23"/>
      <c r="D131" s="23"/>
      <c r="E131" s="23"/>
      <c r="F131" s="23"/>
      <c r="G131" s="23"/>
      <c r="H131" s="23"/>
      <c r="I131" s="24" t="n">
        <f t="shared" si="1"/>
        <v>0</v>
      </c>
      <c r="J131" s="24" t="n">
        <f t="shared" si="2"/>
        <v>0</v>
      </c>
      <c r="K131" s="23"/>
      <c r="L131" s="23"/>
      <c r="M131" s="23"/>
      <c r="N131" s="23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 ht="14.25" customHeight="1">
      <c r="A132" s="23"/>
      <c r="B132" s="23"/>
      <c r="C132" s="23"/>
      <c r="D132" s="23"/>
      <c r="E132" s="23"/>
      <c r="F132" s="23"/>
      <c r="G132" s="23"/>
      <c r="H132" s="23"/>
      <c r="I132" s="24" t="n">
        <f t="shared" si="1"/>
        <v>0</v>
      </c>
      <c r="J132" s="24" t="n">
        <f t="shared" si="2"/>
        <v>0</v>
      </c>
      <c r="K132" s="23"/>
      <c r="L132" s="23"/>
      <c r="M132" s="23"/>
      <c r="N132" s="23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 ht="14.25" customHeight="1">
      <c r="A133" s="23"/>
      <c r="B133" s="23"/>
      <c r="C133" s="23"/>
      <c r="D133" s="23"/>
      <c r="E133" s="23"/>
      <c r="F133" s="23"/>
      <c r="G133" s="23"/>
      <c r="H133" s="23"/>
      <c r="I133" s="24" t="n">
        <f t="shared" si="1"/>
        <v>0</v>
      </c>
      <c r="J133" s="24" t="n">
        <f t="shared" si="2"/>
        <v>0</v>
      </c>
      <c r="K133" s="23"/>
      <c r="L133" s="23"/>
      <c r="M133" s="23"/>
      <c r="N133" s="23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 ht="14.25" customHeight="1">
      <c r="A134" s="23"/>
      <c r="B134" s="23"/>
      <c r="C134" s="23"/>
      <c r="D134" s="23"/>
      <c r="E134" s="23"/>
      <c r="F134" s="23"/>
      <c r="G134" s="23"/>
      <c r="H134" s="23"/>
      <c r="I134" s="24" t="n">
        <f t="shared" si="1"/>
        <v>0</v>
      </c>
      <c r="J134" s="24" t="n">
        <f t="shared" si="2"/>
        <v>0</v>
      </c>
      <c r="K134" s="23"/>
      <c r="L134" s="23"/>
      <c r="M134" s="23"/>
      <c r="N134" s="23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 ht="14.25" customHeight="1">
      <c r="A135" s="23"/>
      <c r="B135" s="23"/>
      <c r="C135" s="23"/>
      <c r="D135" s="23"/>
      <c r="E135" s="23"/>
      <c r="F135" s="23"/>
      <c r="G135" s="23"/>
      <c r="H135" s="23"/>
      <c r="I135" s="24" t="n">
        <f t="shared" si="1"/>
        <v>0</v>
      </c>
      <c r="J135" s="24" t="n">
        <f t="shared" si="2"/>
        <v>0</v>
      </c>
      <c r="K135" s="23"/>
      <c r="L135" s="23"/>
      <c r="M135" s="23"/>
      <c r="N135" s="23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 ht="14.25" customHeight="1">
      <c r="A136" s="23"/>
      <c r="B136" s="23"/>
      <c r="C136" s="23"/>
      <c r="D136" s="23"/>
      <c r="E136" s="23"/>
      <c r="F136" s="23"/>
      <c r="G136" s="23"/>
      <c r="H136" s="23"/>
      <c r="I136" s="24" t="n">
        <f t="shared" si="1"/>
        <v>0</v>
      </c>
      <c r="J136" s="24" t="n">
        <f t="shared" si="2"/>
        <v>0</v>
      </c>
      <c r="K136" s="23"/>
      <c r="L136" s="23"/>
      <c r="M136" s="23"/>
      <c r="N136" s="23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 ht="14.25" customHeight="1">
      <c r="A137" s="23"/>
      <c r="B137" s="23"/>
      <c r="C137" s="23"/>
      <c r="D137" s="23"/>
      <c r="E137" s="23"/>
      <c r="F137" s="23"/>
      <c r="G137" s="23"/>
      <c r="H137" s="23"/>
      <c r="I137" s="24" t="n">
        <f t="shared" si="1"/>
        <v>0</v>
      </c>
      <c r="J137" s="24" t="n">
        <f t="shared" si="2"/>
        <v>0</v>
      </c>
      <c r="K137" s="23"/>
      <c r="L137" s="23"/>
      <c r="M137" s="23"/>
      <c r="N137" s="23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 ht="14.25" customHeight="1">
      <c r="A138" s="23"/>
      <c r="B138" s="23"/>
      <c r="C138" s="23"/>
      <c r="D138" s="23"/>
      <c r="E138" s="23"/>
      <c r="F138" s="23"/>
      <c r="G138" s="23"/>
      <c r="H138" s="23"/>
      <c r="I138" s="24" t="n">
        <f t="shared" si="1"/>
        <v>0</v>
      </c>
      <c r="J138" s="24" t="n">
        <f t="shared" si="2"/>
        <v>0</v>
      </c>
      <c r="K138" s="23"/>
      <c r="L138" s="23"/>
      <c r="M138" s="23"/>
      <c r="N138" s="23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 ht="14.25" customHeight="1">
      <c r="A139" s="23"/>
      <c r="B139" s="23"/>
      <c r="C139" s="23"/>
      <c r="D139" s="23"/>
      <c r="E139" s="23"/>
      <c r="F139" s="23"/>
      <c r="G139" s="23"/>
      <c r="H139" s="23"/>
      <c r="I139" s="24" t="n">
        <f t="shared" si="1"/>
        <v>0</v>
      </c>
      <c r="J139" s="24" t="n">
        <f t="shared" si="2"/>
        <v>0</v>
      </c>
      <c r="K139" s="23"/>
      <c r="L139" s="23"/>
      <c r="M139" s="23"/>
      <c r="N139" s="23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 ht="14.25" customHeight="1">
      <c r="A140" s="23"/>
      <c r="B140" s="23"/>
      <c r="C140" s="23"/>
      <c r="D140" s="23"/>
      <c r="E140" s="23"/>
      <c r="F140" s="23"/>
      <c r="G140" s="23"/>
      <c r="H140" s="23"/>
      <c r="I140" s="24" t="n">
        <f t="shared" si="1"/>
        <v>0</v>
      </c>
      <c r="J140" s="24" t="n">
        <f t="shared" si="2"/>
        <v>0</v>
      </c>
      <c r="K140" s="23"/>
      <c r="L140" s="23"/>
      <c r="M140" s="23"/>
      <c r="N140" s="23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 ht="14.25" customHeight="1">
      <c r="A141" s="23"/>
      <c r="B141" s="23"/>
      <c r="C141" s="23"/>
      <c r="D141" s="23"/>
      <c r="E141" s="23"/>
      <c r="F141" s="23"/>
      <c r="G141" s="23"/>
      <c r="H141" s="23"/>
      <c r="I141" s="24" t="n">
        <f t="shared" si="1"/>
        <v>0</v>
      </c>
      <c r="J141" s="24" t="n">
        <f t="shared" si="2"/>
        <v>0</v>
      </c>
      <c r="K141" s="23"/>
      <c r="L141" s="23"/>
      <c r="M141" s="23"/>
      <c r="N141" s="23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 ht="14.25" customHeight="1">
      <c r="A142" s="23"/>
      <c r="B142" s="23"/>
      <c r="C142" s="23"/>
      <c r="D142" s="23"/>
      <c r="E142" s="23"/>
      <c r="F142" s="23"/>
      <c r="G142" s="23"/>
      <c r="H142" s="23"/>
      <c r="I142" s="24" t="n">
        <f t="shared" si="1"/>
        <v>0</v>
      </c>
      <c r="J142" s="24" t="n">
        <f t="shared" si="2"/>
        <v>0</v>
      </c>
      <c r="K142" s="23"/>
      <c r="L142" s="23"/>
      <c r="M142" s="23"/>
      <c r="N142" s="23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 ht="14.25" customHeight="1">
      <c r="A143" s="23"/>
      <c r="B143" s="23"/>
      <c r="C143" s="23"/>
      <c r="D143" s="23"/>
      <c r="E143" s="23"/>
      <c r="F143" s="23"/>
      <c r="G143" s="23"/>
      <c r="H143" s="23"/>
      <c r="I143" s="24" t="n">
        <f t="shared" si="1"/>
        <v>0</v>
      </c>
      <c r="J143" s="24" t="n">
        <f t="shared" si="2"/>
        <v>0</v>
      </c>
      <c r="K143" s="23"/>
      <c r="L143" s="23"/>
      <c r="M143" s="23"/>
      <c r="N143" s="23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 ht="14.25" customHeight="1">
      <c r="A144" s="23"/>
      <c r="B144" s="23"/>
      <c r="C144" s="23"/>
      <c r="D144" s="23"/>
      <c r="E144" s="23"/>
      <c r="F144" s="23"/>
      <c r="G144" s="23"/>
      <c r="H144" s="23"/>
      <c r="I144" s="24" t="n">
        <f t="shared" si="1"/>
        <v>0</v>
      </c>
      <c r="J144" s="24" t="n">
        <f t="shared" si="2"/>
        <v>0</v>
      </c>
      <c r="K144" s="23"/>
      <c r="L144" s="23"/>
      <c r="M144" s="23"/>
      <c r="N144" s="23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 ht="14.25" customHeight="1">
      <c r="A145" s="23"/>
      <c r="B145" s="23"/>
      <c r="C145" s="23"/>
      <c r="D145" s="23"/>
      <c r="E145" s="23"/>
      <c r="F145" s="23"/>
      <c r="G145" s="23"/>
      <c r="H145" s="23"/>
      <c r="I145" s="24" t="n">
        <f t="shared" si="1"/>
        <v>0</v>
      </c>
      <c r="J145" s="24" t="n">
        <f t="shared" si="2"/>
        <v>0</v>
      </c>
      <c r="K145" s="23"/>
      <c r="L145" s="23"/>
      <c r="M145" s="23"/>
      <c r="N145" s="23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 ht="14.25" customHeight="1">
      <c r="A146" s="23"/>
      <c r="B146" s="23"/>
      <c r="C146" s="23"/>
      <c r="D146" s="23"/>
      <c r="E146" s="23"/>
      <c r="F146" s="23"/>
      <c r="G146" s="23"/>
      <c r="H146" s="23"/>
      <c r="I146" s="24" t="n">
        <f t="shared" si="1"/>
        <v>0</v>
      </c>
      <c r="J146" s="24" t="n">
        <f t="shared" si="2"/>
        <v>0</v>
      </c>
      <c r="K146" s="23"/>
      <c r="L146" s="23"/>
      <c r="M146" s="23"/>
      <c r="N146" s="23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 ht="14.25" customHeight="1">
      <c r="A147" s="23"/>
      <c r="B147" s="23"/>
      <c r="C147" s="23"/>
      <c r="D147" s="23"/>
      <c r="E147" s="23"/>
      <c r="F147" s="23"/>
      <c r="G147" s="23"/>
      <c r="H147" s="23"/>
      <c r="I147" s="24" t="n">
        <f t="shared" si="1"/>
        <v>0</v>
      </c>
      <c r="J147" s="24" t="n">
        <f t="shared" si="2"/>
        <v>0</v>
      </c>
      <c r="K147" s="23"/>
      <c r="L147" s="23"/>
      <c r="M147" s="23"/>
      <c r="N147" s="23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 ht="14.25" customHeight="1">
      <c r="A148" s="23"/>
      <c r="B148" s="23"/>
      <c r="C148" s="23"/>
      <c r="D148" s="23"/>
      <c r="E148" s="23"/>
      <c r="F148" s="23"/>
      <c r="G148" s="23"/>
      <c r="H148" s="23"/>
      <c r="I148" s="24" t="n">
        <f t="shared" si="1"/>
        <v>0</v>
      </c>
      <c r="J148" s="24" t="n">
        <f t="shared" si="2"/>
        <v>0</v>
      </c>
      <c r="K148" s="23"/>
      <c r="L148" s="23"/>
      <c r="M148" s="23"/>
      <c r="N148" s="23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 ht="14.25" customHeight="1">
      <c r="A149" s="23"/>
      <c r="B149" s="23"/>
      <c r="C149" s="23"/>
      <c r="D149" s="23"/>
      <c r="E149" s="23"/>
      <c r="F149" s="23"/>
      <c r="G149" s="23"/>
      <c r="H149" s="23"/>
      <c r="I149" s="24" t="n">
        <f t="shared" si="1"/>
        <v>0</v>
      </c>
      <c r="J149" s="24" t="n">
        <f t="shared" si="2"/>
        <v>0</v>
      </c>
      <c r="K149" s="23"/>
      <c r="L149" s="23"/>
      <c r="M149" s="23"/>
      <c r="N149" s="23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 ht="14.25" customHeight="1">
      <c r="A150" s="23"/>
      <c r="B150" s="23"/>
      <c r="C150" s="23"/>
      <c r="D150" s="23"/>
      <c r="E150" s="23"/>
      <c r="F150" s="23"/>
      <c r="G150" s="23"/>
      <c r="H150" s="23"/>
      <c r="I150" s="24" t="n">
        <f t="shared" si="1"/>
        <v>0</v>
      </c>
      <c r="J150" s="24" t="n">
        <f t="shared" si="2"/>
        <v>0</v>
      </c>
      <c r="K150" s="23"/>
      <c r="L150" s="23"/>
      <c r="M150" s="23"/>
      <c r="N150" s="23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 ht="14.25" customHeight="1">
      <c r="A151" s="23"/>
      <c r="B151" s="23"/>
      <c r="C151" s="23"/>
      <c r="D151" s="23"/>
      <c r="E151" s="23"/>
      <c r="F151" s="23"/>
      <c r="G151" s="23"/>
      <c r="H151" s="23"/>
      <c r="I151" s="24" t="n">
        <f t="shared" si="1"/>
        <v>0</v>
      </c>
      <c r="J151" s="24" t="n">
        <f t="shared" si="2"/>
        <v>0</v>
      </c>
      <c r="K151" s="23"/>
      <c r="L151" s="23"/>
      <c r="M151" s="23"/>
      <c r="N151" s="23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 ht="14.25" customHeight="1">
      <c r="A152" s="23"/>
      <c r="B152" s="23"/>
      <c r="C152" s="23"/>
      <c r="D152" s="23"/>
      <c r="E152" s="23"/>
      <c r="F152" s="23"/>
      <c r="G152" s="23"/>
      <c r="H152" s="23"/>
      <c r="I152" s="24" t="n">
        <f t="shared" si="1"/>
        <v>0</v>
      </c>
      <c r="J152" s="24" t="n">
        <f t="shared" si="2"/>
        <v>0</v>
      </c>
      <c r="K152" s="23"/>
      <c r="L152" s="23"/>
      <c r="M152" s="23"/>
      <c r="N152" s="23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 ht="14.25" customHeight="1">
      <c r="A153" s="23"/>
      <c r="B153" s="23"/>
      <c r="C153" s="23"/>
      <c r="D153" s="23"/>
      <c r="E153" s="23"/>
      <c r="F153" s="23"/>
      <c r="G153" s="23"/>
      <c r="H153" s="23"/>
      <c r="I153" s="24" t="n">
        <f t="shared" si="1"/>
        <v>0</v>
      </c>
      <c r="J153" s="24" t="n">
        <f t="shared" si="2"/>
        <v>0</v>
      </c>
      <c r="K153" s="23"/>
      <c r="L153" s="23"/>
      <c r="M153" s="23"/>
      <c r="N153" s="23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 ht="14.25" customHeight="1">
      <c r="A154" s="23"/>
      <c r="B154" s="23"/>
      <c r="C154" s="23"/>
      <c r="D154" s="23"/>
      <c r="E154" s="23"/>
      <c r="F154" s="23"/>
      <c r="G154" s="23"/>
      <c r="H154" s="23"/>
      <c r="I154" s="24" t="n">
        <f t="shared" si="1"/>
        <v>0</v>
      </c>
      <c r="J154" s="24" t="n">
        <f t="shared" si="2"/>
        <v>0</v>
      </c>
      <c r="K154" s="23"/>
      <c r="L154" s="23"/>
      <c r="M154" s="23"/>
      <c r="N154" s="23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 ht="14.25" customHeight="1">
      <c r="A155" s="23"/>
      <c r="B155" s="23"/>
      <c r="C155" s="23"/>
      <c r="D155" s="23"/>
      <c r="E155" s="23"/>
      <c r="F155" s="23"/>
      <c r="G155" s="23"/>
      <c r="H155" s="23"/>
      <c r="I155" s="24" t="n">
        <f t="shared" si="1"/>
        <v>0</v>
      </c>
      <c r="J155" s="24" t="n">
        <f t="shared" si="2"/>
        <v>0</v>
      </c>
      <c r="K155" s="23"/>
      <c r="L155" s="23"/>
      <c r="M155" s="23"/>
      <c r="N155" s="23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 ht="14.25" customHeight="1">
      <c r="A156" s="23"/>
      <c r="B156" s="23"/>
      <c r="C156" s="23"/>
      <c r="D156" s="23"/>
      <c r="E156" s="23"/>
      <c r="F156" s="23"/>
      <c r="G156" s="23"/>
      <c r="H156" s="23"/>
      <c r="I156" s="24" t="n">
        <f t="shared" si="1"/>
        <v>0</v>
      </c>
      <c r="J156" s="24" t="n">
        <f t="shared" si="2"/>
        <v>0</v>
      </c>
      <c r="K156" s="23"/>
      <c r="L156" s="23"/>
      <c r="M156" s="23"/>
      <c r="N156" s="23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 ht="14.25" customHeight="1">
      <c r="A157" s="23"/>
      <c r="B157" s="23"/>
      <c r="C157" s="23"/>
      <c r="D157" s="23"/>
      <c r="E157" s="23"/>
      <c r="F157" s="23"/>
      <c r="G157" s="23"/>
      <c r="H157" s="23"/>
      <c r="I157" s="24" t="n">
        <f t="shared" si="1"/>
        <v>0</v>
      </c>
      <c r="J157" s="24" t="n">
        <f t="shared" si="2"/>
        <v>0</v>
      </c>
      <c r="K157" s="23"/>
      <c r="L157" s="23"/>
      <c r="M157" s="23"/>
      <c r="N157" s="23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 ht="14.25" customHeight="1">
      <c r="A158" s="23"/>
      <c r="B158" s="23"/>
      <c r="C158" s="23"/>
      <c r="D158" s="23"/>
      <c r="E158" s="23"/>
      <c r="F158" s="23"/>
      <c r="G158" s="23"/>
      <c r="H158" s="23"/>
      <c r="I158" s="24" t="n">
        <f t="shared" si="1"/>
        <v>0</v>
      </c>
      <c r="J158" s="24" t="n">
        <f t="shared" si="2"/>
        <v>0</v>
      </c>
      <c r="K158" s="23"/>
      <c r="L158" s="23"/>
      <c r="M158" s="23"/>
      <c r="N158" s="23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 ht="14.25" customHeight="1">
      <c r="A159" s="23"/>
      <c r="B159" s="23"/>
      <c r="C159" s="23"/>
      <c r="D159" s="23"/>
      <c r="E159" s="23"/>
      <c r="F159" s="23"/>
      <c r="G159" s="23"/>
      <c r="H159" s="23"/>
      <c r="I159" s="24" t="n">
        <f t="shared" si="1"/>
        <v>0</v>
      </c>
      <c r="J159" s="24" t="n">
        <f t="shared" si="2"/>
        <v>0</v>
      </c>
      <c r="K159" s="23"/>
      <c r="L159" s="23"/>
      <c r="M159" s="23"/>
      <c r="N159" s="23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 ht="14.25" customHeight="1">
      <c r="A160" s="23"/>
      <c r="B160" s="23"/>
      <c r="C160" s="23"/>
      <c r="D160" s="23"/>
      <c r="E160" s="23"/>
      <c r="F160" s="23"/>
      <c r="G160" s="23"/>
      <c r="H160" s="23"/>
      <c r="I160" s="24" t="n">
        <f t="shared" si="1"/>
        <v>0</v>
      </c>
      <c r="J160" s="24" t="n">
        <f t="shared" si="2"/>
        <v>0</v>
      </c>
      <c r="K160" s="23"/>
      <c r="L160" s="23"/>
      <c r="M160" s="23"/>
      <c r="N160" s="23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 ht="14.25" customHeight="1">
      <c r="A161" s="23"/>
      <c r="B161" s="23"/>
      <c r="C161" s="23"/>
      <c r="D161" s="23"/>
      <c r="E161" s="23"/>
      <c r="F161" s="23"/>
      <c r="G161" s="23"/>
      <c r="H161" s="23"/>
      <c r="I161" s="24" t="n">
        <f t="shared" si="1"/>
        <v>0</v>
      </c>
      <c r="J161" s="24" t="n">
        <f t="shared" si="2"/>
        <v>0</v>
      </c>
      <c r="K161" s="23"/>
      <c r="L161" s="23"/>
      <c r="M161" s="23"/>
      <c r="N161" s="23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 ht="14.25" customHeight="1">
      <c r="A162" s="23"/>
      <c r="B162" s="23"/>
      <c r="C162" s="23"/>
      <c r="D162" s="23"/>
      <c r="E162" s="23"/>
      <c r="F162" s="23"/>
      <c r="G162" s="23"/>
      <c r="H162" s="23"/>
      <c r="I162" s="24" t="n">
        <f t="shared" si="1"/>
        <v>0</v>
      </c>
      <c r="J162" s="24" t="n">
        <f t="shared" si="2"/>
        <v>0</v>
      </c>
      <c r="K162" s="23"/>
      <c r="L162" s="23"/>
      <c r="M162" s="23"/>
      <c r="N162" s="23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 ht="14.25" customHeight="1">
      <c r="A163" s="23"/>
      <c r="B163" s="23"/>
      <c r="C163" s="23"/>
      <c r="D163" s="23"/>
      <c r="E163" s="23"/>
      <c r="F163" s="23"/>
      <c r="G163" s="23"/>
      <c r="H163" s="23"/>
      <c r="I163" s="24" t="n">
        <f t="shared" si="1"/>
        <v>0</v>
      </c>
      <c r="J163" s="24" t="n">
        <f t="shared" si="2"/>
        <v>0</v>
      </c>
      <c r="K163" s="23"/>
      <c r="L163" s="23"/>
      <c r="M163" s="23"/>
      <c r="N163" s="23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 ht="14.25" customHeight="1">
      <c r="A164" s="23"/>
      <c r="B164" s="23"/>
      <c r="C164" s="23"/>
      <c r="D164" s="23"/>
      <c r="E164" s="23"/>
      <c r="F164" s="23"/>
      <c r="G164" s="23"/>
      <c r="H164" s="23"/>
      <c r="I164" s="24" t="n">
        <f t="shared" si="1"/>
        <v>0</v>
      </c>
      <c r="J164" s="24" t="n">
        <f t="shared" si="2"/>
        <v>0</v>
      </c>
      <c r="K164" s="23"/>
      <c r="L164" s="23"/>
      <c r="M164" s="23"/>
      <c r="N164" s="23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 ht="14.25" customHeight="1">
      <c r="A165" s="23"/>
      <c r="B165" s="23"/>
      <c r="C165" s="23"/>
      <c r="D165" s="23"/>
      <c r="E165" s="23"/>
      <c r="F165" s="23"/>
      <c r="G165" s="23"/>
      <c r="H165" s="23"/>
      <c r="I165" s="24" t="n">
        <f t="shared" si="1"/>
        <v>0</v>
      </c>
      <c r="J165" s="24" t="n">
        <f t="shared" si="2"/>
        <v>0</v>
      </c>
      <c r="K165" s="23"/>
      <c r="L165" s="23"/>
      <c r="M165" s="23"/>
      <c r="N165" s="23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 ht="14.25" customHeight="1">
      <c r="A166" s="23"/>
      <c r="B166" s="23"/>
      <c r="C166" s="23"/>
      <c r="D166" s="23"/>
      <c r="E166" s="23"/>
      <c r="F166" s="23"/>
      <c r="G166" s="23"/>
      <c r="H166" s="23"/>
      <c r="I166" s="24" t="n">
        <f t="shared" si="1"/>
        <v>0</v>
      </c>
      <c r="J166" s="24" t="n">
        <f t="shared" si="2"/>
        <v>0</v>
      </c>
      <c r="K166" s="23"/>
      <c r="L166" s="23"/>
      <c r="M166" s="23"/>
      <c r="N166" s="23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 ht="14.25" customHeight="1">
      <c r="A167" s="23"/>
      <c r="B167" s="23"/>
      <c r="C167" s="23"/>
      <c r="D167" s="23"/>
      <c r="E167" s="23"/>
      <c r="F167" s="23"/>
      <c r="G167" s="23"/>
      <c r="H167" s="23"/>
      <c r="I167" s="24" t="n">
        <f t="shared" si="1"/>
        <v>0</v>
      </c>
      <c r="J167" s="24" t="n">
        <f t="shared" si="2"/>
        <v>0</v>
      </c>
      <c r="K167" s="23"/>
      <c r="L167" s="23"/>
      <c r="M167" s="23"/>
      <c r="N167" s="23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 ht="14.25" customHeight="1">
      <c r="A168" s="23"/>
      <c r="B168" s="23"/>
      <c r="C168" s="23"/>
      <c r="D168" s="23"/>
      <c r="E168" s="23"/>
      <c r="F168" s="23"/>
      <c r="G168" s="23"/>
      <c r="H168" s="23"/>
      <c r="I168" s="24" t="n">
        <f t="shared" si="1"/>
        <v>0</v>
      </c>
      <c r="J168" s="24" t="n">
        <f t="shared" si="2"/>
        <v>0</v>
      </c>
      <c r="K168" s="23"/>
      <c r="L168" s="23"/>
      <c r="M168" s="23"/>
      <c r="N168" s="23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 ht="14.25" customHeight="1">
      <c r="A169" s="23"/>
      <c r="B169" s="23"/>
      <c r="C169" s="23"/>
      <c r="D169" s="23"/>
      <c r="E169" s="23"/>
      <c r="F169" s="23"/>
      <c r="G169" s="23"/>
      <c r="H169" s="23"/>
      <c r="I169" s="24" t="n">
        <f t="shared" si="1"/>
        <v>0</v>
      </c>
      <c r="J169" s="24" t="n">
        <f t="shared" si="2"/>
        <v>0</v>
      </c>
      <c r="K169" s="23"/>
      <c r="L169" s="23"/>
      <c r="M169" s="23"/>
      <c r="N169" s="23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 ht="14.2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 ht="14.2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 ht="14.2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 ht="14.2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 ht="14.2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 ht="14.2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 ht="14.2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 ht="14.2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 ht="14.2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 ht="14.2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 ht="14.2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 ht="14.2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 ht="14.2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 ht="14.2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 ht="14.2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 ht="14.2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 ht="14.2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 ht="14.2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 ht="14.2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 ht="14.2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 ht="14.2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 ht="14.2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 ht="14.2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 ht="14.2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 ht="14.2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 ht="14.2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 ht="14.2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 ht="14.2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 ht="14.2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 ht="14.2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 ht="14.2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 ht="14.2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 ht="14.2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 ht="14.2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 ht="14.2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 ht="14.2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 ht="14.2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 ht="14.2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 ht="14.2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 ht="14.2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 ht="14.2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 ht="14.2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 ht="14.2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 ht="14.2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</row>
    <row r="214" ht="14.2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 ht="14.2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</row>
    <row r="216" ht="14.2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</row>
    <row r="217" ht="14.2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</row>
    <row r="218" ht="14.2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</row>
    <row r="219" ht="14.2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</row>
    <row r="220" ht="14.2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</row>
    <row r="221" ht="14.2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</row>
    <row r="222" ht="14.2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</row>
    <row r="223" ht="14.2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</row>
    <row r="224" ht="14.2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</row>
    <row r="225" ht="14.2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</row>
    <row r="226" ht="14.2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</row>
    <row r="227" ht="14.2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</row>
    <row r="228" ht="14.2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</row>
    <row r="229" ht="14.2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</row>
    <row r="230" ht="14.2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</row>
    <row r="231" ht="14.2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</row>
    <row r="232" ht="14.2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</row>
    <row r="233" ht="14.2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</row>
    <row r="234" ht="14.2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</row>
    <row r="235" ht="14.2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</row>
    <row r="236" ht="14.2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</row>
    <row r="237" ht="14.2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</row>
    <row r="238" ht="14.2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</row>
    <row r="239" ht="14.2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</row>
    <row r="240" ht="14.2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</row>
    <row r="241" ht="14.2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</row>
    <row r="242" ht="14.2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</row>
    <row r="243" ht="14.2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</row>
    <row r="244" ht="14.2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</row>
    <row r="245" ht="14.2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</row>
    <row r="246" ht="14.2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</row>
    <row r="247" ht="14.2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</row>
    <row r="248" ht="14.2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</row>
    <row r="249" ht="14.2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</row>
    <row r="250" ht="14.2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</row>
    <row r="251" ht="14.2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</row>
    <row r="252" ht="14.2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</row>
    <row r="253" ht="14.2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</row>
    <row r="254" ht="14.2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</row>
    <row r="255" ht="14.2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</row>
    <row r="256" ht="14.2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</row>
    <row r="257" ht="14.2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</row>
    <row r="258" ht="14.2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</row>
    <row r="259" ht="14.2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</row>
    <row r="260" ht="14.2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</row>
    <row r="261" ht="14.2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</row>
    <row r="262" ht="14.2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</row>
    <row r="263" ht="14.2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</row>
    <row r="264" ht="14.2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</row>
    <row r="265" ht="14.2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</row>
    <row r="266" ht="14.2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</row>
    <row r="267" ht="14.2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</row>
    <row r="268" ht="14.2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</row>
    <row r="269" ht="14.2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</row>
    <row r="270" ht="14.2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</row>
    <row r="271" ht="14.2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</row>
    <row r="272" ht="14.2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</row>
    <row r="273" ht="14.2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</row>
    <row r="274" ht="14.2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</row>
    <row r="275" ht="14.2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</row>
    <row r="276" ht="14.2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</row>
    <row r="277" ht="14.2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</row>
    <row r="278" ht="14.2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</row>
    <row r="279" ht="14.2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</row>
    <row r="280" ht="14.2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</row>
    <row r="281" ht="14.2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</row>
    <row r="282" ht="14.2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</row>
    <row r="283" ht="14.2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</row>
    <row r="284" ht="14.2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</row>
    <row r="285" ht="14.2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</row>
    <row r="286" ht="14.2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</row>
    <row r="287" ht="14.2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</row>
    <row r="288" ht="14.2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</row>
    <row r="289" ht="14.2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</row>
    <row r="290" ht="14.2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</row>
    <row r="291" ht="14.2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</row>
    <row r="292" ht="14.2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</row>
    <row r="293" ht="14.2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</row>
    <row r="294" ht="14.2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</row>
    <row r="295" ht="14.2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</row>
    <row r="296" ht="14.2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</row>
    <row r="297" ht="14.2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</row>
    <row r="298" ht="14.2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</row>
    <row r="299" ht="14.2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</row>
    <row r="300" ht="14.2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</row>
    <row r="301" ht="14.2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</row>
    <row r="302" ht="14.2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</row>
    <row r="303" ht="14.2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</row>
    <row r="304" ht="14.2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</row>
    <row r="305" ht="14.2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</row>
    <row r="306" ht="14.2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</row>
    <row r="307" ht="14.2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</row>
    <row r="308" ht="14.2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</row>
    <row r="309" ht="14.2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</row>
    <row r="310" ht="14.2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</row>
    <row r="311" ht="14.2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</row>
    <row r="312" ht="14.2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</row>
    <row r="313" ht="14.2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</row>
    <row r="314" ht="14.2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</row>
    <row r="315" ht="14.2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</row>
    <row r="316" ht="14.2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</row>
    <row r="317" ht="14.2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</row>
    <row r="318" ht="14.2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</row>
    <row r="319" ht="14.2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</row>
    <row r="320" ht="14.2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</row>
    <row r="321" ht="14.2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</row>
    <row r="322" ht="14.2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</row>
    <row r="323" ht="14.2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</row>
    <row r="324" ht="14.2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</row>
    <row r="325" ht="14.2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</row>
    <row r="326" ht="14.2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</row>
    <row r="327" ht="14.2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</row>
    <row r="328" ht="14.2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</row>
    <row r="329" ht="14.2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</row>
    <row r="330" ht="14.2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</row>
    <row r="331" ht="14.2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</row>
    <row r="332" ht="14.2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</row>
    <row r="333" ht="14.2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</row>
    <row r="334" ht="14.2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</row>
    <row r="335" ht="14.2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</row>
    <row r="336" ht="14.2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</row>
    <row r="337" ht="14.2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</row>
    <row r="338" ht="14.2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</row>
    <row r="339" ht="14.2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</row>
    <row r="340" ht="14.2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</row>
    <row r="341" ht="14.2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</row>
    <row r="342" ht="14.2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</row>
    <row r="343" ht="14.2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</row>
    <row r="344" ht="14.2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</row>
    <row r="345" ht="14.2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</row>
    <row r="346" ht="14.2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</row>
    <row r="347" ht="14.2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</row>
    <row r="348" ht="14.2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</row>
    <row r="349" ht="14.2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</row>
    <row r="350" ht="14.2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</row>
    <row r="351" ht="14.2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</row>
    <row r="352" ht="14.2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</row>
    <row r="353" ht="14.2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</row>
    <row r="354" ht="14.2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</row>
    <row r="355" ht="14.2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</row>
    <row r="356" ht="14.2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</row>
    <row r="357" ht="14.2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</row>
    <row r="358" ht="14.2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</row>
    <row r="359" ht="14.2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</row>
    <row r="360" ht="14.2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</row>
    <row r="361" ht="14.2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</row>
    <row r="362" ht="14.2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</row>
    <row r="363" ht="14.2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</row>
    <row r="364" ht="14.2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</row>
    <row r="365" ht="14.2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</row>
    <row r="366" ht="14.2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</row>
    <row r="367" ht="14.2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</row>
    <row r="368" ht="14.2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</row>
    <row r="369" ht="14.2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4:K14"/>
    <mergeCell ref="A15:K15"/>
    <mergeCell ref="A16:K16"/>
    <mergeCell ref="A17:K17"/>
    <mergeCell ref="A18:K18"/>
    <mergeCell ref="A19:K19"/>
    <mergeCell ref="A20:K20"/>
    <mergeCell ref="A21:N21"/>
    <mergeCell ref="C3:D3"/>
    <mergeCell ref="A6:K7"/>
    <mergeCell ref="A8:K8"/>
    <mergeCell ref="A9:K9"/>
    <mergeCell ref="A10:K10"/>
    <mergeCell ref="A12:K12"/>
    <mergeCell ref="A13:K13"/>
  </mergeCells>
  <dataValidations count="3">
    <dataValidation type="list" allowBlank="1" showErrorMessage="1" sqref="B24:B169">
      <formula1>'listas de opções'!$E$2:$E$64</formula1>
    </dataValidation>
    <dataValidation type="list" allowBlank="1" showErrorMessage="1" sqref="B1">
      <formula1>'listas de opções'!$A$2:$A$18</formula1>
    </dataValidation>
    <dataValidation type="list" allowBlank="1" showErrorMessage="1" sqref="A24:A169">
      <formula1>'listas de opções'!$C$2:$C$18</formula1>
    </dataValidation>
  </dataValidations>
  <hyperlinks>
    <hyperlink ref="A11" r:id="rId1h"/>
    <hyperlink ref="A12" r:id="rId2h"/>
    <hyperlink ref="A13" r:id="rId3h"/>
  </hyperlinks>
  <pageMargins bottom="0.787401575" footer="0.0" header="0.0" left="0.511811024" right="0.511811024" top="0.78740157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2.29" hidden="0" customWidth="1"/>
    <col min="2" max="2" width="17.71" hidden="0" customWidth="1"/>
    <col min="3" max="3" width="18.29" hidden="0" customWidth="1"/>
    <col min="4" max="4" width="14.71" hidden="0" customWidth="1"/>
    <col min="5" max="5" width="15.71" hidden="0" customWidth="1"/>
    <col min="6" max="6" width="12.71" hidden="0" customWidth="1"/>
    <col min="7" max="7" width="16.14" hidden="0" customWidth="1"/>
    <col min="8" max="8" width="19" hidden="0" customWidth="1"/>
    <col min="9" max="9" width="23.43" hidden="0" customWidth="1"/>
    <col min="10" max="10" width="23.71" hidden="0" customWidth="1"/>
  </cols>
  <sheetData>
    <row r="1" ht="14.25" customHeight="1">
      <c r="A1" s="31" t="s">
        <v>1</v>
      </c>
      <c r="B1" s="31" t="s">
        <v>207</v>
      </c>
      <c r="C1" s="31" t="s">
        <v>208</v>
      </c>
      <c r="D1" s="31" t="s">
        <v>209</v>
      </c>
      <c r="E1" s="32" t="s">
        <v>210</v>
      </c>
      <c r="F1" s="31" t="s">
        <v>123</v>
      </c>
      <c r="G1" s="31" t="s">
        <v>211</v>
      </c>
      <c r="H1" s="31" t="s">
        <v>212</v>
      </c>
      <c r="I1" s="31" t="s">
        <v>213</v>
      </c>
      <c r="J1" s="31" t="s">
        <v>214</v>
      </c>
    </row>
    <row r="2" ht="35.25" customHeight="1">
      <c r="A2" s="33" t="s">
        <v>59</v>
      </c>
      <c r="B2" s="33" t="s">
        <v>35</v>
      </c>
      <c r="C2" s="33" t="s">
        <v>132</v>
      </c>
      <c r="D2" s="33" t="n">
        <v>1041.0</v>
      </c>
      <c r="E2" s="34" t="n">
        <v>35.9</v>
      </c>
      <c r="F2" s="33" t="n">
        <v>21.0</v>
      </c>
      <c r="G2" s="34" t="n">
        <v>54.9</v>
      </c>
      <c r="H2" s="34" t="n">
        <v>61.26</v>
      </c>
      <c r="I2" s="34" t="n">
        <f t="shared" ref="I2:I40" si="1">(D2*(1-E2/100)*1.1)</f>
        <v>734.0091</v>
      </c>
      <c r="J2" s="34" t="n">
        <f t="shared" ref="J2:J40" si="2">D2*(1-E2/100)</f>
        <v>667.281</v>
      </c>
    </row>
    <row r="3" ht="35.25" customHeight="1">
      <c r="A3" s="33" t="s">
        <v>59</v>
      </c>
      <c r="B3" s="33" t="s">
        <v>35</v>
      </c>
      <c r="C3" s="33" t="s">
        <v>136</v>
      </c>
      <c r="D3" s="33" t="n">
        <v>124.0</v>
      </c>
      <c r="E3" s="34" t="n">
        <v>12.55</v>
      </c>
      <c r="F3" s="33" t="n">
        <v>3.0</v>
      </c>
      <c r="G3" s="34" t="n">
        <v>0.0</v>
      </c>
      <c r="H3" s="34" t="n">
        <v>0.0</v>
      </c>
      <c r="I3" s="34" t="n">
        <f t="shared" si="1"/>
        <v>119.2818</v>
      </c>
      <c r="J3" s="34" t="n">
        <f t="shared" si="2"/>
        <v>108.438</v>
      </c>
    </row>
    <row r="4" ht="35.25" customHeight="1">
      <c r="A4" s="33" t="s">
        <v>59</v>
      </c>
      <c r="B4" s="33" t="s">
        <v>35</v>
      </c>
      <c r="C4" s="33" t="s">
        <v>138</v>
      </c>
      <c r="D4" s="33" t="n">
        <v>2642.0</v>
      </c>
      <c r="E4" s="34" t="n">
        <v>42.82</v>
      </c>
      <c r="F4" s="33" t="n">
        <v>53.0</v>
      </c>
      <c r="G4" s="34" t="n">
        <v>64.97</v>
      </c>
      <c r="H4" s="34" t="n">
        <v>88.49</v>
      </c>
      <c r="I4" s="34" t="n">
        <f t="shared" si="1"/>
        <v>1661.76516</v>
      </c>
      <c r="J4" s="34" t="n">
        <f t="shared" si="2"/>
        <v>1510.6956</v>
      </c>
    </row>
    <row r="5" ht="35.25" customHeight="1">
      <c r="A5" s="33" t="s">
        <v>59</v>
      </c>
      <c r="B5" s="33" t="s">
        <v>35</v>
      </c>
      <c r="C5" s="33" t="s">
        <v>140</v>
      </c>
      <c r="D5" s="33" t="n">
        <v>73.0</v>
      </c>
      <c r="E5" s="34" t="n">
        <v>21.9</v>
      </c>
      <c r="F5" s="33" t="n">
        <v>1.0</v>
      </c>
      <c r="G5" s="34" t="n">
        <v>52.26</v>
      </c>
      <c r="H5" s="34" t="n">
        <v>52.26</v>
      </c>
      <c r="I5" s="34" t="n">
        <f t="shared" si="1"/>
        <v>62.7143</v>
      </c>
      <c r="J5" s="34" t="n">
        <f t="shared" si="2"/>
        <v>57.013</v>
      </c>
    </row>
    <row r="6" ht="35.25" customHeight="1">
      <c r="A6" s="33" t="s">
        <v>59</v>
      </c>
      <c r="B6" s="33" t="s">
        <v>35</v>
      </c>
      <c r="C6" s="33" t="s">
        <v>141</v>
      </c>
      <c r="D6" s="33" t="n">
        <v>54.0</v>
      </c>
      <c r="E6" s="34" t="n">
        <v>13.3</v>
      </c>
      <c r="F6" s="33" t="n">
        <v>1.0</v>
      </c>
      <c r="G6" s="34" t="n">
        <v>74.15</v>
      </c>
      <c r="H6" s="34" t="n">
        <v>74.15</v>
      </c>
      <c r="I6" s="34" t="n">
        <f t="shared" si="1"/>
        <v>51.4998</v>
      </c>
      <c r="J6" s="34" t="n">
        <f t="shared" si="2"/>
        <v>46.818</v>
      </c>
    </row>
    <row r="7" ht="35.25" customHeight="1">
      <c r="A7" s="33" t="s">
        <v>59</v>
      </c>
      <c r="B7" s="33" t="s">
        <v>35</v>
      </c>
      <c r="C7" s="33" t="s">
        <v>143</v>
      </c>
      <c r="D7" s="33" t="n">
        <v>196.0</v>
      </c>
      <c r="E7" s="34" t="n">
        <v>18.97</v>
      </c>
      <c r="F7" s="33" t="n">
        <v>1.0</v>
      </c>
      <c r="G7" s="34" t="n">
        <v>56.8</v>
      </c>
      <c r="H7" s="34" t="n">
        <v>73.26</v>
      </c>
      <c r="I7" s="34" t="n">
        <f t="shared" si="1"/>
        <v>174.70068</v>
      </c>
      <c r="J7" s="34" t="n">
        <f t="shared" si="2"/>
        <v>158.8188</v>
      </c>
    </row>
    <row r="8" ht="35.25" customHeight="1">
      <c r="A8" s="33" t="s">
        <v>59</v>
      </c>
      <c r="B8" s="33" t="s">
        <v>35</v>
      </c>
      <c r="C8" s="33" t="s">
        <v>144</v>
      </c>
      <c r="D8" s="33" t="n">
        <v>153.0</v>
      </c>
      <c r="E8" s="34" t="n">
        <v>20.08</v>
      </c>
      <c r="F8" s="33" t="n">
        <v>2.0</v>
      </c>
      <c r="G8" s="34" t="n">
        <v>69.99</v>
      </c>
      <c r="H8" s="34" t="n">
        <v>100.0</v>
      </c>
      <c r="I8" s="34" t="n">
        <f t="shared" si="1"/>
        <v>134.50536</v>
      </c>
      <c r="J8" s="34" t="n">
        <f t="shared" si="2"/>
        <v>122.2776</v>
      </c>
    </row>
    <row r="9" ht="35.25" customHeight="1">
      <c r="A9" s="33" t="s">
        <v>59</v>
      </c>
      <c r="B9" s="33" t="s">
        <v>35</v>
      </c>
      <c r="C9" s="33" t="s">
        <v>134</v>
      </c>
      <c r="D9" s="33" t="n">
        <v>8090.0</v>
      </c>
      <c r="E9" s="34" t="n">
        <v>45.38</v>
      </c>
      <c r="F9" s="33" t="n">
        <v>40.0</v>
      </c>
      <c r="G9" s="34" t="n">
        <v>20.07</v>
      </c>
      <c r="H9" s="34" t="n">
        <v>55.64</v>
      </c>
      <c r="I9" s="34" t="n">
        <f t="shared" si="1"/>
        <v>4860.6338</v>
      </c>
      <c r="J9" s="34" t="n">
        <f t="shared" si="2"/>
        <v>4418.758</v>
      </c>
    </row>
    <row r="10" ht="35.25" customHeight="1">
      <c r="A10" s="33" t="s">
        <v>59</v>
      </c>
      <c r="B10" s="33" t="s">
        <v>63</v>
      </c>
      <c r="C10" s="33" t="s">
        <v>147</v>
      </c>
      <c r="D10" s="33" t="n">
        <v>304.0</v>
      </c>
      <c r="E10" s="34" t="n">
        <v>17.64</v>
      </c>
      <c r="F10" s="33" t="n">
        <v>10.0</v>
      </c>
      <c r="G10" s="34" t="n">
        <v>66.79</v>
      </c>
      <c r="H10" s="34" t="n">
        <v>100.0</v>
      </c>
      <c r="I10" s="34" t="n">
        <f t="shared" si="1"/>
        <v>275.41184</v>
      </c>
      <c r="J10" s="34" t="n">
        <f t="shared" si="2"/>
        <v>250.3744</v>
      </c>
    </row>
    <row r="11" ht="35.25" customHeight="1">
      <c r="A11" s="33" t="s">
        <v>59</v>
      </c>
      <c r="B11" s="33" t="s">
        <v>63</v>
      </c>
      <c r="C11" s="33" t="s">
        <v>150</v>
      </c>
      <c r="D11" s="33" t="n">
        <v>27.0</v>
      </c>
      <c r="E11" s="34" t="n">
        <v>2.73</v>
      </c>
      <c r="F11" s="33" t="n">
        <v>1.0</v>
      </c>
      <c r="G11" s="34" t="n">
        <v>100.0</v>
      </c>
      <c r="H11" s="34" t="n">
        <v>100.0</v>
      </c>
      <c r="I11" s="34" t="n">
        <f t="shared" si="1"/>
        <v>28.88919</v>
      </c>
      <c r="J11" s="34" t="n">
        <f t="shared" si="2"/>
        <v>26.2629</v>
      </c>
    </row>
    <row r="12" ht="35.25" customHeight="1">
      <c r="A12" s="33" t="s">
        <v>59</v>
      </c>
      <c r="B12" s="33" t="s">
        <v>63</v>
      </c>
      <c r="C12" s="33" t="s">
        <v>153</v>
      </c>
      <c r="D12" s="33" t="n">
        <v>53.0</v>
      </c>
      <c r="E12" s="34" t="n">
        <v>5.06</v>
      </c>
      <c r="F12" s="33" t="n">
        <v>1.0</v>
      </c>
      <c r="G12" s="34" t="n">
        <v>88.78</v>
      </c>
      <c r="H12" s="34" t="n">
        <v>100.0</v>
      </c>
      <c r="I12" s="34" t="n">
        <f t="shared" si="1"/>
        <v>55.35002</v>
      </c>
      <c r="J12" s="34" t="n">
        <f t="shared" si="2"/>
        <v>50.3182</v>
      </c>
    </row>
    <row r="13" ht="35.25" customHeight="1">
      <c r="A13" s="33" t="s">
        <v>59</v>
      </c>
      <c r="B13" s="33" t="s">
        <v>63</v>
      </c>
      <c r="C13" s="33" t="s">
        <v>154</v>
      </c>
      <c r="D13" s="33" t="n">
        <v>89.0</v>
      </c>
      <c r="E13" s="34" t="n">
        <v>10.29</v>
      </c>
      <c r="F13" s="33" t="n">
        <v>5.0</v>
      </c>
      <c r="G13" s="34" t="n">
        <v>100.0</v>
      </c>
      <c r="H13" s="34" t="n">
        <v>100.0</v>
      </c>
      <c r="I13" s="34" t="n">
        <f t="shared" si="1"/>
        <v>87.82609</v>
      </c>
      <c r="J13" s="34" t="n">
        <f t="shared" si="2"/>
        <v>79.8419</v>
      </c>
    </row>
    <row r="14" ht="35.25" customHeight="1">
      <c r="A14" s="33" t="s">
        <v>59</v>
      </c>
      <c r="B14" s="33" t="s">
        <v>63</v>
      </c>
      <c r="C14" s="33" t="s">
        <v>155</v>
      </c>
      <c r="D14" s="33" t="n">
        <v>346.0</v>
      </c>
      <c r="E14" s="34" t="n">
        <v>24.01</v>
      </c>
      <c r="F14" s="33" t="n">
        <v>9.0</v>
      </c>
      <c r="G14" s="34" t="n">
        <v>62.11</v>
      </c>
      <c r="H14" s="34" t="n">
        <v>71.11</v>
      </c>
      <c r="I14" s="34" t="n">
        <f t="shared" si="1"/>
        <v>289.21794</v>
      </c>
      <c r="J14" s="34" t="n">
        <f t="shared" si="2"/>
        <v>262.9254</v>
      </c>
    </row>
    <row r="15" ht="35.25" customHeight="1">
      <c r="A15" s="33" t="s">
        <v>59</v>
      </c>
      <c r="B15" s="33" t="s">
        <v>63</v>
      </c>
      <c r="C15" s="33" t="s">
        <v>156</v>
      </c>
      <c r="D15" s="33" t="n">
        <v>79.0</v>
      </c>
      <c r="E15" s="34" t="n">
        <v>10.05</v>
      </c>
      <c r="F15" s="33" t="n">
        <v>1.0</v>
      </c>
      <c r="G15" s="34" t="n">
        <v>67.15</v>
      </c>
      <c r="H15" s="34" t="n">
        <v>79.36</v>
      </c>
      <c r="I15" s="34" t="n">
        <f t="shared" si="1"/>
        <v>78.16655</v>
      </c>
      <c r="J15" s="34" t="n">
        <f t="shared" si="2"/>
        <v>71.0605</v>
      </c>
    </row>
    <row r="16" ht="35.25" customHeight="1">
      <c r="A16" s="33" t="s">
        <v>59</v>
      </c>
      <c r="B16" s="33" t="s">
        <v>63</v>
      </c>
      <c r="C16" s="33" t="s">
        <v>152</v>
      </c>
      <c r="D16" s="33" t="n">
        <v>760.0</v>
      </c>
      <c r="E16" s="34" t="n">
        <v>30.4</v>
      </c>
      <c r="F16" s="33" t="n">
        <v>13.0</v>
      </c>
      <c r="G16" s="34" t="n">
        <v>37.76</v>
      </c>
      <c r="H16" s="34" t="n">
        <v>59.64</v>
      </c>
      <c r="I16" s="34" t="n">
        <f t="shared" si="1"/>
        <v>581.856</v>
      </c>
      <c r="J16" s="34" t="n">
        <f t="shared" si="2"/>
        <v>528.96</v>
      </c>
    </row>
    <row r="17" ht="35.25" customHeight="1">
      <c r="A17" s="33" t="s">
        <v>59</v>
      </c>
      <c r="B17" s="33" t="s">
        <v>63</v>
      </c>
      <c r="C17" s="33" t="s">
        <v>158</v>
      </c>
      <c r="D17" s="33" t="n">
        <v>229.0</v>
      </c>
      <c r="E17" s="34" t="n">
        <v>5.16</v>
      </c>
      <c r="F17" s="33" t="n">
        <v>6.0</v>
      </c>
      <c r="G17" s="34" t="n">
        <v>64.05</v>
      </c>
      <c r="H17" s="34" t="n">
        <v>64.0</v>
      </c>
      <c r="I17" s="34" t="n">
        <f t="shared" si="1"/>
        <v>238.90196</v>
      </c>
      <c r="J17" s="34" t="n">
        <f t="shared" si="2"/>
        <v>217.1836</v>
      </c>
    </row>
    <row r="18" ht="35.25" customHeight="1">
      <c r="A18" s="33" t="s">
        <v>59</v>
      </c>
      <c r="B18" s="33" t="s">
        <v>63</v>
      </c>
      <c r="C18" s="33" t="s">
        <v>160</v>
      </c>
      <c r="D18" s="33" t="n">
        <v>1324.0</v>
      </c>
      <c r="E18" s="34" t="n">
        <v>24.87</v>
      </c>
      <c r="F18" s="33" t="n">
        <v>16.0</v>
      </c>
      <c r="G18" s="34" t="n">
        <v>22.66</v>
      </c>
      <c r="H18" s="34" t="n">
        <v>43.84</v>
      </c>
      <c r="I18" s="34" t="n">
        <f t="shared" si="1"/>
        <v>1094.19332</v>
      </c>
      <c r="J18" s="34" t="n">
        <f t="shared" si="2"/>
        <v>994.7212</v>
      </c>
    </row>
    <row r="19" ht="35.25" customHeight="1">
      <c r="A19" s="33" t="s">
        <v>59</v>
      </c>
      <c r="B19" s="33" t="s">
        <v>63</v>
      </c>
      <c r="C19" s="33" t="s">
        <v>163</v>
      </c>
      <c r="D19" s="33" t="n">
        <v>89.0</v>
      </c>
      <c r="E19" s="34" t="n">
        <v>25.33</v>
      </c>
      <c r="F19" s="33" t="n">
        <v>4.0</v>
      </c>
      <c r="G19" s="34" t="n">
        <v>100.0</v>
      </c>
      <c r="H19" s="34" t="n">
        <v>100.0</v>
      </c>
      <c r="I19" s="34" t="n">
        <f t="shared" si="1"/>
        <v>73.10193</v>
      </c>
      <c r="J19" s="34" t="n">
        <f t="shared" si="2"/>
        <v>66.4563</v>
      </c>
    </row>
    <row r="20" ht="35.25" customHeight="1">
      <c r="A20" s="33" t="s">
        <v>59</v>
      </c>
      <c r="B20" s="33" t="s">
        <v>63</v>
      </c>
      <c r="C20" s="33" t="s">
        <v>149</v>
      </c>
      <c r="D20" s="33" t="n">
        <v>1011.0</v>
      </c>
      <c r="E20" s="34" t="n">
        <v>28.71</v>
      </c>
      <c r="F20" s="33" t="n">
        <v>17.0</v>
      </c>
      <c r="G20" s="34" t="n">
        <v>35.0</v>
      </c>
      <c r="H20" s="34" t="n">
        <v>56.14</v>
      </c>
      <c r="I20" s="34" t="n">
        <f t="shared" si="1"/>
        <v>792.81609</v>
      </c>
      <c r="J20" s="34" t="n">
        <f t="shared" si="2"/>
        <v>720.7419</v>
      </c>
    </row>
    <row r="21" ht="35.25" customHeight="1">
      <c r="A21" s="33" t="s">
        <v>59</v>
      </c>
      <c r="B21" s="33" t="s">
        <v>63</v>
      </c>
      <c r="C21" s="33" t="s">
        <v>164</v>
      </c>
      <c r="D21" s="33" t="n">
        <v>106.0</v>
      </c>
      <c r="E21" s="34" t="n">
        <v>15.61</v>
      </c>
      <c r="F21" s="33" t="n">
        <v>4.0</v>
      </c>
      <c r="G21" s="34" t="n">
        <v>75.79</v>
      </c>
      <c r="H21" s="34" t="n">
        <v>75.79</v>
      </c>
      <c r="I21" s="34" t="n">
        <f t="shared" si="1"/>
        <v>98.39874</v>
      </c>
      <c r="J21" s="34" t="n">
        <f t="shared" si="2"/>
        <v>89.4534</v>
      </c>
    </row>
    <row r="22" ht="35.25" customHeight="1">
      <c r="A22" s="33" t="s">
        <v>59</v>
      </c>
      <c r="B22" s="33" t="s">
        <v>63</v>
      </c>
      <c r="C22" s="33" t="s">
        <v>165</v>
      </c>
      <c r="D22" s="33" t="n">
        <v>219.0</v>
      </c>
      <c r="E22" s="34" t="n">
        <v>7.23</v>
      </c>
      <c r="F22" s="33" t="n">
        <v>6.0</v>
      </c>
      <c r="G22" s="34" t="n">
        <v>70.0</v>
      </c>
      <c r="H22" s="34" t="n">
        <v>100.0</v>
      </c>
      <c r="I22" s="34" t="n">
        <f t="shared" si="1"/>
        <v>223.48293</v>
      </c>
      <c r="J22" s="34" t="n">
        <f t="shared" si="2"/>
        <v>203.1663</v>
      </c>
    </row>
    <row r="23" ht="35.25" customHeight="1">
      <c r="A23" s="33" t="s">
        <v>59</v>
      </c>
      <c r="B23" s="33" t="s">
        <v>63</v>
      </c>
      <c r="C23" s="33" t="s">
        <v>166</v>
      </c>
      <c r="D23" s="33" t="n">
        <v>85.0</v>
      </c>
      <c r="E23" s="34" t="n">
        <v>10.19</v>
      </c>
      <c r="F23" s="33" t="n">
        <v>3.0</v>
      </c>
      <c r="G23" s="34" t="n">
        <v>77.12</v>
      </c>
      <c r="H23" s="34" t="n">
        <v>77.12</v>
      </c>
      <c r="I23" s="34" t="n">
        <f t="shared" si="1"/>
        <v>83.97235</v>
      </c>
      <c r="J23" s="34" t="n">
        <f t="shared" si="2"/>
        <v>76.3385</v>
      </c>
    </row>
    <row r="24" ht="35.25" customHeight="1">
      <c r="A24" s="33" t="s">
        <v>59</v>
      </c>
      <c r="B24" s="33" t="s">
        <v>63</v>
      </c>
      <c r="C24" s="33" t="s">
        <v>167</v>
      </c>
      <c r="D24" s="33" t="n">
        <v>112.0</v>
      </c>
      <c r="E24" s="34" t="n">
        <v>14.38</v>
      </c>
      <c r="F24" s="33" t="n">
        <v>4.0</v>
      </c>
      <c r="G24" s="34" t="n">
        <v>100.0</v>
      </c>
      <c r="H24" s="34" t="n">
        <v>100.0</v>
      </c>
      <c r="I24" s="34" t="n">
        <f t="shared" si="1"/>
        <v>105.48384</v>
      </c>
      <c r="J24" s="34" t="n">
        <f t="shared" si="2"/>
        <v>95.8944</v>
      </c>
    </row>
    <row r="25" ht="35.25" customHeight="1">
      <c r="A25" s="33" t="s">
        <v>59</v>
      </c>
      <c r="B25" s="33" t="s">
        <v>63</v>
      </c>
      <c r="C25" s="33" t="s">
        <v>168</v>
      </c>
      <c r="D25" s="33" t="n">
        <v>41.0</v>
      </c>
      <c r="E25" s="34" t="n">
        <v>4.67</v>
      </c>
      <c r="F25" s="33" t="n">
        <v>2.0</v>
      </c>
      <c r="G25" s="34" t="n">
        <v>83.19</v>
      </c>
      <c r="H25" s="34" t="n">
        <v>100.0</v>
      </c>
      <c r="I25" s="34" t="n">
        <f t="shared" si="1"/>
        <v>42.99383</v>
      </c>
      <c r="J25" s="34" t="n">
        <f t="shared" si="2"/>
        <v>39.0853</v>
      </c>
    </row>
    <row r="26" ht="35.25" customHeight="1">
      <c r="A26" s="33" t="s">
        <v>59</v>
      </c>
      <c r="B26" s="33" t="s">
        <v>63</v>
      </c>
      <c r="C26" s="33" t="s">
        <v>169</v>
      </c>
      <c r="D26" s="33" t="n">
        <v>79.0</v>
      </c>
      <c r="E26" s="34" t="n">
        <v>6.52</v>
      </c>
      <c r="F26" s="33" t="n">
        <v>3.0</v>
      </c>
      <c r="G26" s="34" t="n">
        <v>100.0</v>
      </c>
      <c r="H26" s="34" t="n">
        <v>100.0</v>
      </c>
      <c r="I26" s="34" t="n">
        <f t="shared" si="1"/>
        <v>81.23412</v>
      </c>
      <c r="J26" s="34" t="n">
        <f t="shared" si="2"/>
        <v>73.8492</v>
      </c>
    </row>
    <row r="27" ht="35.25" customHeight="1">
      <c r="A27" s="33" t="s">
        <v>59</v>
      </c>
      <c r="B27" s="33" t="s">
        <v>81</v>
      </c>
      <c r="C27" s="33" t="s">
        <v>170</v>
      </c>
      <c r="D27" s="33" t="n">
        <v>1627.0</v>
      </c>
      <c r="E27" s="34" t="n">
        <v>18.25</v>
      </c>
      <c r="F27" s="33" t="n">
        <v>13.0</v>
      </c>
      <c r="G27" s="34" t="n">
        <v>76.65</v>
      </c>
      <c r="H27" s="34" t="n">
        <v>79.36</v>
      </c>
      <c r="I27" s="34" t="n">
        <f t="shared" si="1"/>
        <v>1463.07975</v>
      </c>
      <c r="J27" s="34" t="n">
        <f t="shared" si="2"/>
        <v>1330.0725</v>
      </c>
    </row>
    <row r="28" ht="35.25" customHeight="1">
      <c r="A28" s="33" t="s">
        <v>59</v>
      </c>
      <c r="B28" s="33" t="s">
        <v>81</v>
      </c>
      <c r="C28" s="33" t="s">
        <v>367</v>
      </c>
      <c r="D28" s="33" t="n">
        <v>490.0</v>
      </c>
      <c r="E28" s="34" t="n">
        <v>9.62</v>
      </c>
      <c r="F28" s="33" t="n">
        <v>8.0</v>
      </c>
      <c r="G28" s="34" t="n">
        <v>0.0</v>
      </c>
      <c r="H28" s="34" t="n">
        <v>79.35</v>
      </c>
      <c r="I28" s="34" t="n">
        <f t="shared" si="1"/>
        <v>487.1482</v>
      </c>
      <c r="J28" s="34" t="n">
        <f t="shared" si="2"/>
        <v>442.862</v>
      </c>
    </row>
    <row r="29" ht="35.25" customHeight="1">
      <c r="A29" s="33" t="s">
        <v>59</v>
      </c>
      <c r="B29" s="33" t="s">
        <v>81</v>
      </c>
      <c r="C29" s="33" t="s">
        <v>177</v>
      </c>
      <c r="D29" s="35" t="n">
        <v>1106.0</v>
      </c>
      <c r="E29" s="34" t="n">
        <v>16.63</v>
      </c>
      <c r="F29" s="33" t="n">
        <v>26.0</v>
      </c>
      <c r="G29" s="34" t="n">
        <v>93.05</v>
      </c>
      <c r="H29" s="34" t="n">
        <v>100.0</v>
      </c>
      <c r="I29" s="34" t="n">
        <f t="shared" si="1"/>
        <v>1014.27942</v>
      </c>
      <c r="J29" s="34" t="n">
        <f t="shared" si="2"/>
        <v>922.0722</v>
      </c>
    </row>
    <row r="30" ht="35.25" customHeight="1">
      <c r="A30" s="33" t="s">
        <v>59</v>
      </c>
      <c r="B30" s="33" t="s">
        <v>81</v>
      </c>
      <c r="C30" s="33" t="s">
        <v>180</v>
      </c>
      <c r="D30" s="35" t="n">
        <v>1280.0</v>
      </c>
      <c r="E30" s="34" t="n">
        <v>11.76</v>
      </c>
      <c r="F30" s="33" t="n">
        <v>21.0</v>
      </c>
      <c r="G30" s="34" t="n">
        <v>100.0</v>
      </c>
      <c r="H30" s="34" t="n">
        <v>100.0</v>
      </c>
      <c r="I30" s="34" t="n">
        <f t="shared" si="1"/>
        <v>1242.4192</v>
      </c>
      <c r="J30" s="34" t="n">
        <f t="shared" si="2"/>
        <v>1129.472</v>
      </c>
    </row>
    <row r="31" ht="35.25" customHeight="1">
      <c r="A31" s="33" t="s">
        <v>59</v>
      </c>
      <c r="B31" s="33" t="s">
        <v>98</v>
      </c>
      <c r="C31" s="33" t="s">
        <v>184</v>
      </c>
      <c r="D31" s="33" t="n">
        <v>657.0</v>
      </c>
      <c r="E31" s="34" t="n">
        <v>13.69</v>
      </c>
      <c r="F31" s="33" t="n">
        <v>20.0</v>
      </c>
      <c r="G31" s="34" t="n">
        <v>66.23</v>
      </c>
      <c r="H31" s="34" t="s">
        <v>185</v>
      </c>
      <c r="I31" s="34" t="n">
        <f t="shared" si="1"/>
        <v>623.76237</v>
      </c>
      <c r="J31" s="34" t="n">
        <f t="shared" si="2"/>
        <v>567.0567</v>
      </c>
    </row>
    <row r="32" ht="35.25" customHeight="1">
      <c r="A32" s="33" t="s">
        <v>59</v>
      </c>
      <c r="B32" s="33" t="s">
        <v>98</v>
      </c>
      <c r="C32" s="33" t="s">
        <v>187</v>
      </c>
      <c r="D32" s="33" t="n">
        <v>38.0</v>
      </c>
      <c r="E32" s="34" t="n">
        <v>5.44</v>
      </c>
      <c r="F32" s="33" t="n">
        <v>2.0</v>
      </c>
      <c r="G32" s="34" t="n">
        <v>100.0</v>
      </c>
      <c r="H32" s="34" t="n">
        <v>100.0</v>
      </c>
      <c r="I32" s="34" t="n">
        <f t="shared" si="1"/>
        <v>39.52608</v>
      </c>
      <c r="J32" s="34" t="n">
        <f t="shared" si="2"/>
        <v>35.9328</v>
      </c>
    </row>
    <row r="33" ht="35.25" customHeight="1">
      <c r="A33" s="33" t="s">
        <v>59</v>
      </c>
      <c r="B33" s="33" t="s">
        <v>98</v>
      </c>
      <c r="C33" s="33" t="s">
        <v>190</v>
      </c>
      <c r="D33" s="33" t="n">
        <v>62.0</v>
      </c>
      <c r="E33" s="34" t="n">
        <v>5.59</v>
      </c>
      <c r="F33" s="33" t="n">
        <v>3.0</v>
      </c>
      <c r="G33" s="34" t="n">
        <v>51.79</v>
      </c>
      <c r="H33" s="34" t="n">
        <v>100.0</v>
      </c>
      <c r="I33" s="34" t="n">
        <f t="shared" si="1"/>
        <v>64.38762</v>
      </c>
      <c r="J33" s="34" t="n">
        <f t="shared" si="2"/>
        <v>58.5342</v>
      </c>
    </row>
    <row r="34" ht="35.25" customHeight="1">
      <c r="A34" s="33" t="s">
        <v>59</v>
      </c>
      <c r="B34" s="33" t="s">
        <v>98</v>
      </c>
      <c r="C34" s="33" t="s">
        <v>192</v>
      </c>
      <c r="D34" s="35" t="n">
        <v>2172.0</v>
      </c>
      <c r="E34" s="34" t="n">
        <v>28.22</v>
      </c>
      <c r="F34" s="33" t="n">
        <v>29.0</v>
      </c>
      <c r="G34" s="34" t="n">
        <v>43.04</v>
      </c>
      <c r="H34" s="34" t="s">
        <v>193</v>
      </c>
      <c r="I34" s="34" t="n">
        <f t="shared" si="1"/>
        <v>1714.96776</v>
      </c>
      <c r="J34" s="34" t="n">
        <f t="shared" si="2"/>
        <v>1559.0616</v>
      </c>
    </row>
    <row r="35" ht="35.25" customHeight="1">
      <c r="A35" s="33" t="s">
        <v>59</v>
      </c>
      <c r="B35" s="33" t="s">
        <v>98</v>
      </c>
      <c r="C35" s="33" t="s">
        <v>196</v>
      </c>
      <c r="D35" s="33" t="n">
        <v>54.0</v>
      </c>
      <c r="E35" s="34" t="n">
        <v>6.68</v>
      </c>
      <c r="F35" s="33" t="n">
        <v>2.0</v>
      </c>
      <c r="G35" s="34" t="n">
        <v>89.59</v>
      </c>
      <c r="H35" s="34" t="n">
        <v>100.0</v>
      </c>
      <c r="I35" s="34" t="n">
        <f t="shared" si="1"/>
        <v>55.43208</v>
      </c>
      <c r="J35" s="34" t="n">
        <f t="shared" si="2"/>
        <v>50.3928</v>
      </c>
    </row>
    <row r="36" ht="35.25" customHeight="1">
      <c r="A36" s="33" t="s">
        <v>59</v>
      </c>
      <c r="B36" s="33" t="s">
        <v>98</v>
      </c>
      <c r="C36" s="33" t="s">
        <v>197</v>
      </c>
      <c r="D36" s="33" t="n">
        <v>94.0</v>
      </c>
      <c r="E36" s="34" t="n">
        <v>8.81</v>
      </c>
      <c r="F36" s="33" t="n">
        <v>3.0</v>
      </c>
      <c r="G36" s="34" t="n">
        <v>100.0</v>
      </c>
      <c r="H36" s="34" t="n">
        <v>100.0</v>
      </c>
      <c r="I36" s="34" t="n">
        <f t="shared" si="1"/>
        <v>94.29046</v>
      </c>
      <c r="J36" s="34" t="n">
        <f t="shared" si="2"/>
        <v>85.7186</v>
      </c>
    </row>
    <row r="37" ht="35.25" customHeight="1">
      <c r="A37" s="33" t="s">
        <v>59</v>
      </c>
      <c r="B37" s="33" t="s">
        <v>98</v>
      </c>
      <c r="C37" s="33" t="s">
        <v>199</v>
      </c>
      <c r="D37" s="33" t="n">
        <v>105.0</v>
      </c>
      <c r="E37" s="34" t="n">
        <v>7.14</v>
      </c>
      <c r="F37" s="33" t="n">
        <v>4.0</v>
      </c>
      <c r="G37" s="34" t="n">
        <v>63.43</v>
      </c>
      <c r="H37" s="34" t="n">
        <v>100.0</v>
      </c>
      <c r="I37" s="34" t="n">
        <f t="shared" si="1"/>
        <v>107.2533</v>
      </c>
      <c r="J37" s="34" t="n">
        <f t="shared" si="2"/>
        <v>97.503</v>
      </c>
    </row>
    <row r="38" ht="35.25" customHeight="1">
      <c r="A38" s="33" t="s">
        <v>59</v>
      </c>
      <c r="B38" s="33" t="s">
        <v>98</v>
      </c>
      <c r="C38" s="33" t="s">
        <v>201</v>
      </c>
      <c r="D38" s="33" t="n">
        <v>101.0</v>
      </c>
      <c r="E38" s="34" t="n">
        <v>11.66</v>
      </c>
      <c r="F38" s="33" t="n">
        <v>3.0</v>
      </c>
      <c r="G38" s="34" t="n">
        <v>96.85</v>
      </c>
      <c r="H38" s="34" t="s">
        <v>202</v>
      </c>
      <c r="I38" s="34" t="n">
        <f t="shared" si="1"/>
        <v>98.14574</v>
      </c>
      <c r="J38" s="34" t="n">
        <f t="shared" si="2"/>
        <v>89.2234</v>
      </c>
    </row>
    <row r="39" ht="35.25" customHeight="1">
      <c r="A39" s="33" t="s">
        <v>59</v>
      </c>
      <c r="B39" s="33" t="s">
        <v>98</v>
      </c>
      <c r="C39" s="33" t="s">
        <v>59</v>
      </c>
      <c r="D39" s="35" t="n">
        <v>3322.0</v>
      </c>
      <c r="E39" s="34" t="n">
        <v>33.49</v>
      </c>
      <c r="F39" s="33" t="n">
        <v>44.0</v>
      </c>
      <c r="G39" s="34" t="n">
        <v>32.87</v>
      </c>
      <c r="H39" s="34" t="s">
        <v>203</v>
      </c>
      <c r="I39" s="34" t="n">
        <f t="shared" si="1"/>
        <v>2430.40842</v>
      </c>
      <c r="J39" s="34" t="n">
        <f t="shared" si="2"/>
        <v>2209.4622</v>
      </c>
    </row>
    <row r="40" ht="35.25" customHeight="1">
      <c r="A40" s="33" t="s">
        <v>59</v>
      </c>
      <c r="B40" s="33" t="s">
        <v>98</v>
      </c>
      <c r="C40" s="33" t="s">
        <v>205</v>
      </c>
      <c r="D40" s="33" t="n">
        <v>430.0</v>
      </c>
      <c r="E40" s="34" t="n">
        <v>19.38</v>
      </c>
      <c r="F40" s="33" t="n">
        <v>7.0</v>
      </c>
      <c r="G40" s="34" t="n">
        <v>29.25</v>
      </c>
      <c r="H40" s="34" t="s">
        <v>206</v>
      </c>
      <c r="I40" s="34" t="n">
        <f t="shared" si="1"/>
        <v>381.3326</v>
      </c>
      <c r="J40" s="34" t="n">
        <f t="shared" si="2"/>
        <v>346.666</v>
      </c>
    </row>
    <row r="41" ht="14.25" customHeight="1">
      <c r="A41" s="36"/>
      <c r="B41" s="36"/>
      <c r="C41" s="36"/>
      <c r="D41" s="36"/>
      <c r="E41" s="37"/>
      <c r="F41" s="36"/>
      <c r="G41" s="36"/>
      <c r="H41" s="36"/>
      <c r="I41" s="36"/>
      <c r="J41" s="36"/>
    </row>
    <row r="42" ht="14.2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</row>
    <row r="43" ht="14.2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</row>
    <row r="44" ht="14.2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</row>
    <row r="45" ht="14.2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</row>
    <row r="46" ht="14.2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</row>
    <row r="47" ht="14.2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</row>
    <row r="48" ht="14.2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</row>
    <row r="49" ht="14.2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</row>
    <row r="50" ht="14.2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</row>
    <row r="51" ht="14.2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</row>
    <row r="52" ht="14.2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</row>
    <row r="53" ht="14.2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</row>
    <row r="54" ht="14.2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</row>
    <row r="55" ht="14.2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</row>
    <row r="56" ht="14.2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</row>
    <row r="57" ht="14.2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</row>
    <row r="58" ht="14.2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</row>
    <row r="59" ht="14.2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</row>
    <row r="60" ht="14.2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</row>
    <row r="61" ht="14.2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</row>
    <row r="62" ht="14.2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</row>
    <row r="63" ht="14.2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</row>
    <row r="64" ht="14.2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</row>
    <row r="65" ht="14.2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</row>
    <row r="66" ht="14.2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</row>
    <row r="67" ht="14.2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</row>
    <row r="68" ht="14.2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</row>
    <row r="69" ht="14.2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</row>
    <row r="70" ht="14.2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</row>
    <row r="71" ht="14.2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</row>
    <row r="72" ht="14.2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</row>
    <row r="73" ht="14.2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</row>
    <row r="74" ht="14.2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</row>
    <row r="75" ht="14.2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</row>
    <row r="76" ht="14.2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</row>
    <row r="77" ht="14.2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</row>
    <row r="78" ht="14.2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</row>
    <row r="79" ht="14.2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</row>
    <row r="80" ht="14.2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</row>
    <row r="81" ht="14.2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</row>
    <row r="82" ht="14.2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</row>
    <row r="83" ht="14.2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</row>
    <row r="84" ht="14.2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</row>
    <row r="85" ht="14.2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</row>
    <row r="86" ht="14.2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</row>
    <row r="87" ht="14.2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</row>
    <row r="88" ht="14.2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</row>
    <row r="89" ht="14.2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</row>
    <row r="90" ht="14.2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</row>
    <row r="91" ht="14.2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</row>
    <row r="92" ht="14.2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</row>
    <row r="93" ht="14.2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</row>
    <row r="94" ht="14.2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</row>
    <row r="95" ht="14.2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</row>
    <row r="96" ht="14.2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</row>
    <row r="97" ht="14.2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</row>
    <row r="98" ht="14.2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</row>
    <row r="99" ht="14.2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</row>
    <row r="100" ht="14.2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</row>
    <row r="101" ht="14.2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</row>
    <row r="102" ht="14.2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</row>
    <row r="103" ht="14.2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</row>
    <row r="104" ht="14.2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</row>
    <row r="105" ht="14.2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</row>
    <row r="106" ht="14.2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</row>
    <row r="107" ht="14.2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</row>
    <row r="108" ht="14.2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</row>
    <row r="109" ht="14.2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</row>
    <row r="110" ht="14.2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</row>
    <row r="111" ht="14.2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</row>
    <row r="112" ht="14.2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</row>
    <row r="113" ht="14.2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</row>
    <row r="114" ht="14.2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</row>
    <row r="115" ht="14.2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</row>
    <row r="116" ht="14.2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</row>
    <row r="117" ht="14.2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</row>
    <row r="118" ht="14.2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</row>
    <row r="119" ht="14.2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</row>
    <row r="120" ht="14.2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</row>
    <row r="121" ht="14.2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</row>
    <row r="122" ht="14.2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</row>
    <row r="123" ht="14.2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</row>
    <row r="124" ht="14.2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</row>
    <row r="125" ht="14.2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</row>
    <row r="126" ht="14.2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</row>
    <row r="127" ht="14.2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</row>
    <row r="128" ht="14.2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</row>
    <row r="129" ht="14.2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</row>
    <row r="130" ht="14.2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</row>
    <row r="131" ht="14.2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</row>
    <row r="132" ht="14.2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</row>
    <row r="133" ht="14.2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</row>
    <row r="134" ht="14.2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</row>
    <row r="135" ht="14.2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</row>
    <row r="136" ht="14.2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</row>
    <row r="137" ht="14.2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</row>
    <row r="138" ht="14.2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</row>
    <row r="139" ht="14.2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</row>
    <row r="140" ht="14.2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</row>
    <row r="141" ht="14.2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</row>
    <row r="142" ht="14.2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</row>
    <row r="143" ht="14.2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</row>
    <row r="144" ht="14.2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</row>
    <row r="145" ht="14.2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</row>
    <row r="146" ht="14.2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</row>
    <row r="147" ht="14.2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</row>
    <row r="148" ht="14.2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</row>
    <row r="149" ht="14.2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</row>
    <row r="150" ht="14.2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</row>
    <row r="151" ht="14.2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</row>
    <row r="152" ht="14.2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</row>
    <row r="153" ht="14.2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</row>
    <row r="154" ht="14.2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</row>
    <row r="155" ht="14.2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</row>
    <row r="156" ht="14.2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</row>
    <row r="157" ht="14.2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</row>
    <row r="158" ht="14.2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</row>
    <row r="159" ht="14.2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</row>
    <row r="160" ht="14.2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</row>
    <row r="161" ht="14.2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</row>
    <row r="162" ht="14.2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</row>
    <row r="163" ht="14.2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</row>
    <row r="164" ht="14.2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</row>
    <row r="165" ht="14.2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</row>
    <row r="166" ht="14.2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</row>
    <row r="167" ht="14.2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</row>
    <row r="168" ht="14.2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</row>
    <row r="169" ht="14.2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</row>
    <row r="170" ht="14.2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</row>
    <row r="171" ht="14.2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</row>
    <row r="172" ht="14.2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</row>
    <row r="173" ht="14.2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</row>
    <row r="174" ht="14.2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</row>
    <row r="175" ht="14.2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</row>
    <row r="176" ht="14.2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</row>
    <row r="177" ht="14.2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</row>
    <row r="178" ht="14.2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</row>
    <row r="179" ht="14.2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</row>
    <row r="180" ht="14.2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</row>
    <row r="181" ht="14.2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</row>
    <row r="182" ht="14.2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</row>
    <row r="183" ht="14.2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</row>
    <row r="184" ht="14.2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</row>
    <row r="185" ht="14.2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</row>
    <row r="186" ht="14.2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</row>
    <row r="187" ht="14.2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</row>
    <row r="188" ht="14.2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</row>
    <row r="189" ht="14.2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</row>
    <row r="190" ht="14.2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</row>
    <row r="191" ht="14.2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</row>
    <row r="192" ht="14.2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</row>
    <row r="193" ht="14.2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</row>
    <row r="194" ht="14.2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</row>
    <row r="195" ht="14.2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</row>
    <row r="196" ht="14.2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</row>
    <row r="197" ht="14.2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</row>
    <row r="198" ht="14.2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</row>
    <row r="199" ht="14.2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</row>
    <row r="200" ht="14.2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</row>
    <row r="201" ht="14.2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</row>
    <row r="202" ht="14.2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</row>
    <row r="203" ht="14.2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</row>
    <row r="204" ht="14.2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</row>
    <row r="205" ht="14.2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</row>
    <row r="206" ht="14.2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</row>
    <row r="207" ht="14.2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</row>
    <row r="208" ht="14.2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</row>
    <row r="209" ht="14.2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</row>
    <row r="210" ht="14.2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</row>
    <row r="211" ht="14.2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</row>
    <row r="212" ht="14.2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</row>
    <row r="213" ht="14.2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</row>
    <row r="214" ht="14.2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</row>
    <row r="215" ht="14.2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</row>
    <row r="216" ht="14.2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</row>
    <row r="217" ht="14.2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</row>
    <row r="218" ht="14.2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</row>
    <row r="219" ht="14.2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</row>
    <row r="220" ht="14.2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</row>
    <row r="221" ht="14.2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</row>
    <row r="222" ht="14.2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</row>
    <row r="223" ht="14.2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</row>
    <row r="224" ht="14.2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</row>
    <row r="225" ht="14.2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</row>
    <row r="226" ht="14.2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</row>
    <row r="227" ht="14.2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</row>
    <row r="228" ht="14.2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</row>
    <row r="229" ht="14.2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</row>
    <row r="230" ht="14.2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</row>
    <row r="231" ht="14.2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</row>
    <row r="232" ht="14.2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</row>
    <row r="233" ht="14.2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</row>
    <row r="234" ht="14.2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</row>
    <row r="235" ht="14.2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</row>
    <row r="236" ht="14.2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</row>
    <row r="237" ht="14.2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</row>
    <row r="238" ht="14.2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</row>
    <row r="239" ht="14.2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</row>
    <row r="240" ht="14.2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</row>
    <row r="241" ht="14.2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dataValidations count="2">
    <dataValidation type="list" allowBlank="1" showErrorMessage="1" sqref="B2:B40">
      <formula1>'listas de opções'!$E$2:$E$64</formula1>
    </dataValidation>
    <dataValidation type="list" allowBlank="1" showErrorMessage="1" sqref="A2:A40">
      <formula1>'listas de opções'!$C$2:$C$18</formula1>
    </dataValidation>
  </dataValidations>
  <pageMargins bottom="0.787401575" footer="0.0" header="0.0" left="0.511811024" right="0.511811024" top="0.78740157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4.71" hidden="0" customWidth="1"/>
    <col min="2" max="2" width="18.86" hidden="0" customWidth="1"/>
    <col min="3" max="3" width="21.29" hidden="0" customWidth="1"/>
    <col min="4" max="4" width="26.71" hidden="0" customWidth="1"/>
    <col min="5" max="5" width="38" hidden="0" customWidth="1"/>
    <col min="6" max="6" width="30.29" hidden="0" customWidth="1"/>
  </cols>
  <sheetData>
    <row r="1" ht="14.25" customHeight="1">
      <c r="A1" s="31" t="s">
        <v>1</v>
      </c>
      <c r="B1" s="31" t="s">
        <v>207</v>
      </c>
      <c r="C1" s="31" t="s">
        <v>208</v>
      </c>
      <c r="D1" s="31" t="s">
        <v>215</v>
      </c>
      <c r="E1" s="31" t="s">
        <v>216</v>
      </c>
      <c r="F1" s="31" t="s">
        <v>217</v>
      </c>
    </row>
    <row r="2" ht="33.0" customHeight="1">
      <c r="A2" s="33" t="s">
        <v>59</v>
      </c>
      <c r="B2" s="33" t="s">
        <v>35</v>
      </c>
      <c r="C2" s="33" t="s">
        <v>132</v>
      </c>
      <c r="D2" s="33" t="n">
        <v>6294049.0</v>
      </c>
      <c r="E2" s="33" t="s">
        <v>218</v>
      </c>
      <c r="F2" s="33" t="s">
        <v>134</v>
      </c>
    </row>
    <row r="3" ht="33.0" customHeight="1">
      <c r="A3" s="33" t="s">
        <v>59</v>
      </c>
      <c r="B3" s="33" t="s">
        <v>35</v>
      </c>
      <c r="C3" s="33" t="s">
        <v>136</v>
      </c>
      <c r="D3" s="33" t="n">
        <v>2085194.0</v>
      </c>
      <c r="E3" s="33" t="s">
        <v>219</v>
      </c>
      <c r="F3" s="33" t="s">
        <v>138</v>
      </c>
    </row>
    <row r="4" ht="33.0" customHeight="1">
      <c r="A4" s="33" t="s">
        <v>59</v>
      </c>
      <c r="B4" s="33" t="s">
        <v>35</v>
      </c>
      <c r="C4" s="33" t="s">
        <v>138</v>
      </c>
      <c r="D4" s="33" t="n">
        <v>2085194.0</v>
      </c>
      <c r="E4" s="33" t="s">
        <v>219</v>
      </c>
      <c r="F4" s="33" t="s">
        <v>138</v>
      </c>
    </row>
    <row r="5" ht="33.0" customHeight="1">
      <c r="A5" s="33" t="s">
        <v>59</v>
      </c>
      <c r="B5" s="33" t="s">
        <v>35</v>
      </c>
      <c r="C5" s="33" t="s">
        <v>140</v>
      </c>
      <c r="D5" s="33" t="n">
        <v>6294049.0</v>
      </c>
      <c r="E5" s="33" t="s">
        <v>218</v>
      </c>
      <c r="F5" s="33" t="s">
        <v>134</v>
      </c>
    </row>
    <row r="6" ht="33.0" customHeight="1">
      <c r="A6" s="33" t="s">
        <v>59</v>
      </c>
      <c r="B6" s="33" t="s">
        <v>35</v>
      </c>
      <c r="C6" s="33" t="s">
        <v>141</v>
      </c>
      <c r="D6" s="33" t="n">
        <v>6294049.0</v>
      </c>
      <c r="E6" s="33" t="s">
        <v>218</v>
      </c>
      <c r="F6" s="33" t="s">
        <v>134</v>
      </c>
    </row>
    <row r="7" ht="33.0" customHeight="1">
      <c r="A7" s="33" t="s">
        <v>59</v>
      </c>
      <c r="B7" s="33" t="s">
        <v>35</v>
      </c>
      <c r="C7" s="33" t="s">
        <v>143</v>
      </c>
      <c r="D7" s="33" t="n">
        <v>6294049.0</v>
      </c>
      <c r="E7" s="33" t="s">
        <v>218</v>
      </c>
      <c r="F7" s="33" t="s">
        <v>134</v>
      </c>
    </row>
    <row r="8" ht="33.0" customHeight="1">
      <c r="A8" s="33" t="s">
        <v>59</v>
      </c>
      <c r="B8" s="33" t="s">
        <v>35</v>
      </c>
      <c r="C8" s="33" t="s">
        <v>144</v>
      </c>
      <c r="D8" s="33" t="n">
        <v>2085194.0</v>
      </c>
      <c r="E8" s="33" t="s">
        <v>219</v>
      </c>
      <c r="F8" s="33" t="s">
        <v>138</v>
      </c>
    </row>
    <row r="9" ht="33.0" customHeight="1">
      <c r="A9" s="33" t="s">
        <v>59</v>
      </c>
      <c r="B9" s="33" t="s">
        <v>35</v>
      </c>
      <c r="C9" s="33" t="s">
        <v>134</v>
      </c>
      <c r="D9" s="33" t="n">
        <v>9628.0</v>
      </c>
      <c r="E9" s="33" t="s">
        <v>220</v>
      </c>
      <c r="F9" s="33" t="s">
        <v>134</v>
      </c>
    </row>
    <row r="10" ht="33.0" customHeight="1">
      <c r="A10" s="33" t="s">
        <v>59</v>
      </c>
      <c r="B10" s="33" t="s">
        <v>35</v>
      </c>
      <c r="C10" s="33" t="s">
        <v>134</v>
      </c>
      <c r="D10" s="33" t="n">
        <v>3363201.0</v>
      </c>
      <c r="E10" s="33" t="s">
        <v>221</v>
      </c>
      <c r="F10" s="33" t="s">
        <v>134</v>
      </c>
    </row>
    <row r="11" ht="33.0" customHeight="1">
      <c r="A11" s="33" t="s">
        <v>59</v>
      </c>
      <c r="B11" s="33" t="s">
        <v>63</v>
      </c>
      <c r="C11" s="33" t="s">
        <v>147</v>
      </c>
      <c r="D11" s="33" t="n">
        <v>2087111.0</v>
      </c>
      <c r="E11" s="33" t="s">
        <v>222</v>
      </c>
      <c r="F11" s="33" t="s">
        <v>149</v>
      </c>
    </row>
    <row r="12" ht="33.0" customHeight="1">
      <c r="A12" s="33" t="s">
        <v>59</v>
      </c>
      <c r="B12" s="33" t="s">
        <v>63</v>
      </c>
      <c r="C12" s="33" t="s">
        <v>150</v>
      </c>
      <c r="D12" s="33" t="n">
        <v>2087111.0</v>
      </c>
      <c r="E12" s="33" t="s">
        <v>222</v>
      </c>
      <c r="F12" s="33" t="s">
        <v>149</v>
      </c>
    </row>
    <row r="13" ht="33.0" customHeight="1">
      <c r="A13" s="33" t="s">
        <v>59</v>
      </c>
      <c r="B13" s="33" t="s">
        <v>63</v>
      </c>
      <c r="C13" s="33" t="s">
        <v>153</v>
      </c>
      <c r="D13" s="33" t="n">
        <v>2087111.0</v>
      </c>
      <c r="E13" s="33" t="s">
        <v>222</v>
      </c>
      <c r="F13" s="33" t="s">
        <v>149</v>
      </c>
    </row>
    <row r="14" ht="33.0" customHeight="1">
      <c r="A14" s="33" t="s">
        <v>59</v>
      </c>
      <c r="B14" s="33" t="s">
        <v>63</v>
      </c>
      <c r="C14" s="33" t="s">
        <v>154</v>
      </c>
      <c r="D14" s="33" t="n">
        <v>2087111.0</v>
      </c>
      <c r="E14" s="33" t="s">
        <v>222</v>
      </c>
      <c r="F14" s="33" t="s">
        <v>149</v>
      </c>
    </row>
    <row r="15" ht="33.0" customHeight="1">
      <c r="A15" s="33" t="s">
        <v>59</v>
      </c>
      <c r="B15" s="33" t="s">
        <v>63</v>
      </c>
      <c r="C15" s="33" t="s">
        <v>155</v>
      </c>
      <c r="D15" s="33" t="n">
        <v>2087111.0</v>
      </c>
      <c r="E15" s="33" t="s">
        <v>222</v>
      </c>
      <c r="F15" s="33" t="s">
        <v>149</v>
      </c>
    </row>
    <row r="16" ht="33.0" customHeight="1">
      <c r="A16" s="33" t="s">
        <v>59</v>
      </c>
      <c r="B16" s="33" t="s">
        <v>63</v>
      </c>
      <c r="C16" s="33" t="s">
        <v>156</v>
      </c>
      <c r="D16" s="33" t="n">
        <v>2087111.0</v>
      </c>
      <c r="E16" s="33" t="s">
        <v>222</v>
      </c>
      <c r="F16" s="33" t="s">
        <v>149</v>
      </c>
    </row>
    <row r="17" ht="33.0" customHeight="1">
      <c r="A17" s="33" t="s">
        <v>59</v>
      </c>
      <c r="B17" s="33" t="s">
        <v>63</v>
      </c>
      <c r="C17" s="33" t="s">
        <v>152</v>
      </c>
      <c r="D17" s="33" t="n">
        <v>2749319.0</v>
      </c>
      <c r="E17" s="33" t="s">
        <v>223</v>
      </c>
      <c r="F17" s="33" t="s">
        <v>59</v>
      </c>
    </row>
    <row r="18" ht="33.0" customHeight="1">
      <c r="A18" s="33" t="s">
        <v>59</v>
      </c>
      <c r="B18" s="33" t="s">
        <v>63</v>
      </c>
      <c r="C18" s="33" t="s">
        <v>158</v>
      </c>
      <c r="D18" s="33" t="n">
        <v>2031027.0</v>
      </c>
      <c r="E18" s="33" t="s">
        <v>224</v>
      </c>
      <c r="F18" s="33" t="s">
        <v>160</v>
      </c>
    </row>
    <row r="19" ht="33.0" customHeight="1">
      <c r="A19" s="33" t="s">
        <v>59</v>
      </c>
      <c r="B19" s="33" t="s">
        <v>63</v>
      </c>
      <c r="C19" s="33" t="s">
        <v>160</v>
      </c>
      <c r="D19" s="33" t="n">
        <v>2031027.0</v>
      </c>
      <c r="E19" s="33" t="s">
        <v>224</v>
      </c>
      <c r="F19" s="33" t="s">
        <v>160</v>
      </c>
    </row>
    <row r="20" ht="33.0" customHeight="1">
      <c r="A20" s="33" t="s">
        <v>59</v>
      </c>
      <c r="B20" s="33" t="s">
        <v>63</v>
      </c>
      <c r="C20" s="33" t="s">
        <v>163</v>
      </c>
      <c r="D20" s="33" t="n">
        <v>2749319.0</v>
      </c>
      <c r="E20" s="33" t="s">
        <v>223</v>
      </c>
      <c r="F20" s="33" t="s">
        <v>59</v>
      </c>
    </row>
    <row r="21" ht="33.0" customHeight="1">
      <c r="A21" s="33" t="s">
        <v>59</v>
      </c>
      <c r="B21" s="33" t="s">
        <v>63</v>
      </c>
      <c r="C21" s="33" t="s">
        <v>149</v>
      </c>
      <c r="D21" s="33" t="n">
        <v>2087111.0</v>
      </c>
      <c r="E21" s="33" t="s">
        <v>222</v>
      </c>
      <c r="F21" s="33" t="s">
        <v>149</v>
      </c>
    </row>
    <row r="22" ht="33.0" customHeight="1">
      <c r="A22" s="33" t="s">
        <v>59</v>
      </c>
      <c r="B22" s="33" t="s">
        <v>63</v>
      </c>
      <c r="C22" s="33" t="s">
        <v>164</v>
      </c>
      <c r="D22" s="33" t="n">
        <v>2087111.0</v>
      </c>
      <c r="E22" s="33" t="s">
        <v>222</v>
      </c>
      <c r="F22" s="33" t="s">
        <v>149</v>
      </c>
    </row>
    <row r="23" ht="33.0" customHeight="1">
      <c r="A23" s="33" t="s">
        <v>59</v>
      </c>
      <c r="B23" s="33" t="s">
        <v>63</v>
      </c>
      <c r="C23" s="33" t="s">
        <v>165</v>
      </c>
      <c r="D23" s="33" t="n">
        <v>2087111.0</v>
      </c>
      <c r="E23" s="33" t="s">
        <v>222</v>
      </c>
      <c r="F23" s="33" t="s">
        <v>149</v>
      </c>
    </row>
    <row r="24" ht="33.0" customHeight="1">
      <c r="A24" s="33" t="s">
        <v>59</v>
      </c>
      <c r="B24" s="33" t="s">
        <v>63</v>
      </c>
      <c r="C24" s="33" t="s">
        <v>166</v>
      </c>
      <c r="D24" s="33" t="n">
        <v>2087111.0</v>
      </c>
      <c r="E24" s="33" t="s">
        <v>222</v>
      </c>
      <c r="F24" s="33" t="s">
        <v>149</v>
      </c>
    </row>
    <row r="25" ht="33.0" customHeight="1">
      <c r="A25" s="33" t="s">
        <v>59</v>
      </c>
      <c r="B25" s="33" t="s">
        <v>63</v>
      </c>
      <c r="C25" s="33" t="s">
        <v>167</v>
      </c>
      <c r="D25" s="33" t="n">
        <v>2087111.0</v>
      </c>
      <c r="E25" s="33" t="s">
        <v>222</v>
      </c>
      <c r="F25" s="33" t="s">
        <v>149</v>
      </c>
    </row>
    <row r="26" ht="33.0" customHeight="1">
      <c r="A26" s="33" t="s">
        <v>59</v>
      </c>
      <c r="B26" s="33" t="s">
        <v>63</v>
      </c>
      <c r="C26" s="33" t="s">
        <v>168</v>
      </c>
      <c r="D26" s="33" t="n">
        <v>2087111.0</v>
      </c>
      <c r="E26" s="33" t="s">
        <v>222</v>
      </c>
      <c r="F26" s="33" t="s">
        <v>149</v>
      </c>
    </row>
    <row r="27" ht="33.0" customHeight="1">
      <c r="A27" s="33" t="s">
        <v>59</v>
      </c>
      <c r="B27" s="33" t="s">
        <v>63</v>
      </c>
      <c r="C27" s="33" t="s">
        <v>169</v>
      </c>
      <c r="D27" s="33" t="n">
        <v>2087111.0</v>
      </c>
      <c r="E27" s="33" t="s">
        <v>222</v>
      </c>
      <c r="F27" s="33" t="s">
        <v>149</v>
      </c>
    </row>
    <row r="28" ht="33.0" customHeight="1">
      <c r="A28" s="33" t="s">
        <v>59</v>
      </c>
      <c r="B28" s="33" t="s">
        <v>81</v>
      </c>
      <c r="C28" s="33" t="s">
        <v>170</v>
      </c>
      <c r="D28" s="33" t="n">
        <v>9768289.0</v>
      </c>
      <c r="E28" s="33" t="s">
        <v>225</v>
      </c>
      <c r="F28" s="33" t="s">
        <v>170</v>
      </c>
    </row>
    <row r="29" ht="33.0" customHeight="1">
      <c r="A29" s="33" t="s">
        <v>59</v>
      </c>
      <c r="B29" s="33" t="s">
        <v>81</v>
      </c>
      <c r="C29" s="33" t="s">
        <v>173</v>
      </c>
      <c r="D29" s="33" t="n">
        <v>9632786.0</v>
      </c>
      <c r="E29" s="33" t="s">
        <v>226</v>
      </c>
      <c r="F29" s="33" t="s">
        <v>175</v>
      </c>
    </row>
    <row r="30" ht="33.0" customHeight="1">
      <c r="A30" s="33" t="s">
        <v>59</v>
      </c>
      <c r="B30" s="33" t="s">
        <v>81</v>
      </c>
      <c r="C30" s="33" t="s">
        <v>177</v>
      </c>
      <c r="D30" s="33" t="n">
        <v>2086824.0</v>
      </c>
      <c r="E30" s="33" t="s">
        <v>227</v>
      </c>
      <c r="F30" s="33" t="s">
        <v>177</v>
      </c>
    </row>
    <row r="31" ht="33.0" customHeight="1">
      <c r="A31" s="33" t="s">
        <v>59</v>
      </c>
      <c r="B31" s="33" t="s">
        <v>81</v>
      </c>
      <c r="C31" s="33" t="s">
        <v>177</v>
      </c>
      <c r="D31" s="33" t="n">
        <v>4201639.0</v>
      </c>
      <c r="E31" s="33" t="s">
        <v>228</v>
      </c>
      <c r="F31" s="33" t="s">
        <v>177</v>
      </c>
    </row>
    <row r="32" ht="33.0" customHeight="1">
      <c r="A32" s="33" t="s">
        <v>59</v>
      </c>
      <c r="B32" s="33" t="s">
        <v>81</v>
      </c>
      <c r="C32" s="33" t="s">
        <v>180</v>
      </c>
      <c r="D32" s="33" t="n">
        <v>2073285.0</v>
      </c>
      <c r="E32" s="33" t="s">
        <v>229</v>
      </c>
      <c r="F32" s="33" t="s">
        <v>180</v>
      </c>
    </row>
    <row r="33" ht="33.0" customHeight="1">
      <c r="A33" s="33" t="s">
        <v>59</v>
      </c>
      <c r="B33" s="33" t="s">
        <v>98</v>
      </c>
      <c r="C33" s="33" t="s">
        <v>184</v>
      </c>
      <c r="D33" s="33" t="n">
        <v>2749319.0</v>
      </c>
      <c r="E33" s="33" t="s">
        <v>223</v>
      </c>
      <c r="F33" s="33" t="s">
        <v>59</v>
      </c>
    </row>
    <row r="34" ht="33.0" customHeight="1">
      <c r="A34" s="33" t="s">
        <v>59</v>
      </c>
      <c r="B34" s="33" t="s">
        <v>98</v>
      </c>
      <c r="C34" s="33" t="s">
        <v>187</v>
      </c>
      <c r="D34" s="33" t="n">
        <v>2749319.0</v>
      </c>
      <c r="E34" s="33" t="s">
        <v>223</v>
      </c>
      <c r="F34" s="33" t="s">
        <v>59</v>
      </c>
    </row>
    <row r="35" ht="33.0" customHeight="1">
      <c r="A35" s="33" t="s">
        <v>59</v>
      </c>
      <c r="B35" s="33" t="s">
        <v>98</v>
      </c>
      <c r="C35" s="33" t="s">
        <v>190</v>
      </c>
      <c r="D35" s="33" t="n">
        <v>2749319.0</v>
      </c>
      <c r="E35" s="33" t="s">
        <v>223</v>
      </c>
      <c r="F35" s="33" t="s">
        <v>59</v>
      </c>
    </row>
    <row r="36" ht="33.0" customHeight="1">
      <c r="A36" s="33" t="s">
        <v>59</v>
      </c>
      <c r="B36" s="33" t="s">
        <v>98</v>
      </c>
      <c r="C36" s="33" t="s">
        <v>192</v>
      </c>
      <c r="D36" s="33" t="n">
        <v>7911246.0</v>
      </c>
      <c r="E36" s="33" t="s">
        <v>230</v>
      </c>
      <c r="F36" s="33" t="s">
        <v>192</v>
      </c>
    </row>
    <row r="37" ht="33.0" customHeight="1">
      <c r="A37" s="33" t="s">
        <v>59</v>
      </c>
      <c r="B37" s="33" t="s">
        <v>98</v>
      </c>
      <c r="C37" s="33" t="s">
        <v>196</v>
      </c>
      <c r="D37" s="33" t="n">
        <v>2749319.0</v>
      </c>
      <c r="E37" s="33" t="s">
        <v>223</v>
      </c>
      <c r="F37" s="33" t="s">
        <v>59</v>
      </c>
    </row>
    <row r="38" ht="33.0" customHeight="1">
      <c r="A38" s="33" t="s">
        <v>59</v>
      </c>
      <c r="B38" s="33" t="s">
        <v>98</v>
      </c>
      <c r="C38" s="33" t="s">
        <v>197</v>
      </c>
      <c r="D38" s="33" t="n">
        <v>2749319.0</v>
      </c>
      <c r="E38" s="33" t="s">
        <v>223</v>
      </c>
      <c r="F38" s="33" t="s">
        <v>59</v>
      </c>
    </row>
    <row r="39" ht="33.0" customHeight="1">
      <c r="A39" s="33" t="s">
        <v>59</v>
      </c>
      <c r="B39" s="33" t="s">
        <v>98</v>
      </c>
      <c r="C39" s="33" t="s">
        <v>199</v>
      </c>
      <c r="D39" s="33" t="n">
        <v>2749319.0</v>
      </c>
      <c r="E39" s="33" t="s">
        <v>223</v>
      </c>
      <c r="F39" s="33" t="s">
        <v>59</v>
      </c>
    </row>
    <row r="40" ht="33.0" customHeight="1">
      <c r="A40" s="33" t="s">
        <v>59</v>
      </c>
      <c r="B40" s="33" t="s">
        <v>98</v>
      </c>
      <c r="C40" s="33" t="s">
        <v>201</v>
      </c>
      <c r="D40" s="33" t="n">
        <v>2749319.0</v>
      </c>
      <c r="E40" s="33" t="s">
        <v>223</v>
      </c>
      <c r="F40" s="33" t="s">
        <v>59</v>
      </c>
    </row>
    <row r="41" ht="33.0" customHeight="1">
      <c r="A41" s="33" t="s">
        <v>59</v>
      </c>
      <c r="B41" s="33" t="s">
        <v>98</v>
      </c>
      <c r="C41" s="33" t="s">
        <v>59</v>
      </c>
      <c r="D41" s="33" t="n">
        <v>2749300.0</v>
      </c>
      <c r="E41" s="33" t="s">
        <v>231</v>
      </c>
      <c r="F41" s="33" t="s">
        <v>59</v>
      </c>
    </row>
    <row r="42" ht="33.0" customHeight="1">
      <c r="A42" s="33" t="s">
        <v>59</v>
      </c>
      <c r="B42" s="33" t="s">
        <v>98</v>
      </c>
      <c r="C42" s="33" t="s">
        <v>59</v>
      </c>
      <c r="D42" s="33" t="n">
        <v>2749319.0</v>
      </c>
      <c r="E42" s="33" t="s">
        <v>223</v>
      </c>
      <c r="F42" s="33" t="s">
        <v>59</v>
      </c>
    </row>
    <row r="43" ht="33.0" customHeight="1">
      <c r="A43" s="33" t="s">
        <v>59</v>
      </c>
      <c r="B43" s="33" t="s">
        <v>98</v>
      </c>
      <c r="C43" s="33" t="s">
        <v>205</v>
      </c>
      <c r="D43" s="33" t="n">
        <v>2749319.0</v>
      </c>
      <c r="E43" s="33" t="s">
        <v>223</v>
      </c>
      <c r="F43" s="33" t="s">
        <v>59</v>
      </c>
    </row>
    <row r="44" ht="14.25" customHeight="1">
      <c r="A44" s="38"/>
      <c r="B44" s="38"/>
      <c r="C44" s="38"/>
      <c r="D44" s="38"/>
      <c r="E44" s="38"/>
      <c r="F44" s="38"/>
    </row>
    <row r="45" ht="14.25" customHeight="1">
      <c r="A45" s="38"/>
      <c r="B45" s="38"/>
      <c r="C45" s="38"/>
      <c r="D45" s="38"/>
      <c r="E45" s="38"/>
      <c r="F45" s="38"/>
    </row>
    <row r="46" ht="14.25" customHeight="1">
      <c r="A46" s="38"/>
      <c r="B46" s="38"/>
      <c r="C46" s="38"/>
      <c r="D46" s="38"/>
      <c r="E46" s="38"/>
      <c r="F46" s="38"/>
    </row>
    <row r="47" ht="14.25" customHeight="1">
      <c r="A47" s="38"/>
      <c r="B47" s="38"/>
      <c r="C47" s="38"/>
      <c r="D47" s="38"/>
      <c r="E47" s="38"/>
      <c r="F47" s="38"/>
    </row>
    <row r="48" ht="14.25" customHeight="1">
      <c r="A48" s="38"/>
      <c r="B48" s="38"/>
      <c r="C48" s="38"/>
      <c r="D48" s="38"/>
      <c r="E48" s="38"/>
      <c r="F48" s="38"/>
    </row>
    <row r="49" ht="14.25" customHeight="1">
      <c r="A49" s="38"/>
      <c r="B49" s="38"/>
      <c r="C49" s="38"/>
      <c r="D49" s="38"/>
      <c r="E49" s="38"/>
      <c r="F49" s="38"/>
    </row>
    <row r="50" ht="14.25" customHeight="1">
      <c r="A50" s="38"/>
      <c r="B50" s="38"/>
      <c r="C50" s="38"/>
      <c r="D50" s="38"/>
      <c r="E50" s="38"/>
      <c r="F50" s="38"/>
    </row>
    <row r="51" ht="14.25" customHeight="1">
      <c r="A51" s="38"/>
      <c r="B51" s="38"/>
      <c r="C51" s="38"/>
      <c r="D51" s="38"/>
      <c r="E51" s="38"/>
      <c r="F51" s="38"/>
    </row>
    <row r="52" ht="14.25" customHeight="1">
      <c r="A52" s="38"/>
      <c r="B52" s="38"/>
      <c r="C52" s="38"/>
      <c r="D52" s="38"/>
      <c r="E52" s="38"/>
      <c r="F52" s="38"/>
    </row>
    <row r="53" ht="14.25" customHeight="1">
      <c r="A53" s="38"/>
      <c r="B53" s="38"/>
      <c r="C53" s="38"/>
      <c r="D53" s="38"/>
      <c r="E53" s="38"/>
      <c r="F53" s="38"/>
    </row>
    <row r="54" ht="14.25" customHeight="1">
      <c r="A54" s="38"/>
      <c r="B54" s="38"/>
      <c r="C54" s="38"/>
      <c r="D54" s="38"/>
      <c r="E54" s="38"/>
      <c r="F54" s="38"/>
    </row>
    <row r="55" ht="14.25" customHeight="1">
      <c r="A55" s="38"/>
      <c r="B55" s="38"/>
      <c r="C55" s="38"/>
      <c r="D55" s="38"/>
      <c r="E55" s="38"/>
      <c r="F55" s="38"/>
    </row>
    <row r="56" ht="14.25" customHeight="1">
      <c r="A56" s="38"/>
      <c r="B56" s="38"/>
      <c r="C56" s="38"/>
      <c r="D56" s="38"/>
      <c r="E56" s="38"/>
      <c r="F56" s="38"/>
    </row>
    <row r="57" ht="14.25" customHeight="1">
      <c r="A57" s="38"/>
      <c r="B57" s="38"/>
      <c r="C57" s="38"/>
      <c r="D57" s="38"/>
      <c r="E57" s="38"/>
      <c r="F57" s="38"/>
    </row>
    <row r="58" ht="14.25" customHeight="1">
      <c r="A58" s="38"/>
      <c r="B58" s="38"/>
      <c r="C58" s="38"/>
      <c r="D58" s="38"/>
      <c r="E58" s="38"/>
      <c r="F58" s="38"/>
    </row>
    <row r="59" ht="14.25" customHeight="1">
      <c r="A59" s="38"/>
      <c r="B59" s="38"/>
      <c r="C59" s="38"/>
      <c r="D59" s="38"/>
      <c r="E59" s="38"/>
      <c r="F59" s="38"/>
    </row>
    <row r="60" ht="14.25" customHeight="1">
      <c r="A60" s="38"/>
      <c r="B60" s="38"/>
      <c r="C60" s="38"/>
      <c r="D60" s="38"/>
      <c r="E60" s="38"/>
      <c r="F60" s="38"/>
    </row>
    <row r="61" ht="14.25" customHeight="1">
      <c r="A61" s="38"/>
      <c r="B61" s="38"/>
      <c r="C61" s="38"/>
      <c r="D61" s="38"/>
      <c r="E61" s="38"/>
      <c r="F61" s="38"/>
    </row>
    <row r="62" ht="14.25" customHeight="1">
      <c r="A62" s="38"/>
      <c r="B62" s="38"/>
      <c r="C62" s="38"/>
      <c r="D62" s="38"/>
      <c r="E62" s="38"/>
      <c r="F62" s="38"/>
    </row>
    <row r="63" ht="14.25" customHeight="1">
      <c r="A63" s="38"/>
      <c r="B63" s="38"/>
      <c r="C63" s="38"/>
      <c r="D63" s="38"/>
      <c r="E63" s="38"/>
      <c r="F63" s="38"/>
    </row>
    <row r="64" ht="14.25" customHeight="1">
      <c r="A64" s="38"/>
      <c r="B64" s="38"/>
      <c r="C64" s="38"/>
      <c r="D64" s="38"/>
      <c r="E64" s="38"/>
      <c r="F64" s="38"/>
    </row>
    <row r="65" ht="14.25" customHeight="1">
      <c r="A65" s="38"/>
      <c r="B65" s="38"/>
      <c r="C65" s="38"/>
      <c r="D65" s="38"/>
      <c r="E65" s="38"/>
      <c r="F65" s="38"/>
    </row>
    <row r="66" ht="14.25" customHeight="1">
      <c r="A66" s="38"/>
      <c r="B66" s="38"/>
      <c r="C66" s="38"/>
      <c r="D66" s="38"/>
      <c r="E66" s="38"/>
      <c r="F66" s="38"/>
    </row>
    <row r="67" ht="14.25" customHeight="1">
      <c r="A67" s="38"/>
      <c r="B67" s="38"/>
      <c r="C67" s="38"/>
      <c r="D67" s="38"/>
      <c r="E67" s="38"/>
      <c r="F67" s="38"/>
    </row>
    <row r="68" ht="14.25" customHeight="1">
      <c r="A68" s="38"/>
      <c r="B68" s="38"/>
      <c r="C68" s="38"/>
      <c r="D68" s="38"/>
      <c r="E68" s="38"/>
      <c r="F68" s="38"/>
    </row>
    <row r="69" ht="14.25" customHeight="1">
      <c r="A69" s="38"/>
      <c r="B69" s="38"/>
      <c r="C69" s="38"/>
      <c r="D69" s="38"/>
      <c r="E69" s="38"/>
      <c r="F69" s="38"/>
    </row>
    <row r="70" ht="14.25" customHeight="1">
      <c r="A70" s="38"/>
      <c r="B70" s="38"/>
      <c r="C70" s="38"/>
      <c r="D70" s="38"/>
      <c r="E70" s="38"/>
      <c r="F70" s="38"/>
    </row>
    <row r="71" ht="14.25" customHeight="1">
      <c r="A71" s="38"/>
      <c r="B71" s="38"/>
      <c r="C71" s="38"/>
      <c r="D71" s="38"/>
      <c r="E71" s="38"/>
      <c r="F71" s="38"/>
    </row>
    <row r="72" ht="14.25" customHeight="1">
      <c r="A72" s="38"/>
      <c r="B72" s="38"/>
      <c r="C72" s="38"/>
      <c r="D72" s="38"/>
      <c r="E72" s="38"/>
      <c r="F72" s="38"/>
    </row>
    <row r="73" ht="14.25" customHeight="1">
      <c r="A73" s="38"/>
      <c r="B73" s="38"/>
      <c r="C73" s="38"/>
      <c r="D73" s="38"/>
      <c r="E73" s="38"/>
      <c r="F73" s="38"/>
    </row>
    <row r="74" ht="14.25" customHeight="1">
      <c r="A74" s="38"/>
      <c r="B74" s="38"/>
      <c r="C74" s="38"/>
      <c r="D74" s="38"/>
      <c r="E74" s="38"/>
      <c r="F74" s="38"/>
    </row>
    <row r="75" ht="14.25" customHeight="1">
      <c r="A75" s="38"/>
      <c r="B75" s="38"/>
      <c r="C75" s="38"/>
      <c r="D75" s="38"/>
      <c r="E75" s="38"/>
      <c r="F75" s="38"/>
    </row>
    <row r="76" ht="14.25" customHeight="1">
      <c r="A76" s="38"/>
      <c r="B76" s="38"/>
      <c r="C76" s="38"/>
      <c r="D76" s="38"/>
      <c r="E76" s="38"/>
      <c r="F76" s="38"/>
    </row>
    <row r="77" ht="14.25" customHeight="1">
      <c r="A77" s="38"/>
      <c r="B77" s="38"/>
      <c r="C77" s="38"/>
      <c r="D77" s="38"/>
      <c r="E77" s="38"/>
      <c r="F77" s="38"/>
    </row>
    <row r="78" ht="14.25" customHeight="1">
      <c r="A78" s="38"/>
      <c r="B78" s="38"/>
      <c r="C78" s="38"/>
      <c r="D78" s="38"/>
      <c r="E78" s="38"/>
      <c r="F78" s="38"/>
    </row>
    <row r="79" ht="14.25" customHeight="1">
      <c r="A79" s="38"/>
      <c r="B79" s="38"/>
      <c r="C79" s="38"/>
      <c r="D79" s="38"/>
      <c r="E79" s="38"/>
      <c r="F79" s="38"/>
    </row>
    <row r="80" ht="14.25" customHeight="1">
      <c r="A80" s="38"/>
      <c r="B80" s="38"/>
      <c r="C80" s="38"/>
      <c r="D80" s="38"/>
      <c r="E80" s="38"/>
      <c r="F80" s="38"/>
    </row>
    <row r="81" ht="14.25" customHeight="1">
      <c r="A81" s="38"/>
      <c r="B81" s="38"/>
      <c r="C81" s="38"/>
      <c r="D81" s="38"/>
      <c r="E81" s="38"/>
      <c r="F81" s="38"/>
    </row>
    <row r="82" ht="14.25" customHeight="1">
      <c r="A82" s="38"/>
      <c r="B82" s="38"/>
      <c r="C82" s="38"/>
      <c r="D82" s="38"/>
      <c r="E82" s="38"/>
      <c r="F82" s="38"/>
    </row>
    <row r="83" ht="14.25" customHeight="1">
      <c r="A83" s="38"/>
      <c r="B83" s="38"/>
      <c r="C83" s="38"/>
      <c r="D83" s="38"/>
      <c r="E83" s="38"/>
      <c r="F83" s="38"/>
    </row>
    <row r="84" ht="14.25" customHeight="1">
      <c r="A84" s="38"/>
      <c r="B84" s="38"/>
      <c r="C84" s="38"/>
      <c r="D84" s="38"/>
      <c r="E84" s="38"/>
      <c r="F84" s="38"/>
    </row>
    <row r="85" ht="14.25" customHeight="1">
      <c r="A85" s="38"/>
      <c r="B85" s="38"/>
      <c r="C85" s="38"/>
      <c r="D85" s="38"/>
      <c r="E85" s="38"/>
      <c r="F85" s="38"/>
    </row>
    <row r="86" ht="14.25" customHeight="1">
      <c r="A86" s="38"/>
      <c r="B86" s="38"/>
      <c r="C86" s="38"/>
      <c r="D86" s="38"/>
      <c r="E86" s="38"/>
      <c r="F86" s="38"/>
    </row>
    <row r="87" ht="14.25" customHeight="1">
      <c r="A87" s="38"/>
      <c r="B87" s="38"/>
      <c r="C87" s="38"/>
      <c r="D87" s="38"/>
      <c r="E87" s="38"/>
      <c r="F87" s="38"/>
    </row>
    <row r="88" ht="14.25" customHeight="1">
      <c r="A88" s="38"/>
      <c r="B88" s="38"/>
      <c r="C88" s="38"/>
      <c r="D88" s="38"/>
      <c r="E88" s="38"/>
      <c r="F88" s="38"/>
    </row>
    <row r="89" ht="14.25" customHeight="1">
      <c r="A89" s="38"/>
      <c r="B89" s="38"/>
      <c r="C89" s="38"/>
      <c r="D89" s="38"/>
      <c r="E89" s="38"/>
      <c r="F89" s="38"/>
    </row>
    <row r="90" ht="14.25" customHeight="1">
      <c r="A90" s="38"/>
      <c r="B90" s="38"/>
      <c r="C90" s="38"/>
      <c r="D90" s="38"/>
      <c r="E90" s="38"/>
      <c r="F90" s="38"/>
    </row>
    <row r="91" ht="14.25" customHeight="1">
      <c r="A91" s="38"/>
      <c r="B91" s="38"/>
      <c r="C91" s="38"/>
      <c r="D91" s="38"/>
      <c r="E91" s="38"/>
      <c r="F91" s="38"/>
    </row>
    <row r="92" ht="14.25" customHeight="1">
      <c r="A92" s="38"/>
      <c r="B92" s="38"/>
      <c r="C92" s="38"/>
      <c r="D92" s="38"/>
      <c r="E92" s="38"/>
      <c r="F92" s="38"/>
    </row>
    <row r="93" ht="14.25" customHeight="1">
      <c r="A93" s="38"/>
      <c r="B93" s="38"/>
      <c r="C93" s="38"/>
      <c r="D93" s="38"/>
      <c r="E93" s="38"/>
      <c r="F93" s="38"/>
    </row>
    <row r="94" ht="14.25" customHeight="1">
      <c r="A94" s="38"/>
      <c r="B94" s="38"/>
      <c r="C94" s="38"/>
      <c r="D94" s="38"/>
      <c r="E94" s="38"/>
      <c r="F94" s="38"/>
    </row>
    <row r="95" ht="14.25" customHeight="1">
      <c r="A95" s="38"/>
      <c r="B95" s="38"/>
      <c r="C95" s="38"/>
      <c r="D95" s="38"/>
      <c r="E95" s="38"/>
      <c r="F95" s="38"/>
    </row>
    <row r="96" ht="14.25" customHeight="1">
      <c r="A96" s="38"/>
      <c r="B96" s="38"/>
      <c r="C96" s="38"/>
      <c r="D96" s="38"/>
      <c r="E96" s="38"/>
      <c r="F96" s="38"/>
    </row>
    <row r="97" ht="14.25" customHeight="1">
      <c r="A97" s="38"/>
      <c r="B97" s="38"/>
      <c r="C97" s="38"/>
      <c r="D97" s="38"/>
      <c r="E97" s="38"/>
      <c r="F97" s="38"/>
    </row>
    <row r="98" ht="14.25" customHeight="1">
      <c r="A98" s="38"/>
      <c r="B98" s="38"/>
      <c r="C98" s="38"/>
      <c r="D98" s="38"/>
      <c r="E98" s="38"/>
      <c r="F98" s="38"/>
    </row>
    <row r="99" ht="14.25" customHeight="1">
      <c r="A99" s="38"/>
      <c r="B99" s="38"/>
      <c r="C99" s="38"/>
      <c r="D99" s="38"/>
      <c r="E99" s="38"/>
      <c r="F99" s="38"/>
    </row>
    <row r="100" ht="14.25" customHeight="1">
      <c r="A100" s="38"/>
      <c r="B100" s="38"/>
      <c r="C100" s="38"/>
      <c r="D100" s="38"/>
      <c r="E100" s="38"/>
      <c r="F100" s="38"/>
    </row>
    <row r="101" ht="14.25" customHeight="1">
      <c r="A101" s="38"/>
      <c r="B101" s="38"/>
      <c r="C101" s="38"/>
      <c r="D101" s="38"/>
      <c r="E101" s="38"/>
      <c r="F101" s="38"/>
    </row>
    <row r="102" ht="14.25" customHeight="1">
      <c r="A102" s="38"/>
      <c r="B102" s="38"/>
      <c r="C102" s="38"/>
      <c r="D102" s="38"/>
      <c r="E102" s="38"/>
      <c r="F102" s="38"/>
    </row>
    <row r="103" ht="14.25" customHeight="1">
      <c r="A103" s="38"/>
      <c r="B103" s="38"/>
      <c r="C103" s="38"/>
      <c r="D103" s="38"/>
      <c r="E103" s="38"/>
      <c r="F103" s="38"/>
    </row>
    <row r="104" ht="14.25" customHeight="1">
      <c r="A104" s="38"/>
      <c r="B104" s="38"/>
      <c r="C104" s="38"/>
      <c r="D104" s="38"/>
      <c r="E104" s="38"/>
      <c r="F104" s="38"/>
    </row>
    <row r="105" ht="14.25" customHeight="1">
      <c r="A105" s="38"/>
      <c r="B105" s="38"/>
      <c r="C105" s="38"/>
      <c r="D105" s="38"/>
      <c r="E105" s="38"/>
      <c r="F105" s="38"/>
    </row>
    <row r="106" ht="14.25" customHeight="1">
      <c r="A106" s="38"/>
      <c r="B106" s="38"/>
      <c r="C106" s="38"/>
      <c r="D106" s="38"/>
      <c r="E106" s="38"/>
      <c r="F106" s="38"/>
    </row>
    <row r="107" ht="14.25" customHeight="1">
      <c r="A107" s="38"/>
      <c r="B107" s="38"/>
      <c r="C107" s="38"/>
      <c r="D107" s="38"/>
      <c r="E107" s="38"/>
      <c r="F107" s="38"/>
    </row>
    <row r="108" ht="14.25" customHeight="1">
      <c r="A108" s="38"/>
      <c r="B108" s="38"/>
      <c r="C108" s="38"/>
      <c r="D108" s="38"/>
      <c r="E108" s="38"/>
      <c r="F108" s="38"/>
    </row>
    <row r="109" ht="14.25" customHeight="1">
      <c r="A109" s="38"/>
      <c r="B109" s="38"/>
      <c r="C109" s="38"/>
      <c r="D109" s="38"/>
      <c r="E109" s="38"/>
      <c r="F109" s="38"/>
    </row>
    <row r="110" ht="14.25" customHeight="1">
      <c r="A110" s="38"/>
      <c r="B110" s="38"/>
      <c r="C110" s="38"/>
      <c r="D110" s="38"/>
      <c r="E110" s="38"/>
      <c r="F110" s="38"/>
    </row>
    <row r="111" ht="14.25" customHeight="1">
      <c r="A111" s="38"/>
      <c r="B111" s="38"/>
      <c r="C111" s="38"/>
      <c r="D111" s="38"/>
      <c r="E111" s="38"/>
      <c r="F111" s="38"/>
    </row>
    <row r="112" ht="14.25" customHeight="1">
      <c r="A112" s="38"/>
      <c r="B112" s="38"/>
      <c r="C112" s="38"/>
      <c r="D112" s="38"/>
      <c r="E112" s="38"/>
      <c r="F112" s="38"/>
    </row>
    <row r="113" ht="14.25" customHeight="1">
      <c r="A113" s="38"/>
      <c r="B113" s="38"/>
      <c r="C113" s="38"/>
      <c r="D113" s="38"/>
      <c r="E113" s="38"/>
      <c r="F113" s="38"/>
    </row>
    <row r="114" ht="14.25" customHeight="1">
      <c r="A114" s="38"/>
      <c r="B114" s="38"/>
      <c r="C114" s="38"/>
      <c r="D114" s="38"/>
      <c r="E114" s="38"/>
      <c r="F114" s="38"/>
    </row>
    <row r="115" ht="14.25" customHeight="1">
      <c r="A115" s="38"/>
      <c r="B115" s="38"/>
      <c r="C115" s="38"/>
      <c r="D115" s="38"/>
      <c r="E115" s="38"/>
      <c r="F115" s="38"/>
    </row>
    <row r="116" ht="14.25" customHeight="1">
      <c r="A116" s="38"/>
      <c r="B116" s="38"/>
      <c r="C116" s="38"/>
      <c r="D116" s="38"/>
      <c r="E116" s="38"/>
      <c r="F116" s="38"/>
    </row>
    <row r="117" ht="14.25" customHeight="1">
      <c r="A117" s="38"/>
      <c r="B117" s="38"/>
      <c r="C117" s="38"/>
      <c r="D117" s="38"/>
      <c r="E117" s="38"/>
      <c r="F117" s="38"/>
    </row>
    <row r="118" ht="14.25" customHeight="1">
      <c r="A118" s="38"/>
      <c r="B118" s="38"/>
      <c r="C118" s="38"/>
      <c r="D118" s="38"/>
      <c r="E118" s="38"/>
      <c r="F118" s="38"/>
    </row>
    <row r="119" ht="14.25" customHeight="1">
      <c r="A119" s="38"/>
      <c r="B119" s="38"/>
      <c r="C119" s="38"/>
      <c r="D119" s="38"/>
      <c r="E119" s="38"/>
      <c r="F119" s="38"/>
    </row>
    <row r="120" ht="14.25" customHeight="1">
      <c r="A120" s="38"/>
      <c r="B120" s="38"/>
      <c r="C120" s="38"/>
      <c r="D120" s="38"/>
      <c r="E120" s="38"/>
      <c r="F120" s="38"/>
    </row>
    <row r="121" ht="14.25" customHeight="1">
      <c r="A121" s="38"/>
      <c r="B121" s="38"/>
      <c r="C121" s="38"/>
      <c r="D121" s="38"/>
      <c r="E121" s="38"/>
      <c r="F121" s="38"/>
    </row>
    <row r="122" ht="14.25" customHeight="1">
      <c r="A122" s="38"/>
      <c r="B122" s="38"/>
      <c r="C122" s="38"/>
      <c r="D122" s="38"/>
      <c r="E122" s="38"/>
      <c r="F122" s="38"/>
    </row>
    <row r="123" ht="14.25" customHeight="1">
      <c r="A123" s="38"/>
      <c r="B123" s="38"/>
      <c r="C123" s="38"/>
      <c r="D123" s="38"/>
      <c r="E123" s="38"/>
      <c r="F123" s="38"/>
    </row>
    <row r="124" ht="14.25" customHeight="1">
      <c r="A124" s="38"/>
      <c r="B124" s="38"/>
      <c r="C124" s="38"/>
      <c r="D124" s="38"/>
      <c r="E124" s="38"/>
      <c r="F124" s="38"/>
    </row>
    <row r="125" ht="14.25" customHeight="1">
      <c r="A125" s="38"/>
      <c r="B125" s="38"/>
      <c r="C125" s="38"/>
      <c r="D125" s="38"/>
      <c r="E125" s="38"/>
      <c r="F125" s="38"/>
    </row>
    <row r="126" ht="14.25" customHeight="1">
      <c r="A126" s="38"/>
      <c r="B126" s="38"/>
      <c r="C126" s="38"/>
      <c r="D126" s="38"/>
      <c r="E126" s="38"/>
      <c r="F126" s="38"/>
    </row>
    <row r="127" ht="14.25" customHeight="1">
      <c r="A127" s="38"/>
      <c r="B127" s="38"/>
      <c r="C127" s="38"/>
      <c r="D127" s="38"/>
      <c r="E127" s="38"/>
      <c r="F127" s="38"/>
    </row>
    <row r="128" ht="14.25" customHeight="1">
      <c r="A128" s="38"/>
      <c r="B128" s="38"/>
      <c r="C128" s="38"/>
      <c r="D128" s="38"/>
      <c r="E128" s="38"/>
      <c r="F128" s="38"/>
    </row>
    <row r="129" ht="14.25" customHeight="1">
      <c r="A129" s="38"/>
      <c r="B129" s="38"/>
      <c r="C129" s="38"/>
      <c r="D129" s="38"/>
      <c r="E129" s="38"/>
      <c r="F129" s="38"/>
    </row>
    <row r="130" ht="14.25" customHeight="1">
      <c r="A130" s="38"/>
      <c r="B130" s="38"/>
      <c r="C130" s="38"/>
      <c r="D130" s="38"/>
      <c r="E130" s="38"/>
      <c r="F130" s="38"/>
    </row>
    <row r="131" ht="14.25" customHeight="1">
      <c r="A131" s="38"/>
      <c r="B131" s="38"/>
      <c r="C131" s="38"/>
      <c r="D131" s="38"/>
      <c r="E131" s="38"/>
      <c r="F131" s="38"/>
    </row>
    <row r="132" ht="14.25" customHeight="1">
      <c r="A132" s="38"/>
      <c r="B132" s="38"/>
      <c r="C132" s="38"/>
      <c r="D132" s="38"/>
      <c r="E132" s="38"/>
      <c r="F132" s="38"/>
    </row>
    <row r="133" ht="14.25" customHeight="1">
      <c r="A133" s="38"/>
      <c r="B133" s="38"/>
      <c r="C133" s="38"/>
      <c r="D133" s="38"/>
      <c r="E133" s="38"/>
      <c r="F133" s="38"/>
    </row>
    <row r="134" ht="14.25" customHeight="1">
      <c r="A134" s="38"/>
      <c r="B134" s="38"/>
      <c r="C134" s="38"/>
      <c r="D134" s="38"/>
      <c r="E134" s="38"/>
      <c r="F134" s="38"/>
    </row>
    <row r="135" ht="14.25" customHeight="1">
      <c r="A135" s="38"/>
      <c r="B135" s="38"/>
      <c r="C135" s="38"/>
      <c r="D135" s="38"/>
      <c r="E135" s="38"/>
      <c r="F135" s="38"/>
    </row>
    <row r="136" ht="14.25" customHeight="1">
      <c r="A136" s="38"/>
      <c r="B136" s="38"/>
      <c r="C136" s="38"/>
      <c r="D136" s="38"/>
      <c r="E136" s="38"/>
      <c r="F136" s="38"/>
    </row>
    <row r="137" ht="14.25" customHeight="1">
      <c r="A137" s="38"/>
      <c r="B137" s="38"/>
      <c r="C137" s="38"/>
      <c r="D137" s="38"/>
      <c r="E137" s="38"/>
      <c r="F137" s="38"/>
    </row>
    <row r="138" ht="14.25" customHeight="1">
      <c r="A138" s="38"/>
      <c r="B138" s="38"/>
      <c r="C138" s="38"/>
      <c r="D138" s="38"/>
      <c r="E138" s="38"/>
      <c r="F138" s="38"/>
    </row>
    <row r="139" ht="14.25" customHeight="1">
      <c r="A139" s="38"/>
      <c r="B139" s="38"/>
      <c r="C139" s="38"/>
      <c r="D139" s="38"/>
      <c r="E139" s="38"/>
      <c r="F139" s="38"/>
    </row>
    <row r="140" ht="14.25" customHeight="1">
      <c r="A140" s="38"/>
      <c r="B140" s="38"/>
      <c r="C140" s="38"/>
      <c r="D140" s="38"/>
      <c r="E140" s="38"/>
      <c r="F140" s="38"/>
    </row>
    <row r="141" ht="14.25" customHeight="1">
      <c r="A141" s="38"/>
      <c r="B141" s="38"/>
      <c r="C141" s="38"/>
      <c r="D141" s="38"/>
      <c r="E141" s="38"/>
      <c r="F141" s="38"/>
    </row>
    <row r="142" ht="14.25" customHeight="1">
      <c r="A142" s="38"/>
      <c r="B142" s="38"/>
      <c r="C142" s="38"/>
      <c r="D142" s="38"/>
      <c r="E142" s="38"/>
      <c r="F142" s="38"/>
    </row>
    <row r="143" ht="14.25" customHeight="1">
      <c r="A143" s="38"/>
      <c r="B143" s="38"/>
      <c r="C143" s="38"/>
      <c r="D143" s="38"/>
      <c r="E143" s="38"/>
      <c r="F143" s="38"/>
    </row>
    <row r="144" ht="14.25" customHeight="1">
      <c r="A144" s="38"/>
      <c r="B144" s="38"/>
      <c r="C144" s="38"/>
      <c r="D144" s="38"/>
      <c r="E144" s="38"/>
      <c r="F144" s="38"/>
    </row>
    <row r="145" ht="14.25" customHeight="1">
      <c r="A145" s="38"/>
      <c r="B145" s="38"/>
      <c r="C145" s="38"/>
      <c r="D145" s="38"/>
      <c r="E145" s="38"/>
      <c r="F145" s="38"/>
    </row>
    <row r="146" ht="14.25" customHeight="1">
      <c r="A146" s="38"/>
      <c r="B146" s="38"/>
      <c r="C146" s="38"/>
      <c r="D146" s="38"/>
      <c r="E146" s="38"/>
      <c r="F146" s="38"/>
    </row>
    <row r="147" ht="14.25" customHeight="1">
      <c r="A147" s="38"/>
      <c r="B147" s="38"/>
      <c r="C147" s="38"/>
      <c r="D147" s="38"/>
      <c r="E147" s="38"/>
      <c r="F147" s="38"/>
    </row>
    <row r="148" ht="14.25" customHeight="1">
      <c r="A148" s="38"/>
      <c r="B148" s="38"/>
      <c r="C148" s="38"/>
      <c r="D148" s="38"/>
      <c r="E148" s="38"/>
      <c r="F148" s="38"/>
    </row>
    <row r="149" ht="14.25" customHeight="1">
      <c r="A149" s="38"/>
      <c r="B149" s="38"/>
      <c r="C149" s="38"/>
      <c r="D149" s="38"/>
      <c r="E149" s="38"/>
      <c r="F149" s="38"/>
    </row>
    <row r="150" ht="14.25" customHeight="1">
      <c r="A150" s="38"/>
      <c r="B150" s="38"/>
      <c r="C150" s="38"/>
      <c r="D150" s="38"/>
      <c r="E150" s="38"/>
      <c r="F150" s="38"/>
    </row>
    <row r="151" ht="14.25" customHeight="1">
      <c r="A151" s="38"/>
      <c r="B151" s="38"/>
      <c r="C151" s="38"/>
      <c r="D151" s="38"/>
      <c r="E151" s="38"/>
      <c r="F151" s="38"/>
    </row>
    <row r="152" ht="14.25" customHeight="1">
      <c r="A152" s="38"/>
      <c r="B152" s="38"/>
      <c r="C152" s="38"/>
      <c r="D152" s="38"/>
      <c r="E152" s="38"/>
      <c r="F152" s="38"/>
    </row>
    <row r="153" ht="14.25" customHeight="1">
      <c r="A153" s="38"/>
      <c r="B153" s="38"/>
      <c r="C153" s="38"/>
      <c r="D153" s="38"/>
      <c r="E153" s="38"/>
      <c r="F153" s="38"/>
    </row>
    <row r="154" ht="14.25" customHeight="1">
      <c r="A154" s="38"/>
      <c r="B154" s="38"/>
      <c r="C154" s="38"/>
      <c r="D154" s="38"/>
      <c r="E154" s="38"/>
      <c r="F154" s="38"/>
    </row>
    <row r="155" ht="14.25" customHeight="1">
      <c r="A155" s="38"/>
      <c r="B155" s="38"/>
      <c r="C155" s="38"/>
      <c r="D155" s="38"/>
      <c r="E155" s="38"/>
      <c r="F155" s="38"/>
    </row>
    <row r="156" ht="14.25" customHeight="1">
      <c r="A156" s="38"/>
      <c r="B156" s="38"/>
      <c r="C156" s="38"/>
      <c r="D156" s="38"/>
      <c r="E156" s="38"/>
      <c r="F156" s="38"/>
    </row>
    <row r="157" ht="14.25" customHeight="1">
      <c r="A157" s="38"/>
      <c r="B157" s="38"/>
      <c r="C157" s="38"/>
      <c r="D157" s="38"/>
      <c r="E157" s="38"/>
      <c r="F157" s="38"/>
    </row>
    <row r="158" ht="14.25" customHeight="1">
      <c r="A158" s="38"/>
      <c r="B158" s="38"/>
      <c r="C158" s="38"/>
      <c r="D158" s="38"/>
      <c r="E158" s="38"/>
      <c r="F158" s="38"/>
    </row>
    <row r="159" ht="14.25" customHeight="1">
      <c r="A159" s="38"/>
      <c r="B159" s="38"/>
      <c r="C159" s="38"/>
      <c r="D159" s="38"/>
      <c r="E159" s="38"/>
      <c r="F159" s="38"/>
    </row>
    <row r="160" ht="14.25" customHeight="1">
      <c r="A160" s="38"/>
      <c r="B160" s="38"/>
      <c r="C160" s="38"/>
      <c r="D160" s="38"/>
      <c r="E160" s="38"/>
      <c r="F160" s="38"/>
    </row>
    <row r="161" ht="14.25" customHeight="1">
      <c r="A161" s="38"/>
      <c r="B161" s="38"/>
      <c r="C161" s="38"/>
      <c r="D161" s="38"/>
      <c r="E161" s="38"/>
      <c r="F161" s="38"/>
    </row>
    <row r="162" ht="14.25" customHeight="1">
      <c r="A162" s="38"/>
      <c r="B162" s="38"/>
      <c r="C162" s="38"/>
      <c r="D162" s="38"/>
      <c r="E162" s="38"/>
      <c r="F162" s="38"/>
    </row>
    <row r="163" ht="14.25" customHeight="1">
      <c r="A163" s="38"/>
      <c r="B163" s="38"/>
      <c r="C163" s="38"/>
      <c r="D163" s="38"/>
      <c r="E163" s="38"/>
      <c r="F163" s="38"/>
    </row>
    <row r="164" ht="14.25" customHeight="1">
      <c r="A164" s="38"/>
      <c r="B164" s="38"/>
      <c r="C164" s="38"/>
      <c r="D164" s="38"/>
      <c r="E164" s="38"/>
      <c r="F164" s="38"/>
    </row>
    <row r="165" ht="14.25" customHeight="1">
      <c r="A165" s="38"/>
      <c r="B165" s="38"/>
      <c r="C165" s="38"/>
      <c r="D165" s="38"/>
      <c r="E165" s="38"/>
      <c r="F165" s="38"/>
    </row>
    <row r="166" ht="14.25" customHeight="1">
      <c r="A166" s="38"/>
      <c r="B166" s="38"/>
      <c r="C166" s="38"/>
      <c r="D166" s="38"/>
      <c r="E166" s="38"/>
      <c r="F166" s="38"/>
    </row>
    <row r="167" ht="14.25" customHeight="1">
      <c r="A167" s="38"/>
      <c r="B167" s="38"/>
      <c r="C167" s="38"/>
      <c r="D167" s="38"/>
      <c r="E167" s="38"/>
      <c r="F167" s="38"/>
    </row>
    <row r="168" ht="14.25" customHeight="1">
      <c r="A168" s="38"/>
      <c r="B168" s="38"/>
      <c r="C168" s="38"/>
      <c r="D168" s="38"/>
      <c r="E168" s="38"/>
      <c r="F168" s="38"/>
    </row>
    <row r="169" ht="14.25" customHeight="1">
      <c r="A169" s="38"/>
      <c r="B169" s="38"/>
      <c r="C169" s="38"/>
      <c r="D169" s="38"/>
      <c r="E169" s="38"/>
      <c r="F169" s="38"/>
    </row>
    <row r="170" ht="14.25" customHeight="1">
      <c r="A170" s="38"/>
      <c r="B170" s="38"/>
      <c r="C170" s="38"/>
      <c r="D170" s="38"/>
      <c r="E170" s="38"/>
      <c r="F170" s="38"/>
    </row>
    <row r="171" ht="14.25" customHeight="1">
      <c r="A171" s="38"/>
      <c r="B171" s="38"/>
      <c r="C171" s="38"/>
      <c r="D171" s="38"/>
      <c r="E171" s="38"/>
      <c r="F171" s="38"/>
    </row>
    <row r="172" ht="14.25" customHeight="1">
      <c r="A172" s="38"/>
      <c r="B172" s="38"/>
      <c r="C172" s="38"/>
      <c r="D172" s="38"/>
      <c r="E172" s="38"/>
      <c r="F172" s="38"/>
    </row>
    <row r="173" ht="14.25" customHeight="1">
      <c r="A173" s="38"/>
      <c r="B173" s="38"/>
      <c r="C173" s="38"/>
      <c r="D173" s="38"/>
      <c r="E173" s="38"/>
      <c r="F173" s="38"/>
    </row>
    <row r="174" ht="14.25" customHeight="1">
      <c r="A174" s="38"/>
      <c r="B174" s="38"/>
      <c r="C174" s="38"/>
      <c r="D174" s="38"/>
      <c r="E174" s="38"/>
      <c r="F174" s="38"/>
    </row>
    <row r="175" ht="14.25" customHeight="1">
      <c r="A175" s="38"/>
      <c r="B175" s="38"/>
      <c r="C175" s="38"/>
      <c r="D175" s="38"/>
      <c r="E175" s="38"/>
      <c r="F175" s="38"/>
    </row>
    <row r="176" ht="14.25" customHeight="1">
      <c r="A176" s="38"/>
      <c r="B176" s="38"/>
      <c r="C176" s="38"/>
      <c r="D176" s="38"/>
      <c r="E176" s="38"/>
      <c r="F176" s="38"/>
    </row>
    <row r="177" ht="14.25" customHeight="1">
      <c r="A177" s="38"/>
      <c r="B177" s="38"/>
      <c r="C177" s="38"/>
      <c r="D177" s="38"/>
      <c r="E177" s="38"/>
      <c r="F177" s="38"/>
    </row>
    <row r="178" ht="14.25" customHeight="1">
      <c r="A178" s="38"/>
      <c r="B178" s="38"/>
      <c r="C178" s="38"/>
      <c r="D178" s="38"/>
      <c r="E178" s="38"/>
      <c r="F178" s="38"/>
    </row>
    <row r="179" ht="14.25" customHeight="1">
      <c r="A179" s="38"/>
      <c r="B179" s="38"/>
      <c r="C179" s="38"/>
      <c r="D179" s="38"/>
      <c r="E179" s="38"/>
      <c r="F179" s="38"/>
    </row>
    <row r="180" ht="14.25" customHeight="1">
      <c r="A180" s="38"/>
      <c r="B180" s="38"/>
      <c r="C180" s="38"/>
      <c r="D180" s="38"/>
      <c r="E180" s="38"/>
      <c r="F180" s="38"/>
    </row>
    <row r="181" ht="14.25" customHeight="1">
      <c r="A181" s="38"/>
      <c r="B181" s="38"/>
      <c r="C181" s="38"/>
      <c r="D181" s="38"/>
      <c r="E181" s="38"/>
      <c r="F181" s="38"/>
    </row>
    <row r="182" ht="14.25" customHeight="1">
      <c r="A182" s="38"/>
      <c r="B182" s="38"/>
      <c r="C182" s="38"/>
      <c r="D182" s="38"/>
      <c r="E182" s="38"/>
      <c r="F182" s="38"/>
    </row>
    <row r="183" ht="14.25" customHeight="1">
      <c r="A183" s="38"/>
      <c r="B183" s="38"/>
      <c r="C183" s="38"/>
      <c r="D183" s="38"/>
      <c r="E183" s="38"/>
      <c r="F183" s="38"/>
    </row>
    <row r="184" ht="14.25" customHeight="1">
      <c r="A184" s="38"/>
      <c r="B184" s="38"/>
      <c r="C184" s="38"/>
      <c r="D184" s="38"/>
      <c r="E184" s="38"/>
      <c r="F184" s="38"/>
    </row>
    <row r="185" ht="14.25" customHeight="1">
      <c r="A185" s="38"/>
      <c r="B185" s="38"/>
      <c r="C185" s="38"/>
      <c r="D185" s="38"/>
      <c r="E185" s="38"/>
      <c r="F185" s="38"/>
    </row>
    <row r="186" ht="14.25" customHeight="1">
      <c r="A186" s="38"/>
      <c r="B186" s="38"/>
      <c r="C186" s="38"/>
      <c r="D186" s="38"/>
      <c r="E186" s="38"/>
      <c r="F186" s="38"/>
    </row>
    <row r="187" ht="14.25" customHeight="1">
      <c r="A187" s="38"/>
      <c r="B187" s="38"/>
      <c r="C187" s="38"/>
      <c r="D187" s="38"/>
      <c r="E187" s="38"/>
      <c r="F187" s="38"/>
    </row>
    <row r="188" ht="14.25" customHeight="1">
      <c r="A188" s="38"/>
      <c r="B188" s="38"/>
      <c r="C188" s="38"/>
      <c r="D188" s="38"/>
      <c r="E188" s="38"/>
      <c r="F188" s="38"/>
    </row>
    <row r="189" ht="14.25" customHeight="1">
      <c r="A189" s="38"/>
      <c r="B189" s="38"/>
      <c r="C189" s="38"/>
      <c r="D189" s="38"/>
      <c r="E189" s="38"/>
      <c r="F189" s="38"/>
    </row>
    <row r="190" ht="14.25" customHeight="1">
      <c r="A190" s="38"/>
      <c r="B190" s="38"/>
      <c r="C190" s="38"/>
      <c r="D190" s="38"/>
      <c r="E190" s="38"/>
      <c r="F190" s="38"/>
    </row>
    <row r="191" ht="14.25" customHeight="1">
      <c r="A191" s="38"/>
      <c r="B191" s="38"/>
      <c r="C191" s="38"/>
      <c r="D191" s="38"/>
      <c r="E191" s="38"/>
      <c r="F191" s="38"/>
    </row>
    <row r="192" ht="14.25" customHeight="1">
      <c r="A192" s="38"/>
      <c r="B192" s="38"/>
      <c r="C192" s="38"/>
      <c r="D192" s="38"/>
      <c r="E192" s="38"/>
      <c r="F192" s="38"/>
    </row>
    <row r="193" ht="14.25" customHeight="1">
      <c r="A193" s="38"/>
      <c r="B193" s="38"/>
      <c r="C193" s="38"/>
      <c r="D193" s="38"/>
      <c r="E193" s="38"/>
      <c r="F193" s="38"/>
    </row>
    <row r="194" ht="14.25" customHeight="1">
      <c r="A194" s="38"/>
      <c r="B194" s="38"/>
      <c r="C194" s="38"/>
      <c r="D194" s="38"/>
      <c r="E194" s="38"/>
      <c r="F194" s="38"/>
    </row>
    <row r="195" ht="14.25" customHeight="1">
      <c r="A195" s="38"/>
      <c r="B195" s="38"/>
      <c r="C195" s="38"/>
      <c r="D195" s="38"/>
      <c r="E195" s="38"/>
      <c r="F195" s="38"/>
    </row>
    <row r="196" ht="14.25" customHeight="1">
      <c r="A196" s="38"/>
      <c r="B196" s="38"/>
      <c r="C196" s="38"/>
      <c r="D196" s="38"/>
      <c r="E196" s="38"/>
      <c r="F196" s="38"/>
    </row>
    <row r="197" ht="14.25" customHeight="1">
      <c r="A197" s="38"/>
      <c r="B197" s="38"/>
      <c r="C197" s="38"/>
      <c r="D197" s="38"/>
      <c r="E197" s="38"/>
      <c r="F197" s="38"/>
    </row>
    <row r="198" ht="14.25" customHeight="1">
      <c r="A198" s="38"/>
      <c r="B198" s="38"/>
      <c r="C198" s="38"/>
      <c r="D198" s="38"/>
      <c r="E198" s="38"/>
      <c r="F198" s="38"/>
    </row>
    <row r="199" ht="14.25" customHeight="1">
      <c r="A199" s="38"/>
      <c r="B199" s="38"/>
      <c r="C199" s="38"/>
      <c r="D199" s="38"/>
      <c r="E199" s="38"/>
      <c r="F199" s="38"/>
    </row>
    <row r="200" ht="14.25" customHeight="1">
      <c r="A200" s="38"/>
      <c r="B200" s="38"/>
      <c r="C200" s="38"/>
      <c r="D200" s="38"/>
      <c r="E200" s="38"/>
      <c r="F200" s="38"/>
    </row>
    <row r="201" ht="14.25" customHeight="1">
      <c r="A201" s="38"/>
      <c r="B201" s="38"/>
      <c r="C201" s="38"/>
      <c r="D201" s="38"/>
      <c r="E201" s="38"/>
      <c r="F201" s="38"/>
    </row>
    <row r="202" ht="14.25" customHeight="1">
      <c r="A202" s="38"/>
      <c r="B202" s="38"/>
      <c r="C202" s="38"/>
      <c r="D202" s="38"/>
      <c r="E202" s="38"/>
      <c r="F202" s="38"/>
    </row>
    <row r="203" ht="14.25" customHeight="1">
      <c r="A203" s="38"/>
      <c r="B203" s="38"/>
      <c r="C203" s="38"/>
      <c r="D203" s="38"/>
      <c r="E203" s="38"/>
      <c r="F203" s="38"/>
    </row>
    <row r="204" ht="14.25" customHeight="1">
      <c r="A204" s="38"/>
      <c r="B204" s="38"/>
      <c r="C204" s="38"/>
      <c r="D204" s="38"/>
      <c r="E204" s="38"/>
      <c r="F204" s="38"/>
    </row>
    <row r="205" ht="14.25" customHeight="1">
      <c r="A205" s="38"/>
      <c r="B205" s="38"/>
      <c r="C205" s="38"/>
      <c r="D205" s="38"/>
      <c r="E205" s="38"/>
      <c r="F205" s="38"/>
    </row>
    <row r="206" ht="14.25" customHeight="1">
      <c r="A206" s="38"/>
      <c r="B206" s="38"/>
      <c r="C206" s="38"/>
      <c r="D206" s="38"/>
      <c r="E206" s="38"/>
      <c r="F206" s="38"/>
    </row>
    <row r="207" ht="14.25" customHeight="1">
      <c r="A207" s="38"/>
      <c r="B207" s="38"/>
      <c r="C207" s="38"/>
      <c r="D207" s="38"/>
      <c r="E207" s="38"/>
      <c r="F207" s="38"/>
    </row>
    <row r="208" ht="14.25" customHeight="1">
      <c r="A208" s="38"/>
      <c r="B208" s="38"/>
      <c r="C208" s="38"/>
      <c r="D208" s="38"/>
      <c r="E208" s="38"/>
      <c r="F208" s="38"/>
    </row>
    <row r="209" ht="14.25" customHeight="1">
      <c r="A209" s="38"/>
      <c r="B209" s="38"/>
      <c r="C209" s="38"/>
      <c r="D209" s="38"/>
      <c r="E209" s="38"/>
      <c r="F209" s="38"/>
    </row>
    <row r="210" ht="14.25" customHeight="1">
      <c r="A210" s="38"/>
      <c r="B210" s="38"/>
      <c r="C210" s="38"/>
      <c r="D210" s="38"/>
      <c r="E210" s="38"/>
      <c r="F210" s="38"/>
    </row>
    <row r="211" ht="14.25" customHeight="1">
      <c r="A211" s="38"/>
      <c r="B211" s="38"/>
      <c r="C211" s="38"/>
      <c r="D211" s="38"/>
      <c r="E211" s="38"/>
      <c r="F211" s="38"/>
    </row>
    <row r="212" ht="14.25" customHeight="1">
      <c r="A212" s="38"/>
      <c r="B212" s="38"/>
      <c r="C212" s="38"/>
      <c r="D212" s="38"/>
      <c r="E212" s="38"/>
      <c r="F212" s="38"/>
    </row>
    <row r="213" ht="14.25" customHeight="1">
      <c r="A213" s="38"/>
      <c r="B213" s="38"/>
      <c r="C213" s="38"/>
      <c r="D213" s="38"/>
      <c r="E213" s="38"/>
      <c r="F213" s="38"/>
    </row>
    <row r="214" ht="14.25" customHeight="1">
      <c r="A214" s="38"/>
      <c r="B214" s="38"/>
      <c r="C214" s="38"/>
      <c r="D214" s="38"/>
      <c r="E214" s="38"/>
      <c r="F214" s="38"/>
    </row>
    <row r="215" ht="14.25" customHeight="1">
      <c r="A215" s="38"/>
      <c r="B215" s="38"/>
      <c r="C215" s="38"/>
      <c r="D215" s="38"/>
      <c r="E215" s="38"/>
      <c r="F215" s="38"/>
    </row>
    <row r="216" ht="14.25" customHeight="1">
      <c r="A216" s="38"/>
      <c r="B216" s="38"/>
      <c r="C216" s="38"/>
      <c r="D216" s="38"/>
      <c r="E216" s="38"/>
      <c r="F216" s="38"/>
    </row>
    <row r="217" ht="14.25" customHeight="1">
      <c r="A217" s="38"/>
      <c r="B217" s="38"/>
      <c r="C217" s="38"/>
      <c r="D217" s="38"/>
      <c r="E217" s="38"/>
      <c r="F217" s="38"/>
    </row>
    <row r="218" ht="14.25" customHeight="1">
      <c r="A218" s="38"/>
      <c r="B218" s="38"/>
      <c r="C218" s="38"/>
      <c r="D218" s="38"/>
      <c r="E218" s="38"/>
      <c r="F218" s="38"/>
    </row>
    <row r="219" ht="14.25" customHeight="1">
      <c r="A219" s="38"/>
      <c r="B219" s="38"/>
      <c r="C219" s="38"/>
      <c r="D219" s="38"/>
      <c r="E219" s="38"/>
      <c r="F219" s="38"/>
    </row>
    <row r="220" ht="14.25" customHeight="1">
      <c r="A220" s="38"/>
      <c r="B220" s="38"/>
      <c r="C220" s="38"/>
      <c r="D220" s="38"/>
      <c r="E220" s="38"/>
      <c r="F220" s="38"/>
    </row>
    <row r="221" ht="14.25" customHeight="1">
      <c r="A221" s="38"/>
      <c r="B221" s="38"/>
      <c r="C221" s="38"/>
      <c r="D221" s="38"/>
      <c r="E221" s="38"/>
      <c r="F221" s="38"/>
    </row>
    <row r="222" ht="14.25" customHeight="1">
      <c r="A222" s="38"/>
      <c r="B222" s="38"/>
      <c r="C222" s="38"/>
      <c r="D222" s="38"/>
      <c r="E222" s="38"/>
      <c r="F222" s="38"/>
    </row>
    <row r="223" ht="14.25" customHeight="1">
      <c r="A223" s="38"/>
      <c r="B223" s="38"/>
      <c r="C223" s="38"/>
      <c r="D223" s="38"/>
      <c r="E223" s="38"/>
      <c r="F223" s="38"/>
    </row>
    <row r="224" ht="14.25" customHeight="1">
      <c r="A224" s="38"/>
      <c r="B224" s="38"/>
      <c r="C224" s="38"/>
      <c r="D224" s="38"/>
      <c r="E224" s="38"/>
      <c r="F224" s="38"/>
    </row>
    <row r="225" ht="14.25" customHeight="1">
      <c r="A225" s="38"/>
      <c r="B225" s="38"/>
      <c r="C225" s="38"/>
      <c r="D225" s="38"/>
      <c r="E225" s="38"/>
      <c r="F225" s="38"/>
    </row>
    <row r="226" ht="14.25" customHeight="1">
      <c r="A226" s="38"/>
      <c r="B226" s="38"/>
      <c r="C226" s="38"/>
      <c r="D226" s="38"/>
      <c r="E226" s="38"/>
      <c r="F226" s="38"/>
    </row>
    <row r="227" ht="14.25" customHeight="1">
      <c r="A227" s="38"/>
      <c r="B227" s="38"/>
      <c r="C227" s="38"/>
      <c r="D227" s="38"/>
      <c r="E227" s="38"/>
      <c r="F227" s="38"/>
    </row>
    <row r="228" ht="14.25" customHeight="1">
      <c r="A228" s="38"/>
      <c r="B228" s="38"/>
      <c r="C228" s="38"/>
      <c r="D228" s="38"/>
      <c r="E228" s="38"/>
      <c r="F228" s="38"/>
    </row>
    <row r="229" ht="14.25" customHeight="1">
      <c r="A229" s="38"/>
      <c r="B229" s="38"/>
      <c r="C229" s="38"/>
      <c r="D229" s="38"/>
      <c r="E229" s="38"/>
      <c r="F229" s="38"/>
    </row>
    <row r="230" ht="14.25" customHeight="1">
      <c r="A230" s="38"/>
      <c r="B230" s="38"/>
      <c r="C230" s="38"/>
      <c r="D230" s="38"/>
      <c r="E230" s="38"/>
      <c r="F230" s="38"/>
    </row>
    <row r="231" ht="14.25" customHeight="1">
      <c r="A231" s="38"/>
      <c r="B231" s="38"/>
      <c r="C231" s="38"/>
      <c r="D231" s="38"/>
      <c r="E231" s="38"/>
      <c r="F231" s="38"/>
    </row>
    <row r="232" ht="14.25" customHeight="1">
      <c r="A232" s="38"/>
      <c r="B232" s="38"/>
      <c r="C232" s="38"/>
      <c r="D232" s="38"/>
      <c r="E232" s="38"/>
      <c r="F232" s="38"/>
    </row>
    <row r="233" ht="14.25" customHeight="1">
      <c r="A233" s="38"/>
      <c r="B233" s="38"/>
      <c r="C233" s="38"/>
      <c r="D233" s="38"/>
      <c r="E233" s="38"/>
      <c r="F233" s="38"/>
    </row>
    <row r="234" ht="14.25" customHeight="1">
      <c r="A234" s="38"/>
      <c r="B234" s="38"/>
      <c r="C234" s="38"/>
      <c r="D234" s="38"/>
      <c r="E234" s="38"/>
      <c r="F234" s="38"/>
    </row>
    <row r="235" ht="14.25" customHeight="1">
      <c r="A235" s="38"/>
      <c r="B235" s="38"/>
      <c r="C235" s="38"/>
      <c r="D235" s="38"/>
      <c r="E235" s="38"/>
      <c r="F235" s="38"/>
    </row>
    <row r="236" ht="14.25" customHeight="1">
      <c r="A236" s="38"/>
      <c r="B236" s="38"/>
      <c r="C236" s="38"/>
      <c r="D236" s="38"/>
      <c r="E236" s="38"/>
      <c r="F236" s="38"/>
    </row>
    <row r="237" ht="14.25" customHeight="1">
      <c r="A237" s="38"/>
      <c r="B237" s="38"/>
      <c r="C237" s="38"/>
      <c r="D237" s="38"/>
      <c r="E237" s="38"/>
      <c r="F237" s="38"/>
    </row>
    <row r="238" ht="14.25" customHeight="1">
      <c r="A238" s="38"/>
      <c r="B238" s="38"/>
      <c r="C238" s="38"/>
      <c r="D238" s="38"/>
      <c r="E238" s="38"/>
      <c r="F238" s="38"/>
    </row>
    <row r="239" ht="14.25" customHeight="1">
      <c r="A239" s="38"/>
      <c r="B239" s="38"/>
      <c r="C239" s="38"/>
      <c r="D239" s="38"/>
      <c r="E239" s="38"/>
      <c r="F239" s="38"/>
    </row>
    <row r="240" ht="14.25" customHeight="1">
      <c r="A240" s="38"/>
      <c r="B240" s="38"/>
      <c r="C240" s="38"/>
      <c r="D240" s="38"/>
      <c r="E240" s="38"/>
      <c r="F240" s="38"/>
    </row>
    <row r="241" ht="14.25" customHeight="1">
      <c r="A241" s="38"/>
      <c r="B241" s="38"/>
      <c r="C241" s="38"/>
      <c r="D241" s="38"/>
      <c r="E241" s="38"/>
      <c r="F241" s="38"/>
    </row>
    <row r="242" ht="14.25" customHeight="1">
      <c r="A242" s="38"/>
      <c r="B242" s="38"/>
      <c r="C242" s="38"/>
      <c r="D242" s="38"/>
      <c r="E242" s="38"/>
      <c r="F242" s="38"/>
    </row>
    <row r="243" ht="14.25" customHeight="1">
      <c r="A243" s="38"/>
      <c r="B243" s="38"/>
      <c r="C243" s="38"/>
      <c r="D243" s="38"/>
      <c r="E243" s="38"/>
      <c r="F243" s="38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 count="2">
    <dataValidation type="list" allowBlank="1" showErrorMessage="1" sqref="B2:B43">
      <formula1>'listas de opções'!$E$2:$E$64</formula1>
    </dataValidation>
    <dataValidation type="list" allowBlank="1" showErrorMessage="1" sqref="A2:A43">
      <formula1>'listas de opções'!$C$2:$C$18</formula1>
    </dataValidation>
  </dataValidations>
  <pageMargins bottom="0.787401575" footer="0.0" header="0.0" left="0.511811024" right="0.511811024" top="0.78740157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4.71" hidden="0" customWidth="1"/>
    <col min="2" max="2" width="18.86" hidden="0" customWidth="1"/>
    <col min="3" max="3" width="21.29" hidden="0" customWidth="1"/>
    <col min="4" max="4" width="32" hidden="0" customWidth="1"/>
    <col min="5" max="5" width="45.43" hidden="0" customWidth="1"/>
    <col min="6" max="6" width="28" hidden="0" customWidth="1"/>
  </cols>
  <sheetData>
    <row r="1" ht="14.25" customHeight="1">
      <c r="A1" s="31" t="s">
        <v>1</v>
      </c>
      <c r="B1" s="31" t="s">
        <v>207</v>
      </c>
      <c r="C1" s="31" t="s">
        <v>208</v>
      </c>
      <c r="D1" s="31" t="s">
        <v>215</v>
      </c>
      <c r="E1" s="31" t="s">
        <v>216</v>
      </c>
      <c r="F1" s="31" t="s">
        <v>217</v>
      </c>
    </row>
    <row r="2" ht="33.0" customHeight="1">
      <c r="A2" s="33" t="s">
        <v>59</v>
      </c>
      <c r="B2" s="33" t="s">
        <v>35</v>
      </c>
      <c r="C2" s="33" t="s">
        <v>132</v>
      </c>
      <c r="D2" s="33" t="n">
        <v>2024756.0</v>
      </c>
      <c r="E2" s="33" t="s">
        <v>232</v>
      </c>
      <c r="F2" s="33" t="s">
        <v>132</v>
      </c>
    </row>
    <row r="3" ht="33.0" customHeight="1">
      <c r="A3" s="33" t="s">
        <v>59</v>
      </c>
      <c r="B3" s="33" t="s">
        <v>35</v>
      </c>
      <c r="C3" s="33" t="s">
        <v>136</v>
      </c>
      <c r="D3" s="33" t="n">
        <v>2085194.0</v>
      </c>
      <c r="E3" s="33" t="s">
        <v>233</v>
      </c>
      <c r="F3" s="33" t="s">
        <v>138</v>
      </c>
    </row>
    <row r="4" ht="33.0" customHeight="1">
      <c r="A4" s="33" t="s">
        <v>59</v>
      </c>
      <c r="B4" s="33" t="s">
        <v>35</v>
      </c>
      <c r="C4" s="33" t="s">
        <v>138</v>
      </c>
      <c r="D4" s="33" t="n">
        <v>2085194.0</v>
      </c>
      <c r="E4" s="33" t="s">
        <v>233</v>
      </c>
      <c r="F4" s="33" t="s">
        <v>138</v>
      </c>
    </row>
    <row r="5" ht="33.0" customHeight="1">
      <c r="A5" s="33" t="s">
        <v>59</v>
      </c>
      <c r="B5" s="33" t="s">
        <v>35</v>
      </c>
      <c r="C5" s="33" t="s">
        <v>140</v>
      </c>
      <c r="D5" s="33" t="n">
        <v>2024756.0</v>
      </c>
      <c r="E5" s="33" t="s">
        <v>232</v>
      </c>
      <c r="F5" s="33" t="s">
        <v>132</v>
      </c>
    </row>
    <row r="6" ht="33.0" customHeight="1">
      <c r="A6" s="33" t="s">
        <v>59</v>
      </c>
      <c r="B6" s="33" t="s">
        <v>35</v>
      </c>
      <c r="C6" s="33" t="s">
        <v>141</v>
      </c>
      <c r="D6" s="33" t="n">
        <v>9628.0</v>
      </c>
      <c r="E6" s="33" t="s">
        <v>234</v>
      </c>
      <c r="F6" s="33" t="s">
        <v>134</v>
      </c>
    </row>
    <row r="7" ht="33.0" customHeight="1">
      <c r="A7" s="33" t="s">
        <v>59</v>
      </c>
      <c r="B7" s="33" t="s">
        <v>35</v>
      </c>
      <c r="C7" s="33" t="s">
        <v>143</v>
      </c>
      <c r="D7" s="33" t="n">
        <v>9628.0</v>
      </c>
      <c r="E7" s="33" t="s">
        <v>234</v>
      </c>
      <c r="F7" s="33" t="s">
        <v>134</v>
      </c>
    </row>
    <row r="8" ht="33.0" customHeight="1">
      <c r="A8" s="33" t="s">
        <v>59</v>
      </c>
      <c r="B8" s="33" t="s">
        <v>35</v>
      </c>
      <c r="C8" s="33" t="s">
        <v>144</v>
      </c>
      <c r="D8" s="33" t="n">
        <v>2085194.0</v>
      </c>
      <c r="E8" s="33" t="s">
        <v>233</v>
      </c>
      <c r="F8" s="33" t="s">
        <v>138</v>
      </c>
    </row>
    <row r="9" ht="33.0" customHeight="1">
      <c r="A9" s="33" t="s">
        <v>59</v>
      </c>
      <c r="B9" s="33" t="s">
        <v>35</v>
      </c>
      <c r="C9" s="33" t="s">
        <v>134</v>
      </c>
      <c r="D9" s="33" t="n">
        <v>9628.0</v>
      </c>
      <c r="E9" s="33" t="s">
        <v>234</v>
      </c>
      <c r="F9" s="33" t="s">
        <v>134</v>
      </c>
    </row>
    <row r="10" ht="33.0" customHeight="1">
      <c r="A10" s="33" t="s">
        <v>59</v>
      </c>
      <c r="B10" s="33" t="s">
        <v>63</v>
      </c>
      <c r="C10" s="33" t="s">
        <v>147</v>
      </c>
      <c r="D10" s="33" t="n">
        <v>2087111.0</v>
      </c>
      <c r="E10" s="33" t="s">
        <v>222</v>
      </c>
      <c r="F10" s="33" t="s">
        <v>149</v>
      </c>
    </row>
    <row r="11" ht="33.0" customHeight="1">
      <c r="A11" s="33" t="s">
        <v>59</v>
      </c>
      <c r="B11" s="33" t="s">
        <v>63</v>
      </c>
      <c r="C11" s="33" t="s">
        <v>150</v>
      </c>
      <c r="D11" s="33" t="n">
        <v>2024691.0</v>
      </c>
      <c r="E11" s="33" t="s">
        <v>235</v>
      </c>
      <c r="F11" s="33" t="s">
        <v>152</v>
      </c>
    </row>
    <row r="12" ht="33.0" customHeight="1">
      <c r="A12" s="33" t="s">
        <v>59</v>
      </c>
      <c r="B12" s="33" t="s">
        <v>63</v>
      </c>
      <c r="C12" s="33" t="s">
        <v>153</v>
      </c>
      <c r="D12" s="33" t="n">
        <v>2024691.0</v>
      </c>
      <c r="E12" s="33" t="s">
        <v>235</v>
      </c>
      <c r="F12" s="33" t="s">
        <v>152</v>
      </c>
    </row>
    <row r="13" ht="33.0" customHeight="1">
      <c r="A13" s="33" t="s">
        <v>59</v>
      </c>
      <c r="B13" s="33" t="s">
        <v>63</v>
      </c>
      <c r="C13" s="33" t="s">
        <v>154</v>
      </c>
      <c r="D13" s="33" t="n">
        <v>2024691.0</v>
      </c>
      <c r="E13" s="33" t="s">
        <v>235</v>
      </c>
      <c r="F13" s="33" t="s">
        <v>152</v>
      </c>
    </row>
    <row r="14" ht="33.0" customHeight="1">
      <c r="A14" s="33" t="s">
        <v>59</v>
      </c>
      <c r="B14" s="33" t="s">
        <v>63</v>
      </c>
      <c r="C14" s="33" t="s">
        <v>155</v>
      </c>
      <c r="D14" s="33" t="n">
        <v>2087111.0</v>
      </c>
      <c r="E14" s="33" t="s">
        <v>222</v>
      </c>
      <c r="F14" s="33" t="s">
        <v>149</v>
      </c>
    </row>
    <row r="15" ht="33.0" customHeight="1">
      <c r="A15" s="33" t="s">
        <v>59</v>
      </c>
      <c r="B15" s="33" t="s">
        <v>63</v>
      </c>
      <c r="C15" s="33" t="s">
        <v>156</v>
      </c>
      <c r="D15" s="33" t="n">
        <v>2087111.0</v>
      </c>
      <c r="E15" s="33" t="s">
        <v>222</v>
      </c>
      <c r="F15" s="33" t="s">
        <v>149</v>
      </c>
    </row>
    <row r="16" ht="33.0" customHeight="1">
      <c r="A16" s="33" t="s">
        <v>59</v>
      </c>
      <c r="B16" s="33" t="s">
        <v>63</v>
      </c>
      <c r="C16" s="33" t="s">
        <v>152</v>
      </c>
      <c r="D16" s="33" t="n">
        <v>2024691.0</v>
      </c>
      <c r="E16" s="33" t="s">
        <v>235</v>
      </c>
      <c r="F16" s="33" t="s">
        <v>152</v>
      </c>
    </row>
    <row r="17" ht="33.0" customHeight="1">
      <c r="A17" s="33" t="s">
        <v>59</v>
      </c>
      <c r="B17" s="33" t="s">
        <v>63</v>
      </c>
      <c r="C17" s="33" t="s">
        <v>158</v>
      </c>
      <c r="D17" s="33" t="n">
        <v>2079518.0</v>
      </c>
      <c r="E17" s="33" t="s">
        <v>236</v>
      </c>
      <c r="F17" s="33" t="s">
        <v>158</v>
      </c>
    </row>
    <row r="18" ht="33.0" customHeight="1">
      <c r="A18" s="33" t="s">
        <v>59</v>
      </c>
      <c r="B18" s="33" t="s">
        <v>63</v>
      </c>
      <c r="C18" s="33" t="s">
        <v>160</v>
      </c>
      <c r="D18" s="33" t="n">
        <v>2081512.0</v>
      </c>
      <c r="E18" s="33" t="s">
        <v>237</v>
      </c>
      <c r="F18" s="33" t="s">
        <v>160</v>
      </c>
    </row>
    <row r="19" ht="33.0" customHeight="1">
      <c r="A19" s="33" t="s">
        <v>59</v>
      </c>
      <c r="B19" s="33" t="s">
        <v>63</v>
      </c>
      <c r="C19" s="33" t="s">
        <v>163</v>
      </c>
      <c r="D19" s="33" t="n">
        <v>2024691.0</v>
      </c>
      <c r="E19" s="33" t="s">
        <v>235</v>
      </c>
      <c r="F19" s="33" t="s">
        <v>152</v>
      </c>
    </row>
    <row r="20" ht="33.0" customHeight="1">
      <c r="A20" s="33" t="s">
        <v>59</v>
      </c>
      <c r="B20" s="33" t="s">
        <v>63</v>
      </c>
      <c r="C20" s="33" t="s">
        <v>149</v>
      </c>
      <c r="D20" s="33" t="n">
        <v>2087111.0</v>
      </c>
      <c r="E20" s="33" t="s">
        <v>222</v>
      </c>
      <c r="F20" s="33" t="s">
        <v>149</v>
      </c>
    </row>
    <row r="21" ht="33.0" customHeight="1">
      <c r="A21" s="33" t="s">
        <v>59</v>
      </c>
      <c r="B21" s="33" t="s">
        <v>63</v>
      </c>
      <c r="C21" s="33" t="s">
        <v>164</v>
      </c>
      <c r="D21" s="33" t="n">
        <v>2087111.0</v>
      </c>
      <c r="E21" s="33" t="s">
        <v>222</v>
      </c>
      <c r="F21" s="33" t="s">
        <v>149</v>
      </c>
    </row>
    <row r="22" ht="33.0" customHeight="1">
      <c r="A22" s="33" t="s">
        <v>59</v>
      </c>
      <c r="B22" s="33" t="s">
        <v>63</v>
      </c>
      <c r="C22" s="33" t="s">
        <v>165</v>
      </c>
      <c r="D22" s="33" t="n">
        <v>2087111.0</v>
      </c>
      <c r="E22" s="33" t="s">
        <v>222</v>
      </c>
      <c r="F22" s="33" t="s">
        <v>149</v>
      </c>
    </row>
    <row r="23" ht="33.0" customHeight="1">
      <c r="A23" s="33" t="s">
        <v>59</v>
      </c>
      <c r="B23" s="33" t="s">
        <v>63</v>
      </c>
      <c r="C23" s="33" t="s">
        <v>166</v>
      </c>
      <c r="D23" s="33" t="n">
        <v>2024691.0</v>
      </c>
      <c r="E23" s="33" t="s">
        <v>235</v>
      </c>
      <c r="F23" s="33" t="s">
        <v>152</v>
      </c>
    </row>
    <row r="24" ht="33.0" customHeight="1">
      <c r="A24" s="33" t="s">
        <v>59</v>
      </c>
      <c r="B24" s="33" t="s">
        <v>63</v>
      </c>
      <c r="C24" s="33" t="s">
        <v>167</v>
      </c>
      <c r="D24" s="33" t="n">
        <v>2087111.0</v>
      </c>
      <c r="E24" s="33" t="s">
        <v>222</v>
      </c>
      <c r="F24" s="33" t="s">
        <v>149</v>
      </c>
    </row>
    <row r="25" ht="33.0" customHeight="1">
      <c r="A25" s="33" t="s">
        <v>59</v>
      </c>
      <c r="B25" s="33" t="s">
        <v>63</v>
      </c>
      <c r="C25" s="33" t="s">
        <v>168</v>
      </c>
      <c r="D25" s="33" t="n">
        <v>2024691.0</v>
      </c>
      <c r="E25" s="33" t="s">
        <v>235</v>
      </c>
      <c r="F25" s="33" t="s">
        <v>152</v>
      </c>
    </row>
    <row r="26" ht="33.0" customHeight="1">
      <c r="A26" s="33" t="s">
        <v>59</v>
      </c>
      <c r="B26" s="33" t="s">
        <v>63</v>
      </c>
      <c r="C26" s="33" t="s">
        <v>169</v>
      </c>
      <c r="D26" s="33" t="n">
        <v>2024691.0</v>
      </c>
      <c r="E26" s="33" t="s">
        <v>235</v>
      </c>
      <c r="F26" s="33" t="s">
        <v>152</v>
      </c>
    </row>
    <row r="27" ht="33.0" customHeight="1">
      <c r="A27" s="33" t="s">
        <v>59</v>
      </c>
      <c r="B27" s="33" t="s">
        <v>81</v>
      </c>
      <c r="C27" s="33" t="s">
        <v>170</v>
      </c>
      <c r="D27" s="33" t="n">
        <v>2082926.0</v>
      </c>
      <c r="E27" s="33" t="s">
        <v>238</v>
      </c>
      <c r="F27" s="33" t="s">
        <v>170</v>
      </c>
    </row>
    <row r="28" ht="33.0" customHeight="1">
      <c r="A28" s="33" t="s">
        <v>59</v>
      </c>
      <c r="B28" s="33" t="s">
        <v>81</v>
      </c>
      <c r="C28" s="33" t="s">
        <v>173</v>
      </c>
      <c r="D28" s="33" t="n">
        <v>2747871.0</v>
      </c>
      <c r="E28" s="33" t="s">
        <v>239</v>
      </c>
      <c r="F28" s="33" t="s">
        <v>175</v>
      </c>
    </row>
    <row r="29" ht="33.0" customHeight="1">
      <c r="A29" s="33" t="s">
        <v>59</v>
      </c>
      <c r="B29" s="33" t="s">
        <v>81</v>
      </c>
      <c r="C29" s="33" t="s">
        <v>177</v>
      </c>
      <c r="D29" s="33" t="n">
        <v>2765934.0</v>
      </c>
      <c r="E29" s="33" t="s">
        <v>240</v>
      </c>
      <c r="F29" s="33" t="s">
        <v>177</v>
      </c>
    </row>
    <row r="30" ht="33.0" customHeight="1">
      <c r="A30" s="33" t="s">
        <v>59</v>
      </c>
      <c r="B30" s="33" t="s">
        <v>81</v>
      </c>
      <c r="C30" s="33" t="s">
        <v>180</v>
      </c>
      <c r="D30" s="33" t="n">
        <v>2702193.0</v>
      </c>
      <c r="E30" s="33" t="s">
        <v>241</v>
      </c>
      <c r="F30" s="33" t="s">
        <v>180</v>
      </c>
    </row>
    <row r="31" ht="33.0" customHeight="1">
      <c r="A31" s="33" t="s">
        <v>59</v>
      </c>
      <c r="B31" s="33" t="s">
        <v>98</v>
      </c>
      <c r="C31" s="33" t="s">
        <v>184</v>
      </c>
      <c r="D31" s="33" t="n">
        <v>7947984.0</v>
      </c>
      <c r="E31" s="33" t="s">
        <v>242</v>
      </c>
      <c r="F31" s="33" t="s">
        <v>184</v>
      </c>
    </row>
    <row r="32" ht="33.0" customHeight="1">
      <c r="A32" s="33" t="s">
        <v>59</v>
      </c>
      <c r="B32" s="33" t="s">
        <v>98</v>
      </c>
      <c r="C32" s="33" t="s">
        <v>187</v>
      </c>
      <c r="D32" s="33" t="n">
        <v>2749319.0</v>
      </c>
      <c r="E32" s="33" t="s">
        <v>223</v>
      </c>
      <c r="F32" s="33" t="s">
        <v>59</v>
      </c>
    </row>
    <row r="33" ht="33.0" customHeight="1">
      <c r="A33" s="33" t="s">
        <v>59</v>
      </c>
      <c r="B33" s="33" t="s">
        <v>98</v>
      </c>
      <c r="C33" s="33" t="s">
        <v>187</v>
      </c>
      <c r="D33" s="33" t="n">
        <v>2755092.0</v>
      </c>
      <c r="E33" s="33" t="s">
        <v>243</v>
      </c>
      <c r="F33" s="39" t="s">
        <v>192</v>
      </c>
    </row>
    <row r="34" ht="33.0" customHeight="1">
      <c r="A34" s="33" t="s">
        <v>59</v>
      </c>
      <c r="B34" s="33" t="s">
        <v>98</v>
      </c>
      <c r="C34" s="33" t="s">
        <v>190</v>
      </c>
      <c r="D34" s="33" t="n">
        <v>2749319.0</v>
      </c>
      <c r="E34" s="33" t="s">
        <v>223</v>
      </c>
      <c r="F34" s="33" t="s">
        <v>59</v>
      </c>
    </row>
    <row r="35" ht="33.0" customHeight="1">
      <c r="A35" s="33" t="s">
        <v>59</v>
      </c>
      <c r="B35" s="33" t="s">
        <v>98</v>
      </c>
      <c r="C35" s="33" t="s">
        <v>190</v>
      </c>
      <c r="D35" s="33" t="n">
        <v>2755092.0</v>
      </c>
      <c r="E35" s="33" t="s">
        <v>244</v>
      </c>
      <c r="F35" s="39" t="s">
        <v>192</v>
      </c>
    </row>
    <row r="36" ht="33.0" customHeight="1">
      <c r="A36" s="33" t="s">
        <v>59</v>
      </c>
      <c r="B36" s="33" t="s">
        <v>98</v>
      </c>
      <c r="C36" s="33" t="s">
        <v>190</v>
      </c>
      <c r="D36" s="33" t="n">
        <v>2082926.0</v>
      </c>
      <c r="E36" s="33" t="s">
        <v>238</v>
      </c>
      <c r="F36" s="33" t="s">
        <v>170</v>
      </c>
    </row>
    <row r="37" ht="33.0" customHeight="1">
      <c r="A37" s="33" t="s">
        <v>59</v>
      </c>
      <c r="B37" s="33" t="s">
        <v>98</v>
      </c>
      <c r="C37" s="33" t="s">
        <v>192</v>
      </c>
      <c r="D37" s="33" t="n">
        <v>2755092.0</v>
      </c>
      <c r="E37" s="33" t="s">
        <v>243</v>
      </c>
      <c r="F37" s="33" t="s">
        <v>192</v>
      </c>
    </row>
    <row r="38" ht="33.0" customHeight="1">
      <c r="A38" s="33" t="s">
        <v>59</v>
      </c>
      <c r="B38" s="33" t="s">
        <v>98</v>
      </c>
      <c r="C38" s="33" t="s">
        <v>196</v>
      </c>
      <c r="D38" s="33" t="n">
        <v>2749319.0</v>
      </c>
      <c r="E38" s="33" t="s">
        <v>223</v>
      </c>
      <c r="F38" s="33" t="s">
        <v>59</v>
      </c>
    </row>
    <row r="39" ht="33.0" customHeight="1">
      <c r="A39" s="33" t="s">
        <v>59</v>
      </c>
      <c r="B39" s="33" t="s">
        <v>98</v>
      </c>
      <c r="C39" s="33" t="s">
        <v>196</v>
      </c>
      <c r="D39" s="33" t="n">
        <v>2755092.0</v>
      </c>
      <c r="E39" s="33" t="s">
        <v>243</v>
      </c>
      <c r="F39" s="39" t="s">
        <v>192</v>
      </c>
    </row>
    <row r="40" ht="33.0" customHeight="1">
      <c r="A40" s="33" t="s">
        <v>59</v>
      </c>
      <c r="B40" s="33" t="s">
        <v>98</v>
      </c>
      <c r="C40" s="33" t="s">
        <v>197</v>
      </c>
      <c r="D40" s="33" t="n">
        <v>7947984.0</v>
      </c>
      <c r="E40" s="33" t="s">
        <v>242</v>
      </c>
      <c r="F40" s="33" t="s">
        <v>184</v>
      </c>
    </row>
    <row r="41" ht="33.0" customHeight="1">
      <c r="A41" s="33" t="s">
        <v>59</v>
      </c>
      <c r="B41" s="33" t="s">
        <v>98</v>
      </c>
      <c r="C41" s="33" t="s">
        <v>197</v>
      </c>
      <c r="D41" s="33" t="n">
        <v>2755092.0</v>
      </c>
      <c r="E41" s="33" t="s">
        <v>243</v>
      </c>
      <c r="F41" s="39" t="s">
        <v>192</v>
      </c>
    </row>
    <row r="42" ht="33.0" customHeight="1">
      <c r="A42" s="33" t="s">
        <v>59</v>
      </c>
      <c r="B42" s="33" t="s">
        <v>98</v>
      </c>
      <c r="C42" s="33" t="s">
        <v>199</v>
      </c>
      <c r="D42" s="33" t="n">
        <v>2078546.0</v>
      </c>
      <c r="E42" s="33" t="s">
        <v>245</v>
      </c>
      <c r="F42" s="33" t="s">
        <v>199</v>
      </c>
    </row>
    <row r="43" ht="33.0" customHeight="1">
      <c r="A43" s="33" t="s">
        <v>59</v>
      </c>
      <c r="B43" s="33" t="s">
        <v>98</v>
      </c>
      <c r="C43" s="33" t="s">
        <v>199</v>
      </c>
      <c r="D43" s="33" t="n">
        <v>7947984.0</v>
      </c>
      <c r="E43" s="33" t="s">
        <v>242</v>
      </c>
      <c r="F43" s="33" t="s">
        <v>184</v>
      </c>
    </row>
    <row r="44" ht="33.0" customHeight="1">
      <c r="A44" s="33" t="s">
        <v>59</v>
      </c>
      <c r="B44" s="33" t="s">
        <v>98</v>
      </c>
      <c r="C44" s="33" t="s">
        <v>201</v>
      </c>
      <c r="D44" s="33" t="n">
        <v>2749319.0</v>
      </c>
      <c r="E44" s="33" t="s">
        <v>223</v>
      </c>
      <c r="F44" s="33" t="s">
        <v>59</v>
      </c>
    </row>
    <row r="45" ht="33.0" customHeight="1">
      <c r="A45" s="33" t="s">
        <v>59</v>
      </c>
      <c r="B45" s="33" t="s">
        <v>98</v>
      </c>
      <c r="C45" s="33" t="s">
        <v>201</v>
      </c>
      <c r="D45" s="33" t="n">
        <v>2755092.0</v>
      </c>
      <c r="E45" s="33" t="s">
        <v>243</v>
      </c>
      <c r="F45" s="39" t="s">
        <v>192</v>
      </c>
    </row>
    <row r="46" ht="33.0" customHeight="1">
      <c r="A46" s="33" t="s">
        <v>59</v>
      </c>
      <c r="B46" s="33" t="s">
        <v>98</v>
      </c>
      <c r="C46" s="33" t="s">
        <v>59</v>
      </c>
      <c r="D46" s="33" t="n">
        <v>2749319.0</v>
      </c>
      <c r="E46" s="33" t="s">
        <v>223</v>
      </c>
      <c r="F46" s="33" t="s">
        <v>59</v>
      </c>
    </row>
    <row r="47" ht="33.0" customHeight="1">
      <c r="A47" s="33" t="s">
        <v>59</v>
      </c>
      <c r="B47" s="33" t="s">
        <v>98</v>
      </c>
      <c r="C47" s="33" t="s">
        <v>59</v>
      </c>
      <c r="D47" s="33" t="n">
        <v>2755092.0</v>
      </c>
      <c r="E47" s="33" t="s">
        <v>243</v>
      </c>
      <c r="F47" s="39" t="s">
        <v>192</v>
      </c>
    </row>
    <row r="48" ht="33.0" customHeight="1">
      <c r="A48" s="33" t="s">
        <v>59</v>
      </c>
      <c r="B48" s="33" t="s">
        <v>98</v>
      </c>
      <c r="C48" s="33" t="s">
        <v>205</v>
      </c>
      <c r="D48" s="33" t="n">
        <v>2749319.0</v>
      </c>
      <c r="E48" s="33" t="s">
        <v>223</v>
      </c>
      <c r="F48" s="33" t="s">
        <v>59</v>
      </c>
    </row>
    <row r="49" ht="33.0" customHeight="1">
      <c r="A49" s="33" t="s">
        <v>59</v>
      </c>
      <c r="B49" s="33" t="s">
        <v>98</v>
      </c>
      <c r="C49" s="33" t="s">
        <v>205</v>
      </c>
      <c r="D49" s="39" t="n">
        <v>2755092.0</v>
      </c>
      <c r="E49" s="33" t="s">
        <v>243</v>
      </c>
      <c r="F49" s="39" t="s">
        <v>192</v>
      </c>
    </row>
    <row r="50" ht="14.25" customHeight="1">
      <c r="A50" s="38"/>
      <c r="B50" s="38"/>
      <c r="C50" s="38"/>
      <c r="D50" s="38"/>
      <c r="E50" s="38"/>
      <c r="F50" s="38"/>
    </row>
    <row r="51" ht="14.25" customHeight="1">
      <c r="A51" s="38"/>
      <c r="B51" s="38"/>
      <c r="C51" s="38"/>
      <c r="D51" s="38"/>
      <c r="E51" s="38"/>
      <c r="F51" s="38"/>
    </row>
    <row r="52" ht="14.25" customHeight="1">
      <c r="A52" s="38"/>
      <c r="B52" s="38"/>
      <c r="C52" s="38"/>
      <c r="D52" s="38"/>
      <c r="E52" s="38"/>
      <c r="F52" s="38"/>
    </row>
    <row r="53" ht="14.25" customHeight="1">
      <c r="A53" s="38"/>
      <c r="B53" s="38"/>
      <c r="C53" s="38"/>
      <c r="D53" s="38"/>
      <c r="E53" s="38"/>
      <c r="F53" s="38"/>
    </row>
    <row r="54" ht="14.25" customHeight="1">
      <c r="A54" s="38"/>
      <c r="B54" s="38"/>
      <c r="C54" s="38"/>
      <c r="D54" s="38"/>
      <c r="E54" s="38"/>
      <c r="F54" s="38"/>
    </row>
    <row r="55" ht="14.25" customHeight="1">
      <c r="A55" s="38"/>
      <c r="B55" s="38"/>
      <c r="C55" s="38"/>
      <c r="D55" s="38"/>
      <c r="E55" s="38"/>
      <c r="F55" s="38"/>
    </row>
    <row r="56" ht="14.25" customHeight="1">
      <c r="A56" s="38"/>
      <c r="B56" s="38"/>
      <c r="C56" s="38"/>
      <c r="D56" s="38"/>
      <c r="E56" s="38"/>
      <c r="F56" s="38"/>
    </row>
    <row r="57" ht="14.25" customHeight="1">
      <c r="A57" s="38"/>
      <c r="B57" s="38"/>
      <c r="C57" s="38"/>
      <c r="D57" s="38"/>
      <c r="E57" s="38"/>
      <c r="F57" s="38"/>
    </row>
    <row r="58" ht="14.25" customHeight="1">
      <c r="A58" s="38"/>
      <c r="B58" s="38"/>
      <c r="C58" s="38"/>
      <c r="D58" s="38"/>
      <c r="E58" s="38"/>
      <c r="F58" s="38"/>
    </row>
    <row r="59" ht="14.25" customHeight="1">
      <c r="A59" s="38"/>
      <c r="B59" s="38"/>
      <c r="C59" s="38"/>
      <c r="D59" s="38"/>
      <c r="E59" s="38"/>
      <c r="F59" s="38"/>
    </row>
    <row r="60" ht="14.25" customHeight="1">
      <c r="A60" s="38"/>
      <c r="B60" s="38"/>
      <c r="C60" s="38"/>
      <c r="D60" s="38"/>
      <c r="E60" s="38"/>
      <c r="F60" s="38"/>
    </row>
    <row r="61" ht="14.25" customHeight="1">
      <c r="A61" s="38"/>
      <c r="B61" s="38"/>
      <c r="C61" s="38"/>
      <c r="D61" s="38"/>
      <c r="E61" s="38"/>
      <c r="F61" s="38"/>
    </row>
    <row r="62" ht="14.25" customHeight="1">
      <c r="A62" s="38"/>
      <c r="B62" s="38"/>
      <c r="C62" s="38"/>
      <c r="D62" s="38"/>
      <c r="E62" s="38"/>
      <c r="F62" s="38"/>
    </row>
    <row r="63" ht="14.25" customHeight="1">
      <c r="A63" s="38"/>
      <c r="B63" s="38"/>
      <c r="C63" s="38"/>
      <c r="D63" s="38"/>
      <c r="E63" s="38"/>
      <c r="F63" s="38"/>
    </row>
    <row r="64" ht="14.25" customHeight="1">
      <c r="A64" s="38"/>
      <c r="B64" s="38"/>
      <c r="C64" s="38"/>
      <c r="D64" s="38"/>
      <c r="E64" s="38"/>
      <c r="F64" s="38"/>
    </row>
    <row r="65" ht="14.25" customHeight="1">
      <c r="A65" s="38"/>
      <c r="B65" s="38"/>
      <c r="C65" s="38"/>
      <c r="D65" s="38"/>
      <c r="E65" s="38"/>
      <c r="F65" s="38"/>
    </row>
    <row r="66" ht="14.25" customHeight="1">
      <c r="A66" s="38"/>
      <c r="B66" s="38"/>
      <c r="C66" s="38"/>
      <c r="D66" s="38"/>
      <c r="E66" s="38"/>
      <c r="F66" s="38"/>
    </row>
    <row r="67" ht="14.25" customHeight="1">
      <c r="A67" s="38"/>
      <c r="B67" s="38"/>
      <c r="C67" s="38"/>
      <c r="D67" s="38"/>
      <c r="E67" s="38"/>
      <c r="F67" s="38"/>
    </row>
    <row r="68" ht="14.25" customHeight="1">
      <c r="A68" s="38"/>
      <c r="B68" s="38"/>
      <c r="C68" s="38"/>
      <c r="D68" s="38"/>
      <c r="E68" s="38"/>
      <c r="F68" s="38"/>
    </row>
    <row r="69" ht="14.25" customHeight="1">
      <c r="A69" s="38"/>
      <c r="B69" s="38"/>
      <c r="C69" s="38"/>
      <c r="D69" s="38"/>
      <c r="E69" s="38"/>
      <c r="F69" s="38"/>
    </row>
    <row r="70" ht="14.25" customHeight="1">
      <c r="A70" s="38"/>
      <c r="B70" s="38"/>
      <c r="C70" s="38"/>
      <c r="D70" s="38"/>
      <c r="E70" s="38"/>
      <c r="F70" s="38"/>
    </row>
    <row r="71" ht="14.25" customHeight="1">
      <c r="A71" s="38"/>
      <c r="B71" s="38"/>
      <c r="C71" s="38"/>
      <c r="D71" s="38"/>
      <c r="E71" s="38"/>
      <c r="F71" s="38"/>
    </row>
    <row r="72" ht="14.25" customHeight="1">
      <c r="A72" s="38"/>
      <c r="B72" s="38"/>
      <c r="C72" s="38"/>
      <c r="D72" s="38"/>
      <c r="E72" s="38"/>
      <c r="F72" s="38"/>
    </row>
    <row r="73" ht="14.25" customHeight="1">
      <c r="A73" s="38"/>
      <c r="B73" s="38"/>
      <c r="C73" s="38"/>
      <c r="D73" s="38"/>
      <c r="E73" s="38"/>
      <c r="F73" s="38"/>
    </row>
    <row r="74" ht="14.25" customHeight="1">
      <c r="A74" s="38"/>
      <c r="B74" s="38"/>
      <c r="C74" s="38"/>
      <c r="D74" s="38"/>
      <c r="E74" s="38"/>
      <c r="F74" s="38"/>
    </row>
    <row r="75" ht="14.25" customHeight="1">
      <c r="A75" s="38"/>
      <c r="B75" s="38"/>
      <c r="C75" s="38"/>
      <c r="D75" s="38"/>
      <c r="E75" s="38"/>
      <c r="F75" s="38"/>
    </row>
    <row r="76" ht="14.25" customHeight="1">
      <c r="A76" s="38"/>
      <c r="B76" s="38"/>
      <c r="C76" s="38"/>
      <c r="D76" s="38"/>
      <c r="E76" s="38"/>
      <c r="F76" s="38"/>
    </row>
    <row r="77" ht="14.25" customHeight="1">
      <c r="A77" s="38"/>
      <c r="B77" s="38"/>
      <c r="C77" s="38"/>
      <c r="D77" s="38"/>
      <c r="E77" s="38"/>
      <c r="F77" s="38"/>
    </row>
    <row r="78" ht="14.25" customHeight="1">
      <c r="A78" s="38"/>
      <c r="B78" s="38"/>
      <c r="C78" s="38"/>
      <c r="D78" s="38"/>
      <c r="E78" s="38"/>
      <c r="F78" s="38"/>
    </row>
    <row r="79" ht="14.25" customHeight="1">
      <c r="A79" s="38"/>
      <c r="B79" s="38"/>
      <c r="C79" s="38"/>
      <c r="D79" s="38"/>
      <c r="E79" s="38"/>
      <c r="F79" s="38"/>
    </row>
    <row r="80" ht="14.25" customHeight="1">
      <c r="A80" s="38"/>
      <c r="B80" s="38"/>
      <c r="C80" s="38"/>
      <c r="D80" s="38"/>
      <c r="E80" s="38"/>
      <c r="F80" s="38"/>
    </row>
    <row r="81" ht="14.25" customHeight="1">
      <c r="A81" s="38"/>
      <c r="B81" s="38"/>
      <c r="C81" s="38"/>
      <c r="D81" s="38"/>
      <c r="E81" s="38"/>
      <c r="F81" s="38"/>
    </row>
    <row r="82" ht="14.25" customHeight="1">
      <c r="A82" s="38"/>
      <c r="B82" s="38"/>
      <c r="C82" s="38"/>
      <c r="D82" s="38"/>
      <c r="E82" s="38"/>
      <c r="F82" s="38"/>
    </row>
    <row r="83" ht="14.25" customHeight="1">
      <c r="A83" s="38"/>
      <c r="B83" s="38"/>
      <c r="C83" s="38"/>
      <c r="D83" s="38"/>
      <c r="E83" s="38"/>
      <c r="F83" s="38"/>
    </row>
    <row r="84" ht="14.25" customHeight="1">
      <c r="A84" s="38"/>
      <c r="B84" s="38"/>
      <c r="C84" s="38"/>
      <c r="D84" s="38"/>
      <c r="E84" s="38"/>
      <c r="F84" s="38"/>
    </row>
    <row r="85" ht="14.25" customHeight="1">
      <c r="A85" s="38"/>
      <c r="B85" s="38"/>
      <c r="C85" s="38"/>
      <c r="D85" s="38"/>
      <c r="E85" s="38"/>
      <c r="F85" s="38"/>
    </row>
    <row r="86" ht="14.25" customHeight="1">
      <c r="A86" s="38"/>
      <c r="B86" s="38"/>
      <c r="C86" s="38"/>
      <c r="D86" s="38"/>
      <c r="E86" s="38"/>
      <c r="F86" s="38"/>
    </row>
    <row r="87" ht="14.25" customHeight="1">
      <c r="A87" s="38"/>
      <c r="B87" s="38"/>
      <c r="C87" s="38"/>
      <c r="D87" s="38"/>
      <c r="E87" s="38"/>
      <c r="F87" s="38"/>
    </row>
    <row r="88" ht="14.25" customHeight="1">
      <c r="A88" s="38"/>
      <c r="B88" s="38"/>
      <c r="C88" s="38"/>
      <c r="D88" s="38"/>
      <c r="E88" s="38"/>
      <c r="F88" s="38"/>
    </row>
    <row r="89" ht="14.25" customHeight="1">
      <c r="A89" s="38"/>
      <c r="B89" s="38"/>
      <c r="C89" s="38"/>
      <c r="D89" s="38"/>
      <c r="E89" s="38"/>
      <c r="F89" s="38"/>
    </row>
    <row r="90" ht="14.25" customHeight="1">
      <c r="A90" s="38"/>
      <c r="B90" s="38"/>
      <c r="C90" s="38"/>
      <c r="D90" s="38"/>
      <c r="E90" s="38"/>
      <c r="F90" s="38"/>
    </row>
    <row r="91" ht="14.25" customHeight="1">
      <c r="A91" s="38"/>
      <c r="B91" s="38"/>
      <c r="C91" s="38"/>
      <c r="D91" s="38"/>
      <c r="E91" s="38"/>
      <c r="F91" s="38"/>
    </row>
    <row r="92" ht="14.25" customHeight="1">
      <c r="A92" s="38"/>
      <c r="B92" s="38"/>
      <c r="C92" s="38"/>
      <c r="D92" s="38"/>
      <c r="E92" s="38"/>
      <c r="F92" s="38"/>
    </row>
    <row r="93" ht="14.25" customHeight="1">
      <c r="A93" s="38"/>
      <c r="B93" s="38"/>
      <c r="C93" s="38"/>
      <c r="D93" s="38"/>
      <c r="E93" s="38"/>
      <c r="F93" s="38"/>
    </row>
    <row r="94" ht="14.25" customHeight="1">
      <c r="A94" s="38"/>
      <c r="B94" s="38"/>
      <c r="C94" s="38"/>
      <c r="D94" s="38"/>
      <c r="E94" s="38"/>
      <c r="F94" s="38"/>
    </row>
    <row r="95" ht="14.25" customHeight="1">
      <c r="A95" s="38"/>
      <c r="B95" s="38"/>
      <c r="C95" s="38"/>
      <c r="D95" s="38"/>
      <c r="E95" s="38"/>
      <c r="F95" s="38"/>
    </row>
    <row r="96" ht="14.25" customHeight="1">
      <c r="A96" s="38"/>
      <c r="B96" s="38"/>
      <c r="C96" s="38"/>
      <c r="D96" s="38"/>
      <c r="E96" s="38"/>
      <c r="F96" s="38"/>
    </row>
    <row r="97" ht="14.25" customHeight="1">
      <c r="A97" s="38"/>
      <c r="B97" s="38"/>
      <c r="C97" s="38"/>
      <c r="D97" s="38"/>
      <c r="E97" s="38"/>
      <c r="F97" s="38"/>
    </row>
    <row r="98" ht="14.25" customHeight="1">
      <c r="A98" s="38"/>
      <c r="B98" s="38"/>
      <c r="C98" s="38"/>
      <c r="D98" s="38"/>
      <c r="E98" s="38"/>
      <c r="F98" s="38"/>
    </row>
    <row r="99" ht="14.25" customHeight="1">
      <c r="A99" s="38"/>
      <c r="B99" s="38"/>
      <c r="C99" s="38"/>
      <c r="D99" s="38"/>
      <c r="E99" s="38"/>
      <c r="F99" s="38"/>
    </row>
    <row r="100" ht="14.25" customHeight="1">
      <c r="A100" s="38"/>
      <c r="B100" s="38"/>
      <c r="C100" s="38"/>
      <c r="D100" s="38"/>
      <c r="E100" s="38"/>
      <c r="F100" s="38"/>
    </row>
    <row r="101" ht="14.25" customHeight="1">
      <c r="A101" s="38"/>
      <c r="B101" s="38"/>
      <c r="C101" s="38"/>
      <c r="D101" s="38"/>
      <c r="E101" s="38"/>
      <c r="F101" s="38"/>
    </row>
    <row r="102" ht="14.25" customHeight="1">
      <c r="A102" s="38"/>
      <c r="B102" s="38"/>
      <c r="C102" s="38"/>
      <c r="D102" s="38"/>
      <c r="E102" s="38"/>
      <c r="F102" s="38"/>
    </row>
    <row r="103" ht="14.25" customHeight="1">
      <c r="A103" s="38"/>
      <c r="B103" s="38"/>
      <c r="C103" s="38"/>
      <c r="D103" s="38"/>
      <c r="E103" s="38"/>
      <c r="F103" s="38"/>
    </row>
    <row r="104" ht="14.25" customHeight="1">
      <c r="A104" s="38"/>
      <c r="B104" s="38"/>
      <c r="C104" s="38"/>
      <c r="D104" s="38"/>
      <c r="E104" s="38"/>
      <c r="F104" s="38"/>
    </row>
    <row r="105" ht="14.25" customHeight="1">
      <c r="A105" s="38"/>
      <c r="B105" s="38"/>
      <c r="C105" s="38"/>
      <c r="D105" s="38"/>
      <c r="E105" s="38"/>
      <c r="F105" s="38"/>
    </row>
    <row r="106" ht="14.25" customHeight="1">
      <c r="A106" s="38"/>
      <c r="B106" s="38"/>
      <c r="C106" s="38"/>
      <c r="D106" s="38"/>
      <c r="E106" s="38"/>
      <c r="F106" s="38"/>
    </row>
    <row r="107" ht="14.25" customHeight="1">
      <c r="A107" s="38"/>
      <c r="B107" s="38"/>
      <c r="C107" s="38"/>
      <c r="D107" s="38"/>
      <c r="E107" s="38"/>
      <c r="F107" s="38"/>
    </row>
    <row r="108" ht="14.25" customHeight="1">
      <c r="A108" s="38"/>
      <c r="B108" s="38"/>
      <c r="C108" s="38"/>
      <c r="D108" s="38"/>
      <c r="E108" s="38"/>
      <c r="F108" s="38"/>
    </row>
    <row r="109" ht="14.25" customHeight="1">
      <c r="A109" s="38"/>
      <c r="B109" s="38"/>
      <c r="C109" s="38"/>
      <c r="D109" s="38"/>
      <c r="E109" s="38"/>
      <c r="F109" s="38"/>
    </row>
    <row r="110" ht="14.25" customHeight="1">
      <c r="A110" s="38"/>
      <c r="B110" s="38"/>
      <c r="C110" s="38"/>
      <c r="D110" s="38"/>
      <c r="E110" s="38"/>
      <c r="F110" s="38"/>
    </row>
    <row r="111" ht="14.25" customHeight="1">
      <c r="A111" s="38"/>
      <c r="B111" s="38"/>
      <c r="C111" s="38"/>
      <c r="D111" s="38"/>
      <c r="E111" s="38"/>
      <c r="F111" s="38"/>
    </row>
    <row r="112" ht="14.25" customHeight="1">
      <c r="A112" s="38"/>
      <c r="B112" s="38"/>
      <c r="C112" s="38"/>
      <c r="D112" s="38"/>
      <c r="E112" s="38"/>
      <c r="F112" s="38"/>
    </row>
    <row r="113" ht="14.25" customHeight="1">
      <c r="A113" s="38"/>
      <c r="B113" s="38"/>
      <c r="C113" s="38"/>
      <c r="D113" s="38"/>
      <c r="E113" s="38"/>
      <c r="F113" s="38"/>
    </row>
    <row r="114" ht="14.25" customHeight="1">
      <c r="A114" s="38"/>
      <c r="B114" s="38"/>
      <c r="C114" s="38"/>
      <c r="D114" s="38"/>
      <c r="E114" s="38"/>
      <c r="F114" s="38"/>
    </row>
    <row r="115" ht="14.25" customHeight="1">
      <c r="A115" s="38"/>
      <c r="B115" s="38"/>
      <c r="C115" s="38"/>
      <c r="D115" s="38"/>
      <c r="E115" s="38"/>
      <c r="F115" s="38"/>
    </row>
    <row r="116" ht="14.25" customHeight="1">
      <c r="A116" s="38"/>
      <c r="B116" s="38"/>
      <c r="C116" s="38"/>
      <c r="D116" s="38"/>
      <c r="E116" s="38"/>
      <c r="F116" s="38"/>
    </row>
    <row r="117" ht="14.25" customHeight="1">
      <c r="A117" s="38"/>
      <c r="B117" s="38"/>
      <c r="C117" s="38"/>
      <c r="D117" s="38"/>
      <c r="E117" s="38"/>
      <c r="F117" s="38"/>
    </row>
    <row r="118" ht="14.25" customHeight="1">
      <c r="A118" s="38"/>
      <c r="B118" s="38"/>
      <c r="C118" s="38"/>
      <c r="D118" s="38"/>
      <c r="E118" s="38"/>
      <c r="F118" s="38"/>
    </row>
    <row r="119" ht="14.25" customHeight="1">
      <c r="A119" s="38"/>
      <c r="B119" s="38"/>
      <c r="C119" s="38"/>
      <c r="D119" s="38"/>
      <c r="E119" s="38"/>
      <c r="F119" s="38"/>
    </row>
    <row r="120" ht="14.25" customHeight="1">
      <c r="A120" s="38"/>
      <c r="B120" s="38"/>
      <c r="C120" s="38"/>
      <c r="D120" s="38"/>
      <c r="E120" s="38"/>
      <c r="F120" s="38"/>
    </row>
    <row r="121" ht="14.25" customHeight="1">
      <c r="A121" s="38"/>
      <c r="B121" s="38"/>
      <c r="C121" s="38"/>
      <c r="D121" s="38"/>
      <c r="E121" s="38"/>
      <c r="F121" s="38"/>
    </row>
    <row r="122" ht="14.25" customHeight="1">
      <c r="A122" s="38"/>
      <c r="B122" s="38"/>
      <c r="C122" s="38"/>
      <c r="D122" s="38"/>
      <c r="E122" s="38"/>
      <c r="F122" s="38"/>
    </row>
    <row r="123" ht="14.25" customHeight="1">
      <c r="A123" s="38"/>
      <c r="B123" s="38"/>
      <c r="C123" s="38"/>
      <c r="D123" s="38"/>
      <c r="E123" s="38"/>
      <c r="F123" s="38"/>
    </row>
    <row r="124" ht="14.25" customHeight="1">
      <c r="A124" s="38"/>
      <c r="B124" s="38"/>
      <c r="C124" s="38"/>
      <c r="D124" s="38"/>
      <c r="E124" s="38"/>
      <c r="F124" s="38"/>
    </row>
    <row r="125" ht="14.25" customHeight="1">
      <c r="A125" s="38"/>
      <c r="B125" s="38"/>
      <c r="C125" s="38"/>
      <c r="D125" s="38"/>
      <c r="E125" s="38"/>
      <c r="F125" s="38"/>
    </row>
    <row r="126" ht="14.25" customHeight="1">
      <c r="A126" s="38"/>
      <c r="B126" s="38"/>
      <c r="C126" s="38"/>
      <c r="D126" s="38"/>
      <c r="E126" s="38"/>
      <c r="F126" s="38"/>
    </row>
    <row r="127" ht="14.25" customHeight="1">
      <c r="A127" s="38"/>
      <c r="B127" s="38"/>
      <c r="C127" s="38"/>
      <c r="D127" s="38"/>
      <c r="E127" s="38"/>
      <c r="F127" s="38"/>
    </row>
    <row r="128" ht="14.25" customHeight="1">
      <c r="A128" s="38"/>
      <c r="B128" s="38"/>
      <c r="C128" s="38"/>
      <c r="D128" s="38"/>
      <c r="E128" s="38"/>
      <c r="F128" s="38"/>
    </row>
    <row r="129" ht="14.25" customHeight="1">
      <c r="A129" s="38"/>
      <c r="B129" s="38"/>
      <c r="C129" s="38"/>
      <c r="D129" s="38"/>
      <c r="E129" s="38"/>
      <c r="F129" s="38"/>
    </row>
    <row r="130" ht="14.25" customHeight="1">
      <c r="A130" s="38"/>
      <c r="B130" s="38"/>
      <c r="C130" s="38"/>
      <c r="D130" s="38"/>
      <c r="E130" s="38"/>
      <c r="F130" s="38"/>
    </row>
    <row r="131" ht="14.25" customHeight="1">
      <c r="A131" s="38"/>
      <c r="B131" s="38"/>
      <c r="C131" s="38"/>
      <c r="D131" s="38"/>
      <c r="E131" s="38"/>
      <c r="F131" s="38"/>
    </row>
    <row r="132" ht="14.25" customHeight="1">
      <c r="A132" s="38"/>
      <c r="B132" s="38"/>
      <c r="C132" s="38"/>
      <c r="D132" s="38"/>
      <c r="E132" s="38"/>
      <c r="F132" s="38"/>
    </row>
    <row r="133" ht="14.25" customHeight="1">
      <c r="A133" s="38"/>
      <c r="B133" s="38"/>
      <c r="C133" s="38"/>
      <c r="D133" s="38"/>
      <c r="E133" s="38"/>
      <c r="F133" s="38"/>
    </row>
    <row r="134" ht="14.25" customHeight="1">
      <c r="A134" s="38"/>
      <c r="B134" s="38"/>
      <c r="C134" s="38"/>
      <c r="D134" s="38"/>
      <c r="E134" s="38"/>
      <c r="F134" s="38"/>
    </row>
    <row r="135" ht="14.25" customHeight="1">
      <c r="A135" s="38"/>
      <c r="B135" s="38"/>
      <c r="C135" s="38"/>
      <c r="D135" s="38"/>
      <c r="E135" s="38"/>
      <c r="F135" s="38"/>
    </row>
    <row r="136" ht="14.25" customHeight="1">
      <c r="A136" s="38"/>
      <c r="B136" s="38"/>
      <c r="C136" s="38"/>
      <c r="D136" s="38"/>
      <c r="E136" s="38"/>
      <c r="F136" s="38"/>
    </row>
    <row r="137" ht="14.25" customHeight="1">
      <c r="A137" s="38"/>
      <c r="B137" s="38"/>
      <c r="C137" s="38"/>
      <c r="D137" s="38"/>
      <c r="E137" s="38"/>
      <c r="F137" s="38"/>
    </row>
    <row r="138" ht="14.25" customHeight="1">
      <c r="A138" s="38"/>
      <c r="B138" s="38"/>
      <c r="C138" s="38"/>
      <c r="D138" s="38"/>
      <c r="E138" s="38"/>
      <c r="F138" s="38"/>
    </row>
    <row r="139" ht="14.25" customHeight="1">
      <c r="A139" s="38"/>
      <c r="B139" s="38"/>
      <c r="C139" s="38"/>
      <c r="D139" s="38"/>
      <c r="E139" s="38"/>
      <c r="F139" s="38"/>
    </row>
    <row r="140" ht="14.25" customHeight="1">
      <c r="A140" s="38"/>
      <c r="B140" s="38"/>
      <c r="C140" s="38"/>
      <c r="D140" s="38"/>
      <c r="E140" s="38"/>
      <c r="F140" s="38"/>
    </row>
    <row r="141" ht="14.25" customHeight="1">
      <c r="A141" s="38"/>
      <c r="B141" s="38"/>
      <c r="C141" s="38"/>
      <c r="D141" s="38"/>
      <c r="E141" s="38"/>
      <c r="F141" s="38"/>
    </row>
    <row r="142" ht="14.25" customHeight="1">
      <c r="A142" s="38"/>
      <c r="B142" s="38"/>
      <c r="C142" s="38"/>
      <c r="D142" s="38"/>
      <c r="E142" s="38"/>
      <c r="F142" s="38"/>
    </row>
    <row r="143" ht="14.25" customHeight="1">
      <c r="A143" s="38"/>
      <c r="B143" s="38"/>
      <c r="C143" s="38"/>
      <c r="D143" s="38"/>
      <c r="E143" s="38"/>
      <c r="F143" s="38"/>
    </row>
    <row r="144" ht="14.25" customHeight="1">
      <c r="A144" s="38"/>
      <c r="B144" s="38"/>
      <c r="C144" s="38"/>
      <c r="D144" s="38"/>
      <c r="E144" s="38"/>
      <c r="F144" s="38"/>
    </row>
    <row r="145" ht="14.25" customHeight="1">
      <c r="A145" s="38"/>
      <c r="B145" s="38"/>
      <c r="C145" s="38"/>
      <c r="D145" s="38"/>
      <c r="E145" s="38"/>
      <c r="F145" s="38"/>
    </row>
    <row r="146" ht="14.25" customHeight="1">
      <c r="A146" s="38"/>
      <c r="B146" s="38"/>
      <c r="C146" s="38"/>
      <c r="D146" s="38"/>
      <c r="E146" s="38"/>
      <c r="F146" s="38"/>
    </row>
    <row r="147" ht="14.25" customHeight="1">
      <c r="A147" s="38"/>
      <c r="B147" s="38"/>
      <c r="C147" s="38"/>
      <c r="D147" s="38"/>
      <c r="E147" s="38"/>
      <c r="F147" s="38"/>
    </row>
    <row r="148" ht="14.25" customHeight="1">
      <c r="A148" s="38"/>
      <c r="B148" s="38"/>
      <c r="C148" s="38"/>
      <c r="D148" s="38"/>
      <c r="E148" s="38"/>
      <c r="F148" s="38"/>
    </row>
    <row r="149" ht="14.25" customHeight="1">
      <c r="A149" s="38"/>
      <c r="B149" s="38"/>
      <c r="C149" s="38"/>
      <c r="D149" s="38"/>
      <c r="E149" s="38"/>
      <c r="F149" s="38"/>
    </row>
    <row r="150" ht="14.25" customHeight="1">
      <c r="A150" s="38"/>
      <c r="B150" s="38"/>
      <c r="C150" s="38"/>
      <c r="D150" s="38"/>
      <c r="E150" s="38"/>
      <c r="F150" s="38"/>
    </row>
    <row r="151" ht="14.25" customHeight="1">
      <c r="A151" s="38"/>
      <c r="B151" s="38"/>
      <c r="C151" s="38"/>
      <c r="D151" s="38"/>
      <c r="E151" s="38"/>
      <c r="F151" s="38"/>
    </row>
    <row r="152" ht="14.25" customHeight="1">
      <c r="A152" s="38"/>
      <c r="B152" s="38"/>
      <c r="C152" s="38"/>
      <c r="D152" s="38"/>
      <c r="E152" s="38"/>
      <c r="F152" s="38"/>
    </row>
    <row r="153" ht="14.25" customHeight="1">
      <c r="A153" s="38"/>
      <c r="B153" s="38"/>
      <c r="C153" s="38"/>
      <c r="D153" s="38"/>
      <c r="E153" s="38"/>
      <c r="F153" s="38"/>
    </row>
    <row r="154" ht="14.25" customHeight="1">
      <c r="A154" s="38"/>
      <c r="B154" s="38"/>
      <c r="C154" s="38"/>
      <c r="D154" s="38"/>
      <c r="E154" s="38"/>
      <c r="F154" s="38"/>
    </row>
    <row r="155" ht="14.25" customHeight="1">
      <c r="A155" s="38"/>
      <c r="B155" s="38"/>
      <c r="C155" s="38"/>
      <c r="D155" s="38"/>
      <c r="E155" s="38"/>
      <c r="F155" s="38"/>
    </row>
    <row r="156" ht="14.25" customHeight="1">
      <c r="A156" s="38"/>
      <c r="B156" s="38"/>
      <c r="C156" s="38"/>
      <c r="D156" s="38"/>
      <c r="E156" s="38"/>
      <c r="F156" s="38"/>
    </row>
    <row r="157" ht="14.25" customHeight="1">
      <c r="A157" s="38"/>
      <c r="B157" s="38"/>
      <c r="C157" s="38"/>
      <c r="D157" s="38"/>
      <c r="E157" s="38"/>
      <c r="F157" s="38"/>
    </row>
    <row r="158" ht="14.25" customHeight="1">
      <c r="A158" s="38"/>
      <c r="B158" s="38"/>
      <c r="C158" s="38"/>
      <c r="D158" s="38"/>
      <c r="E158" s="38"/>
      <c r="F158" s="38"/>
    </row>
    <row r="159" ht="14.25" customHeight="1">
      <c r="A159" s="38"/>
      <c r="B159" s="38"/>
      <c r="C159" s="38"/>
      <c r="D159" s="38"/>
      <c r="E159" s="38"/>
      <c r="F159" s="38"/>
    </row>
    <row r="160" ht="14.25" customHeight="1">
      <c r="A160" s="38"/>
      <c r="B160" s="38"/>
      <c r="C160" s="38"/>
      <c r="D160" s="38"/>
      <c r="E160" s="38"/>
      <c r="F160" s="38"/>
    </row>
    <row r="161" ht="14.25" customHeight="1">
      <c r="A161" s="38"/>
      <c r="B161" s="38"/>
      <c r="C161" s="38"/>
      <c r="D161" s="38"/>
      <c r="E161" s="38"/>
      <c r="F161" s="38"/>
    </row>
    <row r="162" ht="14.25" customHeight="1">
      <c r="A162" s="38"/>
      <c r="B162" s="38"/>
      <c r="C162" s="38"/>
      <c r="D162" s="38"/>
      <c r="E162" s="38"/>
      <c r="F162" s="38"/>
    </row>
    <row r="163" ht="14.25" customHeight="1">
      <c r="A163" s="38"/>
      <c r="B163" s="38"/>
      <c r="C163" s="38"/>
      <c r="D163" s="38"/>
      <c r="E163" s="38"/>
      <c r="F163" s="38"/>
    </row>
    <row r="164" ht="14.25" customHeight="1">
      <c r="A164" s="38"/>
      <c r="B164" s="38"/>
      <c r="C164" s="38"/>
      <c r="D164" s="38"/>
      <c r="E164" s="38"/>
      <c r="F164" s="38"/>
    </row>
    <row r="165" ht="14.25" customHeight="1">
      <c r="A165" s="38"/>
      <c r="B165" s="38"/>
      <c r="C165" s="38"/>
      <c r="D165" s="38"/>
      <c r="E165" s="38"/>
      <c r="F165" s="38"/>
    </row>
    <row r="166" ht="14.25" customHeight="1">
      <c r="A166" s="38"/>
      <c r="B166" s="38"/>
      <c r="C166" s="38"/>
      <c r="D166" s="38"/>
      <c r="E166" s="38"/>
      <c r="F166" s="38"/>
    </row>
    <row r="167" ht="14.25" customHeight="1">
      <c r="A167" s="38"/>
      <c r="B167" s="38"/>
      <c r="C167" s="38"/>
      <c r="D167" s="38"/>
      <c r="E167" s="38"/>
      <c r="F167" s="38"/>
    </row>
    <row r="168" ht="14.25" customHeight="1">
      <c r="A168" s="38"/>
      <c r="B168" s="38"/>
      <c r="C168" s="38"/>
      <c r="D168" s="38"/>
      <c r="E168" s="38"/>
      <c r="F168" s="38"/>
    </row>
    <row r="169" ht="14.25" customHeight="1">
      <c r="A169" s="38"/>
      <c r="B169" s="38"/>
      <c r="C169" s="38"/>
      <c r="D169" s="38"/>
      <c r="E169" s="38"/>
      <c r="F169" s="38"/>
    </row>
    <row r="170" ht="14.25" customHeight="1">
      <c r="A170" s="38"/>
      <c r="B170" s="38"/>
      <c r="C170" s="38"/>
      <c r="D170" s="38"/>
      <c r="E170" s="38"/>
      <c r="F170" s="38"/>
    </row>
    <row r="171" ht="14.25" customHeight="1">
      <c r="A171" s="38"/>
      <c r="B171" s="38"/>
      <c r="C171" s="38"/>
      <c r="D171" s="38"/>
      <c r="E171" s="38"/>
      <c r="F171" s="38"/>
    </row>
    <row r="172" ht="14.25" customHeight="1">
      <c r="A172" s="38"/>
      <c r="B172" s="38"/>
      <c r="C172" s="38"/>
      <c r="D172" s="38"/>
      <c r="E172" s="38"/>
      <c r="F172" s="38"/>
    </row>
    <row r="173" ht="14.25" customHeight="1">
      <c r="A173" s="38"/>
      <c r="B173" s="38"/>
      <c r="C173" s="38"/>
      <c r="D173" s="38"/>
      <c r="E173" s="38"/>
      <c r="F173" s="38"/>
    </row>
    <row r="174" ht="14.25" customHeight="1">
      <c r="A174" s="38"/>
      <c r="B174" s="38"/>
      <c r="C174" s="38"/>
      <c r="D174" s="38"/>
      <c r="E174" s="38"/>
      <c r="F174" s="38"/>
    </row>
    <row r="175" ht="14.25" customHeight="1">
      <c r="A175" s="38"/>
      <c r="B175" s="38"/>
      <c r="C175" s="38"/>
      <c r="D175" s="38"/>
      <c r="E175" s="38"/>
      <c r="F175" s="38"/>
    </row>
    <row r="176" ht="14.25" customHeight="1">
      <c r="A176" s="38"/>
      <c r="B176" s="38"/>
      <c r="C176" s="38"/>
      <c r="D176" s="38"/>
      <c r="E176" s="38"/>
      <c r="F176" s="38"/>
    </row>
    <row r="177" ht="14.25" customHeight="1">
      <c r="A177" s="38"/>
      <c r="B177" s="38"/>
      <c r="C177" s="38"/>
      <c r="D177" s="38"/>
      <c r="E177" s="38"/>
      <c r="F177" s="38"/>
    </row>
    <row r="178" ht="14.25" customHeight="1">
      <c r="A178" s="38"/>
      <c r="B178" s="38"/>
      <c r="C178" s="38"/>
      <c r="D178" s="38"/>
      <c r="E178" s="38"/>
      <c r="F178" s="38"/>
    </row>
    <row r="179" ht="14.25" customHeight="1">
      <c r="A179" s="38"/>
      <c r="B179" s="38"/>
      <c r="C179" s="38"/>
      <c r="D179" s="38"/>
      <c r="E179" s="38"/>
      <c r="F179" s="38"/>
    </row>
    <row r="180" ht="14.25" customHeight="1">
      <c r="A180" s="38"/>
      <c r="B180" s="38"/>
      <c r="C180" s="38"/>
      <c r="D180" s="38"/>
      <c r="E180" s="38"/>
      <c r="F180" s="38"/>
    </row>
    <row r="181" ht="14.25" customHeight="1">
      <c r="A181" s="38"/>
      <c r="B181" s="38"/>
      <c r="C181" s="38"/>
      <c r="D181" s="38"/>
      <c r="E181" s="38"/>
      <c r="F181" s="38"/>
    </row>
    <row r="182" ht="14.25" customHeight="1">
      <c r="A182" s="38"/>
      <c r="B182" s="38"/>
      <c r="C182" s="38"/>
      <c r="D182" s="38"/>
      <c r="E182" s="38"/>
      <c r="F182" s="38"/>
    </row>
    <row r="183" ht="14.25" customHeight="1">
      <c r="A183" s="38"/>
      <c r="B183" s="38"/>
      <c r="C183" s="38"/>
      <c r="D183" s="38"/>
      <c r="E183" s="38"/>
      <c r="F183" s="38"/>
    </row>
    <row r="184" ht="14.25" customHeight="1">
      <c r="A184" s="38"/>
      <c r="B184" s="38"/>
      <c r="C184" s="38"/>
      <c r="D184" s="38"/>
      <c r="E184" s="38"/>
      <c r="F184" s="38"/>
    </row>
    <row r="185" ht="14.25" customHeight="1">
      <c r="A185" s="38"/>
      <c r="B185" s="38"/>
      <c r="C185" s="38"/>
      <c r="D185" s="38"/>
      <c r="E185" s="38"/>
      <c r="F185" s="38"/>
    </row>
    <row r="186" ht="14.25" customHeight="1">
      <c r="A186" s="38"/>
      <c r="B186" s="38"/>
      <c r="C186" s="38"/>
      <c r="D186" s="38"/>
      <c r="E186" s="38"/>
      <c r="F186" s="38"/>
    </row>
    <row r="187" ht="14.25" customHeight="1">
      <c r="A187" s="38"/>
      <c r="B187" s="38"/>
      <c r="C187" s="38"/>
      <c r="D187" s="38"/>
      <c r="E187" s="38"/>
      <c r="F187" s="38"/>
    </row>
    <row r="188" ht="14.25" customHeight="1">
      <c r="A188" s="38"/>
      <c r="B188" s="38"/>
      <c r="C188" s="38"/>
      <c r="D188" s="38"/>
      <c r="E188" s="38"/>
      <c r="F188" s="38"/>
    </row>
    <row r="189" ht="14.25" customHeight="1">
      <c r="A189" s="38"/>
      <c r="B189" s="38"/>
      <c r="C189" s="38"/>
      <c r="D189" s="38"/>
      <c r="E189" s="38"/>
      <c r="F189" s="38"/>
    </row>
    <row r="190" ht="14.25" customHeight="1">
      <c r="A190" s="38"/>
      <c r="B190" s="38"/>
      <c r="C190" s="38"/>
      <c r="D190" s="38"/>
      <c r="E190" s="38"/>
      <c r="F190" s="38"/>
    </row>
    <row r="191" ht="14.25" customHeight="1">
      <c r="A191" s="38"/>
      <c r="B191" s="38"/>
      <c r="C191" s="38"/>
      <c r="D191" s="38"/>
      <c r="E191" s="38"/>
      <c r="F191" s="38"/>
    </row>
    <row r="192" ht="14.25" customHeight="1">
      <c r="A192" s="38"/>
      <c r="B192" s="38"/>
      <c r="C192" s="38"/>
      <c r="D192" s="38"/>
      <c r="E192" s="38"/>
      <c r="F192" s="38"/>
    </row>
    <row r="193" ht="14.25" customHeight="1">
      <c r="A193" s="38"/>
      <c r="B193" s="38"/>
      <c r="C193" s="38"/>
      <c r="D193" s="38"/>
      <c r="E193" s="38"/>
      <c r="F193" s="38"/>
    </row>
    <row r="194" ht="14.25" customHeight="1">
      <c r="A194" s="38"/>
      <c r="B194" s="38"/>
      <c r="C194" s="38"/>
      <c r="D194" s="38"/>
      <c r="E194" s="38"/>
      <c r="F194" s="38"/>
    </row>
    <row r="195" ht="14.25" customHeight="1">
      <c r="A195" s="38"/>
      <c r="B195" s="38"/>
      <c r="C195" s="38"/>
      <c r="D195" s="38"/>
      <c r="E195" s="38"/>
      <c r="F195" s="38"/>
    </row>
    <row r="196" ht="14.25" customHeight="1">
      <c r="A196" s="38"/>
      <c r="B196" s="38"/>
      <c r="C196" s="38"/>
      <c r="D196" s="38"/>
      <c r="E196" s="38"/>
      <c r="F196" s="38"/>
    </row>
    <row r="197" ht="14.25" customHeight="1">
      <c r="A197" s="38"/>
      <c r="B197" s="38"/>
      <c r="C197" s="38"/>
      <c r="D197" s="38"/>
      <c r="E197" s="38"/>
      <c r="F197" s="38"/>
    </row>
    <row r="198" ht="14.25" customHeight="1">
      <c r="A198" s="38"/>
      <c r="B198" s="38"/>
      <c r="C198" s="38"/>
      <c r="D198" s="38"/>
      <c r="E198" s="38"/>
      <c r="F198" s="38"/>
    </row>
    <row r="199" ht="14.25" customHeight="1">
      <c r="A199" s="38"/>
      <c r="B199" s="38"/>
      <c r="C199" s="38"/>
      <c r="D199" s="38"/>
      <c r="E199" s="38"/>
      <c r="F199" s="38"/>
    </row>
    <row r="200" ht="14.25" customHeight="1">
      <c r="A200" s="38"/>
      <c r="B200" s="38"/>
      <c r="C200" s="38"/>
      <c r="D200" s="38"/>
      <c r="E200" s="38"/>
      <c r="F200" s="38"/>
    </row>
    <row r="201" ht="14.25" customHeight="1">
      <c r="A201" s="38"/>
      <c r="B201" s="38"/>
      <c r="C201" s="38"/>
      <c r="D201" s="38"/>
      <c r="E201" s="38"/>
      <c r="F201" s="38"/>
    </row>
    <row r="202" ht="14.25" customHeight="1">
      <c r="A202" s="38"/>
      <c r="B202" s="38"/>
      <c r="C202" s="38"/>
      <c r="D202" s="38"/>
      <c r="E202" s="38"/>
      <c r="F202" s="38"/>
    </row>
    <row r="203" ht="14.25" customHeight="1">
      <c r="A203" s="38"/>
      <c r="B203" s="38"/>
      <c r="C203" s="38"/>
      <c r="D203" s="38"/>
      <c r="E203" s="38"/>
      <c r="F203" s="38"/>
    </row>
    <row r="204" ht="14.25" customHeight="1">
      <c r="A204" s="38"/>
      <c r="B204" s="38"/>
      <c r="C204" s="38"/>
      <c r="D204" s="38"/>
      <c r="E204" s="38"/>
      <c r="F204" s="38"/>
    </row>
    <row r="205" ht="14.25" customHeight="1">
      <c r="A205" s="38"/>
      <c r="B205" s="38"/>
      <c r="C205" s="38"/>
      <c r="D205" s="38"/>
      <c r="E205" s="38"/>
      <c r="F205" s="38"/>
    </row>
    <row r="206" ht="14.25" customHeight="1">
      <c r="A206" s="38"/>
      <c r="B206" s="38"/>
      <c r="C206" s="38"/>
      <c r="D206" s="38"/>
      <c r="E206" s="38"/>
      <c r="F206" s="38"/>
    </row>
    <row r="207" ht="14.25" customHeight="1">
      <c r="A207" s="38"/>
      <c r="B207" s="38"/>
      <c r="C207" s="38"/>
      <c r="D207" s="38"/>
      <c r="E207" s="38"/>
      <c r="F207" s="38"/>
    </row>
    <row r="208" ht="14.25" customHeight="1">
      <c r="A208" s="38"/>
      <c r="B208" s="38"/>
      <c r="C208" s="38"/>
      <c r="D208" s="38"/>
      <c r="E208" s="38"/>
      <c r="F208" s="38"/>
    </row>
    <row r="209" ht="14.25" customHeight="1">
      <c r="A209" s="38"/>
      <c r="B209" s="38"/>
      <c r="C209" s="38"/>
      <c r="D209" s="38"/>
      <c r="E209" s="38"/>
      <c r="F209" s="38"/>
    </row>
    <row r="210" ht="14.25" customHeight="1">
      <c r="A210" s="38"/>
      <c r="B210" s="38"/>
      <c r="C210" s="38"/>
      <c r="D210" s="38"/>
      <c r="E210" s="38"/>
      <c r="F210" s="38"/>
    </row>
    <row r="211" ht="14.25" customHeight="1">
      <c r="A211" s="38"/>
      <c r="B211" s="38"/>
      <c r="C211" s="38"/>
      <c r="D211" s="38"/>
      <c r="E211" s="38"/>
      <c r="F211" s="38"/>
    </row>
    <row r="212" ht="14.25" customHeight="1">
      <c r="A212" s="38"/>
      <c r="B212" s="38"/>
      <c r="C212" s="38"/>
      <c r="D212" s="38"/>
      <c r="E212" s="38"/>
      <c r="F212" s="38"/>
    </row>
    <row r="213" ht="14.25" customHeight="1">
      <c r="A213" s="38"/>
      <c r="B213" s="38"/>
      <c r="C213" s="38"/>
      <c r="D213" s="38"/>
      <c r="E213" s="38"/>
      <c r="F213" s="38"/>
    </row>
    <row r="214" ht="14.25" customHeight="1">
      <c r="A214" s="38"/>
      <c r="B214" s="38"/>
      <c r="C214" s="38"/>
      <c r="D214" s="38"/>
      <c r="E214" s="38"/>
      <c r="F214" s="38"/>
    </row>
    <row r="215" ht="14.25" customHeight="1">
      <c r="A215" s="38"/>
      <c r="B215" s="38"/>
      <c r="C215" s="38"/>
      <c r="D215" s="38"/>
      <c r="E215" s="38"/>
      <c r="F215" s="38"/>
    </row>
    <row r="216" ht="14.25" customHeight="1">
      <c r="A216" s="38"/>
      <c r="B216" s="38"/>
      <c r="C216" s="38"/>
      <c r="D216" s="38"/>
      <c r="E216" s="38"/>
      <c r="F216" s="38"/>
    </row>
    <row r="217" ht="14.25" customHeight="1">
      <c r="A217" s="38"/>
      <c r="B217" s="38"/>
      <c r="C217" s="38"/>
      <c r="D217" s="38"/>
      <c r="E217" s="38"/>
      <c r="F217" s="38"/>
    </row>
    <row r="218" ht="14.25" customHeight="1">
      <c r="A218" s="38"/>
      <c r="B218" s="38"/>
      <c r="C218" s="38"/>
      <c r="D218" s="38"/>
      <c r="E218" s="38"/>
      <c r="F218" s="38"/>
    </row>
    <row r="219" ht="14.25" customHeight="1">
      <c r="A219" s="38"/>
      <c r="B219" s="38"/>
      <c r="C219" s="38"/>
      <c r="D219" s="38"/>
      <c r="E219" s="38"/>
      <c r="F219" s="38"/>
    </row>
    <row r="220" ht="14.25" customHeight="1">
      <c r="A220" s="38"/>
      <c r="B220" s="38"/>
      <c r="C220" s="38"/>
      <c r="D220" s="38"/>
      <c r="E220" s="38"/>
      <c r="F220" s="38"/>
    </row>
    <row r="221" ht="14.25" customHeight="1">
      <c r="A221" s="38"/>
      <c r="B221" s="38"/>
      <c r="C221" s="38"/>
      <c r="D221" s="38"/>
      <c r="E221" s="38"/>
      <c r="F221" s="38"/>
    </row>
    <row r="222" ht="14.25" customHeight="1">
      <c r="A222" s="38"/>
      <c r="B222" s="38"/>
      <c r="C222" s="38"/>
      <c r="D222" s="38"/>
      <c r="E222" s="38"/>
      <c r="F222" s="38"/>
    </row>
    <row r="223" ht="14.25" customHeight="1">
      <c r="A223" s="38"/>
      <c r="B223" s="38"/>
      <c r="C223" s="38"/>
      <c r="D223" s="38"/>
      <c r="E223" s="38"/>
      <c r="F223" s="38"/>
    </row>
    <row r="224" ht="14.25" customHeight="1">
      <c r="A224" s="38"/>
      <c r="B224" s="38"/>
      <c r="C224" s="38"/>
      <c r="D224" s="38"/>
      <c r="E224" s="38"/>
      <c r="F224" s="38"/>
    </row>
    <row r="225" ht="14.25" customHeight="1">
      <c r="A225" s="38"/>
      <c r="B225" s="38"/>
      <c r="C225" s="38"/>
      <c r="D225" s="38"/>
      <c r="E225" s="38"/>
      <c r="F225" s="38"/>
    </row>
    <row r="226" ht="14.25" customHeight="1">
      <c r="A226" s="38"/>
      <c r="B226" s="38"/>
      <c r="C226" s="38"/>
      <c r="D226" s="38"/>
      <c r="E226" s="38"/>
      <c r="F226" s="38"/>
    </row>
    <row r="227" ht="14.25" customHeight="1">
      <c r="A227" s="38"/>
      <c r="B227" s="38"/>
      <c r="C227" s="38"/>
      <c r="D227" s="38"/>
      <c r="E227" s="38"/>
      <c r="F227" s="38"/>
    </row>
    <row r="228" ht="14.25" customHeight="1">
      <c r="A228" s="38"/>
      <c r="B228" s="38"/>
      <c r="C228" s="38"/>
      <c r="D228" s="38"/>
      <c r="E228" s="38"/>
      <c r="F228" s="38"/>
    </row>
    <row r="229" ht="14.25" customHeight="1">
      <c r="A229" s="38"/>
      <c r="B229" s="38"/>
      <c r="C229" s="38"/>
      <c r="D229" s="38"/>
      <c r="E229" s="38"/>
      <c r="F229" s="38"/>
    </row>
    <row r="230" ht="14.25" customHeight="1">
      <c r="A230" s="38"/>
      <c r="B230" s="38"/>
      <c r="C230" s="38"/>
      <c r="D230" s="38"/>
      <c r="E230" s="38"/>
      <c r="F230" s="38"/>
    </row>
    <row r="231" ht="14.25" customHeight="1">
      <c r="A231" s="38"/>
      <c r="B231" s="38"/>
      <c r="C231" s="38"/>
      <c r="D231" s="38"/>
      <c r="E231" s="38"/>
      <c r="F231" s="38"/>
    </row>
    <row r="232" ht="14.25" customHeight="1">
      <c r="A232" s="38"/>
      <c r="B232" s="38"/>
      <c r="C232" s="38"/>
      <c r="D232" s="38"/>
      <c r="E232" s="38"/>
      <c r="F232" s="38"/>
    </row>
    <row r="233" ht="14.25" customHeight="1">
      <c r="A233" s="38"/>
      <c r="B233" s="38"/>
      <c r="C233" s="38"/>
      <c r="D233" s="38"/>
      <c r="E233" s="38"/>
      <c r="F233" s="38"/>
    </row>
    <row r="234" ht="14.25" customHeight="1">
      <c r="A234" s="38"/>
      <c r="B234" s="38"/>
      <c r="C234" s="38"/>
      <c r="D234" s="38"/>
      <c r="E234" s="38"/>
      <c r="F234" s="38"/>
    </row>
    <row r="235" ht="14.25" customHeight="1">
      <c r="A235" s="38"/>
      <c r="B235" s="38"/>
      <c r="C235" s="38"/>
      <c r="D235" s="38"/>
      <c r="E235" s="38"/>
      <c r="F235" s="38"/>
    </row>
    <row r="236" ht="14.25" customHeight="1">
      <c r="A236" s="38"/>
      <c r="B236" s="38"/>
      <c r="C236" s="38"/>
      <c r="D236" s="38"/>
      <c r="E236" s="38"/>
      <c r="F236" s="38"/>
    </row>
    <row r="237" ht="14.25" customHeight="1">
      <c r="A237" s="38"/>
      <c r="B237" s="38"/>
      <c r="C237" s="38"/>
      <c r="D237" s="38"/>
      <c r="E237" s="38"/>
      <c r="F237" s="38"/>
    </row>
    <row r="238" ht="14.25" customHeight="1">
      <c r="A238" s="38"/>
      <c r="B238" s="38"/>
      <c r="C238" s="38"/>
      <c r="D238" s="38"/>
      <c r="E238" s="38"/>
      <c r="F238" s="38"/>
    </row>
    <row r="239" ht="14.25" customHeight="1">
      <c r="A239" s="38"/>
      <c r="B239" s="38"/>
      <c r="C239" s="38"/>
      <c r="D239" s="38"/>
      <c r="E239" s="38"/>
      <c r="F239" s="38"/>
    </row>
    <row r="240" ht="14.25" customHeight="1">
      <c r="A240" s="38"/>
      <c r="B240" s="38"/>
      <c r="C240" s="38"/>
      <c r="D240" s="38"/>
      <c r="E240" s="38"/>
      <c r="F240" s="38"/>
    </row>
    <row r="241" ht="14.25" customHeight="1">
      <c r="A241" s="38"/>
      <c r="B241" s="38"/>
      <c r="C241" s="38"/>
      <c r="D241" s="38"/>
      <c r="E241" s="38"/>
      <c r="F241" s="38"/>
    </row>
    <row r="242" ht="14.25" customHeight="1">
      <c r="A242" s="38"/>
      <c r="B242" s="38"/>
      <c r="C242" s="38"/>
      <c r="D242" s="38"/>
      <c r="E242" s="38"/>
      <c r="F242" s="38"/>
    </row>
    <row r="243" ht="14.25" customHeight="1">
      <c r="A243" s="38"/>
      <c r="B243" s="38"/>
      <c r="C243" s="38"/>
      <c r="D243" s="38"/>
      <c r="E243" s="38"/>
      <c r="F243" s="38"/>
    </row>
    <row r="244" ht="14.25" customHeight="1">
      <c r="A244" s="38"/>
      <c r="B244" s="38"/>
      <c r="C244" s="38"/>
      <c r="D244" s="38"/>
      <c r="E244" s="38"/>
      <c r="F244" s="38"/>
    </row>
    <row r="245" ht="14.25" customHeight="1">
      <c r="A245" s="38"/>
      <c r="B245" s="38"/>
      <c r="C245" s="38"/>
      <c r="D245" s="38"/>
      <c r="E245" s="38"/>
      <c r="F245" s="38"/>
    </row>
    <row r="246" ht="14.25" customHeight="1">
      <c r="A246" s="38"/>
      <c r="B246" s="38"/>
      <c r="C246" s="38"/>
      <c r="D246" s="38"/>
      <c r="E246" s="38"/>
      <c r="F246" s="38"/>
    </row>
    <row r="247" ht="14.25" customHeight="1">
      <c r="A247" s="38"/>
      <c r="B247" s="38"/>
      <c r="C247" s="38"/>
      <c r="D247" s="38"/>
      <c r="E247" s="38"/>
      <c r="F247" s="38"/>
    </row>
    <row r="248" ht="14.25" customHeight="1">
      <c r="A248" s="38"/>
      <c r="B248" s="38"/>
      <c r="C248" s="38"/>
      <c r="D248" s="38"/>
      <c r="E248" s="38"/>
      <c r="F248" s="38"/>
    </row>
    <row r="249" ht="14.25" customHeight="1">
      <c r="A249" s="38"/>
      <c r="B249" s="38"/>
      <c r="C249" s="38"/>
      <c r="D249" s="38"/>
      <c r="E249" s="38"/>
      <c r="F249" s="38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 count="2">
    <dataValidation type="list" allowBlank="1" showErrorMessage="1" sqref="B2:B49">
      <formula1>'listas de opções'!$E$2:$E$64</formula1>
    </dataValidation>
    <dataValidation type="list" allowBlank="1" showErrorMessage="1" sqref="A2:A49">
      <formula1>'listas de opções'!$C$2:$C$18</formula1>
    </dataValidation>
  </dataValidations>
  <pageMargins bottom="0.787401575" footer="0.0" header="0.0" left="0.511811024" right="0.511811024" top="0.78740157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2.14" hidden="0" customWidth="1"/>
    <col min="2" max="2" width="12.14" hidden="0" customWidth="1"/>
    <col min="3" max="3" width="12.14" hidden="0" customWidth="1"/>
    <col min="4" max="4" width="19.29" hidden="0" customWidth="1"/>
    <col min="5" max="5" width="19.29" hidden="0" customWidth="1"/>
    <col min="6" max="6" width="20" hidden="0" customWidth="1"/>
    <col min="7" max="7" width="20" hidden="0" customWidth="1"/>
    <col min="8" max="8" width="24.71" hidden="0" customWidth="1"/>
    <col min="9" max="9" width="15.57" hidden="0" customWidth="1"/>
    <col min="10" max="10" width="14.57" hidden="0" customWidth="1"/>
    <col min="11" max="11" width="14.57" hidden="0" customWidth="1"/>
    <col min="12" max="12" width="12.29" hidden="0" customWidth="1"/>
    <col min="13" max="13" width="32" hidden="0" customWidth="1"/>
    <col min="14" max="14" width="11" hidden="0" customWidth="1"/>
  </cols>
  <sheetData>
    <row r="1" ht="14.25" customHeight="1">
      <c r="A1" s="40" t="s">
        <v>103</v>
      </c>
      <c r="B1" s="41" t="str">
        <f>'Tabela 1 APS - Descr.'!B1</f>
        <v>RRAS 17</v>
      </c>
    </row>
    <row r="2" ht="14.25" customHeight="1"/>
    <row r="3" ht="14.25" customHeight="1"/>
    <row r="4" ht="14.25" customHeight="1">
      <c r="A4" s="42" t="s">
        <v>246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4"/>
    </row>
    <row r="5" ht="14.25" customHeight="1"/>
    <row r="6" ht="14.25" customHeight="1">
      <c r="A6" s="45" t="s">
        <v>247</v>
      </c>
      <c r="B6" s="30"/>
      <c r="C6" s="30"/>
      <c r="D6" s="30"/>
      <c r="E6" s="30"/>
      <c r="F6" s="30"/>
      <c r="G6" s="30"/>
      <c r="H6" s="4"/>
    </row>
    <row r="7" ht="14.25" customHeight="1">
      <c r="A7" s="46" t="s">
        <v>248</v>
      </c>
      <c r="H7" s="47"/>
    </row>
    <row r="8" ht="14.25" customHeight="1">
      <c r="A8" s="48" t="s">
        <v>249</v>
      </c>
      <c r="H8" s="4"/>
    </row>
    <row r="9" ht="14.25" customHeight="1">
      <c r="A9" s="49" t="s">
        <v>250</v>
      </c>
      <c r="H9" s="4"/>
    </row>
    <row r="10" ht="14.25" customHeight="1">
      <c r="A10" s="50" t="s">
        <v>251</v>
      </c>
      <c r="H10" s="4"/>
    </row>
    <row r="11" ht="14.25" customHeight="1">
      <c r="A11" s="51" t="s">
        <v>252</v>
      </c>
      <c r="B11" s="52"/>
      <c r="C11" s="52"/>
      <c r="D11" s="52"/>
      <c r="E11" s="52"/>
      <c r="F11" s="52"/>
      <c r="G11" s="52"/>
      <c r="H11" s="53"/>
    </row>
    <row r="12" ht="14.25" customHeight="1"/>
    <row r="13" ht="14.25" customHeight="1"/>
    <row r="14" ht="14.25" customHeight="1">
      <c r="A14" s="54" t="s">
        <v>253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4"/>
    </row>
    <row r="15" ht="14.25" customHeight="1">
      <c r="A15" s="55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56"/>
    </row>
    <row r="16" ht="14.25" customHeight="1">
      <c r="A16" s="57" t="s">
        <v>1</v>
      </c>
      <c r="B16" s="57" t="s">
        <v>119</v>
      </c>
      <c r="C16" s="57" t="s">
        <v>120</v>
      </c>
      <c r="D16" s="58" t="s">
        <v>254</v>
      </c>
      <c r="E16" s="59" t="s">
        <v>255</v>
      </c>
      <c r="F16" s="60" t="s">
        <v>256</v>
      </c>
      <c r="G16" s="57" t="s">
        <v>128</v>
      </c>
      <c r="H16" s="57" t="s">
        <v>257</v>
      </c>
      <c r="I16" s="57" t="s">
        <v>258</v>
      </c>
      <c r="J16" s="57" t="s">
        <v>259</v>
      </c>
      <c r="K16" s="57" t="s">
        <v>260</v>
      </c>
      <c r="L16" s="57" t="s">
        <v>261</v>
      </c>
      <c r="M16" s="61" t="s">
        <v>120</v>
      </c>
    </row>
    <row r="17" ht="14.25" customHeight="1">
      <c r="A17" s="62" t="s">
        <v>130</v>
      </c>
      <c r="B17" s="62" t="s">
        <v>131</v>
      </c>
      <c r="C17" s="62" t="s">
        <v>132</v>
      </c>
      <c r="D17" s="63" t="n">
        <v>781.56507</v>
      </c>
      <c r="E17" s="64" t="n">
        <f>'Tabela 1 APS - Descr.'!I24</f>
        <v>734.0091</v>
      </c>
      <c r="F17" s="64" t="n">
        <f t="shared" ref="F17:F167" si="1">E17*12</f>
        <v>8808.1092</v>
      </c>
      <c r="G17" s="62" t="s">
        <v>133</v>
      </c>
      <c r="H17" s="62" t="n">
        <v>2500.0</v>
      </c>
      <c r="I17" s="62" t="s">
        <v>262</v>
      </c>
      <c r="J17" s="62"/>
      <c r="K17" s="62" t="s">
        <v>263</v>
      </c>
      <c r="L17" s="62" t="s">
        <v>142</v>
      </c>
      <c r="M17" s="65" t="s">
        <v>134</v>
      </c>
    </row>
    <row r="18" ht="14.25" customHeight="1">
      <c r="A18" s="62" t="s">
        <v>130</v>
      </c>
      <c r="B18" s="62" t="s">
        <v>131</v>
      </c>
      <c r="C18" s="62" t="s">
        <v>136</v>
      </c>
      <c r="D18" s="63" t="n">
        <v>135.20947</v>
      </c>
      <c r="E18" s="64" t="n">
        <f>'Tabela 1 APS - Descr.'!I25</f>
        <v>119.2818</v>
      </c>
      <c r="F18" s="64" t="n">
        <f t="shared" si="1"/>
        <v>1431.3816</v>
      </c>
      <c r="G18" s="62" t="s">
        <v>137</v>
      </c>
      <c r="H18" s="62"/>
      <c r="I18" s="62" t="s">
        <v>264</v>
      </c>
      <c r="J18" s="62"/>
      <c r="K18" s="62" t="s">
        <v>263</v>
      </c>
      <c r="L18" s="62" t="s">
        <v>139</v>
      </c>
      <c r="M18" s="65" t="s">
        <v>138</v>
      </c>
    </row>
    <row r="19" ht="14.25" customHeight="1">
      <c r="A19" s="62" t="s">
        <v>130</v>
      </c>
      <c r="B19" s="62" t="s">
        <v>131</v>
      </c>
      <c r="C19" s="62" t="s">
        <v>138</v>
      </c>
      <c r="D19" s="63" t="n">
        <v>1736.5986000000003</v>
      </c>
      <c r="E19" s="64" t="n">
        <f>'Tabela 1 APS - Descr.'!I26</f>
        <v>1661.76516</v>
      </c>
      <c r="F19" s="64" t="n">
        <f t="shared" si="1"/>
        <v>19941.18192</v>
      </c>
      <c r="G19" s="62" t="s">
        <v>137</v>
      </c>
      <c r="H19" s="62" t="n">
        <v>468.0</v>
      </c>
      <c r="I19" s="62" t="s">
        <v>264</v>
      </c>
      <c r="J19" s="63"/>
      <c r="K19" s="62" t="s">
        <v>263</v>
      </c>
      <c r="L19" s="62" t="s">
        <v>139</v>
      </c>
      <c r="M19" s="65" t="s">
        <v>138</v>
      </c>
    </row>
    <row r="20" ht="14.25" customHeight="1">
      <c r="A20" s="62" t="s">
        <v>130</v>
      </c>
      <c r="B20" s="62" t="s">
        <v>131</v>
      </c>
      <c r="C20" s="62" t="s">
        <v>140</v>
      </c>
      <c r="D20" s="63" t="n">
        <v>55.59884</v>
      </c>
      <c r="E20" s="64" t="n">
        <f>'Tabela 1 APS - Descr.'!I27</f>
        <v>62.7143</v>
      </c>
      <c r="F20" s="64" t="n">
        <f t="shared" si="1"/>
        <v>752.5716</v>
      </c>
      <c r="G20" s="62" t="s">
        <v>133</v>
      </c>
      <c r="H20" s="62"/>
      <c r="I20" s="62" t="s">
        <v>262</v>
      </c>
      <c r="J20" s="62"/>
      <c r="K20" s="62" t="s">
        <v>263</v>
      </c>
      <c r="L20" s="62" t="s">
        <v>142</v>
      </c>
      <c r="M20" s="65" t="s">
        <v>134</v>
      </c>
    </row>
    <row r="21" ht="14.25" customHeight="1">
      <c r="A21" s="62" t="s">
        <v>130</v>
      </c>
      <c r="B21" s="62" t="s">
        <v>131</v>
      </c>
      <c r="C21" s="62" t="s">
        <v>265</v>
      </c>
      <c r="D21" s="63" t="n">
        <v>36.81326</v>
      </c>
      <c r="E21" s="64" t="n">
        <f>'Tabela 1 APS - Descr.'!I28</f>
        <v>51.4998</v>
      </c>
      <c r="F21" s="64" t="n">
        <f t="shared" si="1"/>
        <v>617.9976</v>
      </c>
      <c r="G21" s="62" t="s">
        <v>133</v>
      </c>
      <c r="H21" s="62"/>
      <c r="I21" s="62" t="s">
        <v>262</v>
      </c>
      <c r="J21" s="62"/>
      <c r="K21" s="62" t="s">
        <v>263</v>
      </c>
      <c r="L21" s="62" t="s">
        <v>142</v>
      </c>
      <c r="M21" s="65" t="s">
        <v>134</v>
      </c>
    </row>
    <row r="22" ht="14.25" customHeight="1">
      <c r="A22" s="62" t="s">
        <v>130</v>
      </c>
      <c r="B22" s="62" t="s">
        <v>131</v>
      </c>
      <c r="C22" s="62" t="s">
        <v>143</v>
      </c>
      <c r="D22" s="63" t="n">
        <v>175.46595000000002</v>
      </c>
      <c r="E22" s="64" t="n">
        <f>'Tabela 1 APS - Descr.'!I29</f>
        <v>174.70068</v>
      </c>
      <c r="F22" s="64" t="n">
        <f t="shared" si="1"/>
        <v>2096.40816</v>
      </c>
      <c r="G22" s="62" t="s">
        <v>133</v>
      </c>
      <c r="H22" s="62"/>
      <c r="I22" s="62" t="s">
        <v>262</v>
      </c>
      <c r="J22" s="63"/>
      <c r="K22" s="62" t="s">
        <v>263</v>
      </c>
      <c r="L22" s="62" t="s">
        <v>142</v>
      </c>
      <c r="M22" s="65" t="s">
        <v>134</v>
      </c>
    </row>
    <row r="23" ht="14.25" customHeight="1">
      <c r="A23" s="62" t="s">
        <v>130</v>
      </c>
      <c r="B23" s="62" t="s">
        <v>131</v>
      </c>
      <c r="C23" s="62" t="s">
        <v>144</v>
      </c>
      <c r="D23" s="63" t="n">
        <v>131.38686</v>
      </c>
      <c r="E23" s="64" t="n">
        <f>'Tabela 1 APS - Descr.'!I30</f>
        <v>134.50536</v>
      </c>
      <c r="F23" s="64" t="n">
        <f t="shared" si="1"/>
        <v>1614.06432</v>
      </c>
      <c r="G23" s="62" t="s">
        <v>137</v>
      </c>
      <c r="H23" s="62"/>
      <c r="I23" s="62" t="s">
        <v>264</v>
      </c>
      <c r="J23" s="62"/>
      <c r="K23" s="62" t="s">
        <v>263</v>
      </c>
      <c r="L23" s="62" t="s">
        <v>139</v>
      </c>
      <c r="M23" s="65" t="s">
        <v>138</v>
      </c>
    </row>
    <row r="24" ht="14.25" customHeight="1">
      <c r="A24" s="62" t="s">
        <v>130</v>
      </c>
      <c r="B24" s="62" t="s">
        <v>131</v>
      </c>
      <c r="C24" s="62" t="s">
        <v>134</v>
      </c>
      <c r="D24" s="63" t="n">
        <v>5598.516</v>
      </c>
      <c r="E24" s="64" t="n">
        <f>'Tabela 1 APS - Descr.'!I31</f>
        <v>4860.6338</v>
      </c>
      <c r="F24" s="64" t="n">
        <f t="shared" si="1"/>
        <v>58327.6056</v>
      </c>
      <c r="G24" s="62" t="s">
        <v>145</v>
      </c>
      <c r="H24" s="62" t="n">
        <v>2160.0</v>
      </c>
      <c r="I24" s="62" t="s">
        <v>264</v>
      </c>
      <c r="J24" s="62" t="s">
        <v>266</v>
      </c>
      <c r="K24" s="62" t="s">
        <v>263</v>
      </c>
      <c r="L24" s="62" t="s">
        <v>142</v>
      </c>
      <c r="M24" s="65" t="s">
        <v>134</v>
      </c>
    </row>
    <row r="25" ht="14.25" customHeight="1">
      <c r="A25" s="62" t="s">
        <v>130</v>
      </c>
      <c r="B25" s="62" t="s">
        <v>146</v>
      </c>
      <c r="C25" s="62" t="s">
        <v>147</v>
      </c>
      <c r="D25" s="63" t="n">
        <v>350.14254</v>
      </c>
      <c r="E25" s="64" t="n">
        <f>'Tabela 1 APS - Descr.'!I32</f>
        <v>275.41184</v>
      </c>
      <c r="F25" s="64" t="n">
        <f t="shared" si="1"/>
        <v>3304.94208</v>
      </c>
      <c r="G25" s="62" t="s">
        <v>148</v>
      </c>
      <c r="H25" s="62"/>
      <c r="I25" s="62" t="s">
        <v>264</v>
      </c>
      <c r="J25" s="63"/>
      <c r="K25" s="62" t="s">
        <v>263</v>
      </c>
      <c r="L25" s="62" t="s">
        <v>148</v>
      </c>
      <c r="M25" s="65" t="s">
        <v>149</v>
      </c>
    </row>
    <row r="26" ht="14.25" customHeight="1">
      <c r="A26" s="62" t="s">
        <v>130</v>
      </c>
      <c r="B26" s="62" t="s">
        <v>146</v>
      </c>
      <c r="C26" s="62" t="s">
        <v>150</v>
      </c>
      <c r="D26" s="63" t="n">
        <v>13.981110000000001</v>
      </c>
      <c r="E26" s="64" t="n">
        <f>'Tabela 1 APS - Descr.'!I33</f>
        <v>28.88919</v>
      </c>
      <c r="F26" s="64" t="n">
        <f t="shared" si="1"/>
        <v>346.67028</v>
      </c>
      <c r="G26" s="62" t="s">
        <v>148</v>
      </c>
      <c r="H26" s="62"/>
      <c r="I26" s="62" t="s">
        <v>264</v>
      </c>
      <c r="J26" s="62"/>
      <c r="K26" s="62" t="s">
        <v>263</v>
      </c>
      <c r="L26" s="62" t="s">
        <v>148</v>
      </c>
      <c r="M26" s="65" t="s">
        <v>149</v>
      </c>
    </row>
    <row r="27" ht="14.25" customHeight="1">
      <c r="A27" s="62" t="s">
        <v>130</v>
      </c>
      <c r="B27" s="62" t="s">
        <v>146</v>
      </c>
      <c r="C27" s="62" t="s">
        <v>153</v>
      </c>
      <c r="D27" s="63" t="n">
        <v>44.859320000000004</v>
      </c>
      <c r="E27" s="64" t="n">
        <f>'Tabela 1 APS - Descr.'!I34</f>
        <v>55.35002</v>
      </c>
      <c r="F27" s="64" t="n">
        <f t="shared" si="1"/>
        <v>664.20024</v>
      </c>
      <c r="G27" s="62" t="s">
        <v>148</v>
      </c>
      <c r="H27" s="62"/>
      <c r="I27" s="62" t="s">
        <v>264</v>
      </c>
      <c r="J27" s="62"/>
      <c r="K27" s="62" t="s">
        <v>263</v>
      </c>
      <c r="L27" s="62" t="s">
        <v>148</v>
      </c>
      <c r="M27" s="65" t="s">
        <v>149</v>
      </c>
    </row>
    <row r="28" ht="14.25" customHeight="1">
      <c r="A28" s="62" t="s">
        <v>130</v>
      </c>
      <c r="B28" s="62" t="s">
        <v>146</v>
      </c>
      <c r="C28" s="62" t="s">
        <v>154</v>
      </c>
      <c r="D28" s="63" t="n">
        <v>69.5002</v>
      </c>
      <c r="E28" s="64" t="n">
        <f>'Tabela 1 APS - Descr.'!I35</f>
        <v>87.82609</v>
      </c>
      <c r="F28" s="64" t="n">
        <f t="shared" si="1"/>
        <v>1053.91308</v>
      </c>
      <c r="G28" s="62" t="s">
        <v>148</v>
      </c>
      <c r="H28" s="62"/>
      <c r="I28" s="62" t="s">
        <v>264</v>
      </c>
      <c r="J28" s="63"/>
      <c r="K28" s="62" t="s">
        <v>263</v>
      </c>
      <c r="L28" s="62" t="s">
        <v>148</v>
      </c>
      <c r="M28" s="65" t="s">
        <v>149</v>
      </c>
    </row>
    <row r="29" ht="14.25" customHeight="1">
      <c r="A29" s="62" t="s">
        <v>130</v>
      </c>
      <c r="B29" s="62" t="s">
        <v>146</v>
      </c>
      <c r="C29" s="62" t="s">
        <v>155</v>
      </c>
      <c r="D29" s="63" t="n">
        <v>325.81912</v>
      </c>
      <c r="E29" s="64" t="n">
        <f>'Tabela 1 APS - Descr.'!I36</f>
        <v>289.21794</v>
      </c>
      <c r="F29" s="64" t="n">
        <f t="shared" si="1"/>
        <v>3470.61528</v>
      </c>
      <c r="G29" s="62" t="s">
        <v>148</v>
      </c>
      <c r="H29" s="62"/>
      <c r="I29" s="62" t="s">
        <v>264</v>
      </c>
      <c r="J29" s="62"/>
      <c r="K29" s="62" t="s">
        <v>263</v>
      </c>
      <c r="L29" s="62" t="s">
        <v>148</v>
      </c>
      <c r="M29" s="65" t="s">
        <v>149</v>
      </c>
    </row>
    <row r="30" ht="14.25" customHeight="1">
      <c r="A30" s="62" t="s">
        <v>130</v>
      </c>
      <c r="B30" s="62" t="s">
        <v>146</v>
      </c>
      <c r="C30" s="62" t="s">
        <v>156</v>
      </c>
      <c r="D30" s="63" t="n">
        <v>75.82575000000001</v>
      </c>
      <c r="E30" s="64" t="n">
        <f>'Tabela 1 APS - Descr.'!I37</f>
        <v>78.16655</v>
      </c>
      <c r="F30" s="64" t="n">
        <f t="shared" si="1"/>
        <v>937.9986</v>
      </c>
      <c r="G30" s="62" t="s">
        <v>148</v>
      </c>
      <c r="H30" s="62"/>
      <c r="I30" s="62" t="s">
        <v>264</v>
      </c>
      <c r="J30" s="62"/>
      <c r="K30" s="62" t="s">
        <v>263</v>
      </c>
      <c r="L30" s="62" t="s">
        <v>148</v>
      </c>
      <c r="M30" s="65" t="s">
        <v>149</v>
      </c>
    </row>
    <row r="31" ht="14.25" customHeight="1">
      <c r="A31" s="62" t="s">
        <v>130</v>
      </c>
      <c r="B31" s="62" t="s">
        <v>146</v>
      </c>
      <c r="C31" s="62" t="s">
        <v>152</v>
      </c>
      <c r="D31" s="63" t="n">
        <v>714.56</v>
      </c>
      <c r="E31" s="64" t="n">
        <f>'Tabela 1 APS - Descr.'!I38</f>
        <v>581.856</v>
      </c>
      <c r="F31" s="64" t="n">
        <f t="shared" si="1"/>
        <v>6982.272</v>
      </c>
      <c r="G31" s="62" t="s">
        <v>157</v>
      </c>
      <c r="H31" s="63"/>
      <c r="I31" s="62" t="s">
        <v>264</v>
      </c>
      <c r="J31" s="63"/>
      <c r="K31" s="62" t="s">
        <v>263</v>
      </c>
      <c r="L31" s="62" t="s">
        <v>157</v>
      </c>
      <c r="M31" s="62" t="s">
        <v>59</v>
      </c>
    </row>
    <row r="32" ht="14.25" customHeight="1">
      <c r="A32" s="62" t="s">
        <v>130</v>
      </c>
      <c r="B32" s="62" t="s">
        <v>146</v>
      </c>
      <c r="C32" s="62" t="s">
        <v>158</v>
      </c>
      <c r="D32" s="63" t="n">
        <v>251.96160000000003</v>
      </c>
      <c r="E32" s="64" t="n">
        <f>'Tabela 1 APS - Descr.'!I39</f>
        <v>238.90196</v>
      </c>
      <c r="F32" s="64" t="n">
        <f t="shared" si="1"/>
        <v>2866.82352</v>
      </c>
      <c r="G32" s="62" t="s">
        <v>159</v>
      </c>
      <c r="H32" s="62"/>
      <c r="I32" s="62" t="s">
        <v>264</v>
      </c>
      <c r="J32" s="62"/>
      <c r="K32" s="62" t="s">
        <v>263</v>
      </c>
      <c r="L32" s="62" t="s">
        <v>162</v>
      </c>
      <c r="M32" s="65" t="s">
        <v>160</v>
      </c>
    </row>
    <row r="33" ht="14.25" customHeight="1">
      <c r="A33" s="62" t="s">
        <v>130</v>
      </c>
      <c r="B33" s="62" t="s">
        <v>146</v>
      </c>
      <c r="C33" s="62" t="s">
        <v>160</v>
      </c>
      <c r="D33" s="63" t="n">
        <v>1256.09858</v>
      </c>
      <c r="E33" s="64" t="n">
        <f>'Tabela 1 APS - Descr.'!I40</f>
        <v>1094.19332</v>
      </c>
      <c r="F33" s="64" t="n">
        <f t="shared" si="1"/>
        <v>13130.31984</v>
      </c>
      <c r="G33" s="62" t="s">
        <v>159</v>
      </c>
      <c r="H33" s="62" t="n">
        <v>2040.0</v>
      </c>
      <c r="I33" s="62" t="s">
        <v>264</v>
      </c>
      <c r="J33" s="62"/>
      <c r="K33" s="62" t="s">
        <v>263</v>
      </c>
      <c r="L33" s="62" t="s">
        <v>162</v>
      </c>
      <c r="M33" s="65" t="s">
        <v>160</v>
      </c>
    </row>
    <row r="34" ht="14.25" customHeight="1">
      <c r="A34" s="62" t="s">
        <v>130</v>
      </c>
      <c r="B34" s="62" t="s">
        <v>146</v>
      </c>
      <c r="C34" s="62" t="s">
        <v>163</v>
      </c>
      <c r="D34" s="63" t="n">
        <v>80.12466</v>
      </c>
      <c r="E34" s="64" t="n">
        <f>'Tabela 1 APS - Descr.'!I41</f>
        <v>73.10193</v>
      </c>
      <c r="F34" s="64" t="n">
        <f t="shared" si="1"/>
        <v>877.22316</v>
      </c>
      <c r="G34" s="62" t="s">
        <v>157</v>
      </c>
      <c r="H34" s="62"/>
      <c r="I34" s="62" t="s">
        <v>264</v>
      </c>
      <c r="J34" s="62"/>
      <c r="K34" s="62" t="s">
        <v>263</v>
      </c>
      <c r="L34" s="62" t="s">
        <v>157</v>
      </c>
      <c r="M34" s="62" t="s">
        <v>59</v>
      </c>
    </row>
    <row r="35" ht="14.25" customHeight="1">
      <c r="A35" s="62" t="s">
        <v>130</v>
      </c>
      <c r="B35" s="62" t="s">
        <v>146</v>
      </c>
      <c r="C35" s="62" t="s">
        <v>149</v>
      </c>
      <c r="D35" s="63" t="n">
        <v>884.25106</v>
      </c>
      <c r="E35" s="64" t="n">
        <f>'Tabela 1 APS - Descr.'!I42</f>
        <v>792.81609</v>
      </c>
      <c r="F35" s="64" t="n">
        <f t="shared" si="1"/>
        <v>9513.79308</v>
      </c>
      <c r="G35" s="62" t="s">
        <v>148</v>
      </c>
      <c r="H35" s="62" t="n">
        <v>2880.0</v>
      </c>
      <c r="I35" s="62" t="s">
        <v>264</v>
      </c>
      <c r="J35" s="62"/>
      <c r="K35" s="62" t="s">
        <v>263</v>
      </c>
      <c r="L35" s="62" t="s">
        <v>148</v>
      </c>
      <c r="M35" s="65"/>
    </row>
    <row r="36" ht="14.25" customHeight="1">
      <c r="A36" s="62" t="s">
        <v>130</v>
      </c>
      <c r="B36" s="62" t="s">
        <v>146</v>
      </c>
      <c r="C36" s="62" t="s">
        <v>164</v>
      </c>
      <c r="D36" s="63" t="n">
        <v>118.2225</v>
      </c>
      <c r="E36" s="64" t="n">
        <f>'Tabela 1 APS - Descr.'!I43</f>
        <v>98.39874</v>
      </c>
      <c r="F36" s="64" t="n">
        <f t="shared" si="1"/>
        <v>1180.78488</v>
      </c>
      <c r="G36" s="62" t="s">
        <v>148</v>
      </c>
      <c r="H36" s="62"/>
      <c r="I36" s="62" t="s">
        <v>264</v>
      </c>
      <c r="J36" s="62"/>
      <c r="K36" s="62" t="s">
        <v>263</v>
      </c>
      <c r="L36" s="62" t="s">
        <v>148</v>
      </c>
      <c r="M36" s="65"/>
    </row>
    <row r="37" ht="14.25" customHeight="1">
      <c r="A37" s="62" t="s">
        <v>130</v>
      </c>
      <c r="B37" s="62" t="s">
        <v>146</v>
      </c>
      <c r="C37" s="62" t="s">
        <v>165</v>
      </c>
      <c r="D37" s="63" t="n">
        <v>252.11725</v>
      </c>
      <c r="E37" s="64" t="n">
        <f>'Tabela 1 APS - Descr.'!I44</f>
        <v>223.48293</v>
      </c>
      <c r="F37" s="64" t="n">
        <f t="shared" si="1"/>
        <v>2681.79516</v>
      </c>
      <c r="G37" s="62" t="s">
        <v>148</v>
      </c>
      <c r="H37" s="62"/>
      <c r="I37" s="62" t="s">
        <v>264</v>
      </c>
      <c r="J37" s="63"/>
      <c r="K37" s="62" t="s">
        <v>263</v>
      </c>
      <c r="L37" s="62" t="s">
        <v>148</v>
      </c>
      <c r="M37" s="63"/>
    </row>
    <row r="38" ht="14.25" customHeight="1">
      <c r="A38" s="62" t="s">
        <v>130</v>
      </c>
      <c r="B38" s="62" t="s">
        <v>146</v>
      </c>
      <c r="C38" s="62" t="s">
        <v>166</v>
      </c>
      <c r="D38" s="63" t="n">
        <v>112.1307</v>
      </c>
      <c r="E38" s="64" t="n">
        <f>'Tabela 1 APS - Descr.'!I45</f>
        <v>83.97235</v>
      </c>
      <c r="F38" s="64" t="n">
        <f t="shared" si="1"/>
        <v>1007.6682</v>
      </c>
      <c r="G38" s="62" t="s">
        <v>148</v>
      </c>
      <c r="H38" s="62"/>
      <c r="I38" s="62" t="s">
        <v>264</v>
      </c>
      <c r="J38" s="62"/>
      <c r="K38" s="62" t="s">
        <v>263</v>
      </c>
      <c r="L38" s="62" t="s">
        <v>148</v>
      </c>
      <c r="M38" s="65"/>
    </row>
    <row r="39" ht="14.25" customHeight="1">
      <c r="A39" s="62" t="s">
        <v>130</v>
      </c>
      <c r="B39" s="62" t="s">
        <v>146</v>
      </c>
      <c r="C39" s="62" t="s">
        <v>167</v>
      </c>
      <c r="D39" s="63" t="n">
        <v>115.92504000000001</v>
      </c>
      <c r="E39" s="64" t="n">
        <f>'Tabela 1 APS - Descr.'!I46</f>
        <v>105.48384</v>
      </c>
      <c r="F39" s="64" t="n">
        <f t="shared" si="1"/>
        <v>1265.80608</v>
      </c>
      <c r="G39" s="62" t="s">
        <v>148</v>
      </c>
      <c r="H39" s="62"/>
      <c r="I39" s="62" t="s">
        <v>264</v>
      </c>
      <c r="J39" s="62"/>
      <c r="K39" s="62" t="s">
        <v>263</v>
      </c>
      <c r="L39" s="62" t="s">
        <v>148</v>
      </c>
      <c r="M39" s="65"/>
    </row>
    <row r="40" ht="14.25" customHeight="1">
      <c r="A40" s="62" t="s">
        <v>130</v>
      </c>
      <c r="B40" s="62" t="s">
        <v>146</v>
      </c>
      <c r="C40" s="62" t="s">
        <v>168</v>
      </c>
      <c r="D40" s="63" t="n">
        <v>41.8308</v>
      </c>
      <c r="E40" s="64" t="n">
        <f>'Tabela 1 APS - Descr.'!I47</f>
        <v>42.99383</v>
      </c>
      <c r="F40" s="64" t="n">
        <f t="shared" si="1"/>
        <v>515.92596</v>
      </c>
      <c r="G40" s="62" t="s">
        <v>148</v>
      </c>
      <c r="H40" s="62"/>
      <c r="I40" s="62" t="s">
        <v>264</v>
      </c>
      <c r="J40" s="63"/>
      <c r="K40" s="62" t="s">
        <v>263</v>
      </c>
      <c r="L40" s="62" t="s">
        <v>148</v>
      </c>
      <c r="M40" s="63"/>
    </row>
    <row r="41" ht="14.25" customHeight="1">
      <c r="A41" s="62" t="s">
        <v>130</v>
      </c>
      <c r="B41" s="62" t="s">
        <v>146</v>
      </c>
      <c r="C41" s="62" t="s">
        <v>169</v>
      </c>
      <c r="D41" s="63" t="n">
        <v>67.71402</v>
      </c>
      <c r="E41" s="64" t="n">
        <f>'Tabela 1 APS - Descr.'!I48</f>
        <v>81.23412</v>
      </c>
      <c r="F41" s="64" t="n">
        <f t="shared" si="1"/>
        <v>974.80944</v>
      </c>
      <c r="G41" s="62" t="s">
        <v>148</v>
      </c>
      <c r="H41" s="62"/>
      <c r="I41" s="62" t="s">
        <v>264</v>
      </c>
      <c r="J41" s="62"/>
      <c r="K41" s="62" t="s">
        <v>263</v>
      </c>
      <c r="L41" s="62" t="s">
        <v>148</v>
      </c>
      <c r="M41" s="65"/>
    </row>
    <row r="42" ht="14.25" customHeight="1">
      <c r="A42" s="62" t="s">
        <v>130</v>
      </c>
      <c r="B42" s="62" t="s">
        <v>81</v>
      </c>
      <c r="C42" s="62" t="s">
        <v>170</v>
      </c>
      <c r="D42" s="63" t="n">
        <v>1475.0059500000002</v>
      </c>
      <c r="E42" s="64" t="n">
        <f>'Tabela 1 APS - Descr.'!I49</f>
        <v>1463.07975</v>
      </c>
      <c r="F42" s="64" t="n">
        <f t="shared" si="1"/>
        <v>17556.957</v>
      </c>
      <c r="G42" s="62" t="s">
        <v>171</v>
      </c>
      <c r="H42" s="62" t="n">
        <v>2000.0</v>
      </c>
      <c r="I42" s="62" t="s">
        <v>264</v>
      </c>
      <c r="J42" s="62"/>
      <c r="K42" s="62" t="s">
        <v>263</v>
      </c>
      <c r="L42" s="62" t="s">
        <v>172</v>
      </c>
      <c r="M42" s="65" t="s">
        <v>170</v>
      </c>
    </row>
    <row r="43" ht="14.25" customHeight="1">
      <c r="A43" s="62" t="s">
        <v>130</v>
      </c>
      <c r="B43" s="62" t="s">
        <v>81</v>
      </c>
      <c r="C43" s="62" t="s">
        <v>267</v>
      </c>
      <c r="D43" s="63" t="n">
        <v>490.33072000000004</v>
      </c>
      <c r="E43" s="64" t="n">
        <f>'Tabela 1 APS - Descr.'!I50</f>
        <v>487.1482</v>
      </c>
      <c r="F43" s="64" t="n">
        <f t="shared" si="1"/>
        <v>5845.7784</v>
      </c>
      <c r="G43" s="62" t="s">
        <v>174</v>
      </c>
      <c r="H43" s="62" t="n">
        <v>266.0</v>
      </c>
      <c r="I43" s="62" t="s">
        <v>264</v>
      </c>
      <c r="J43" s="63"/>
      <c r="K43" s="62" t="s">
        <v>263</v>
      </c>
      <c r="L43" s="62" t="s">
        <v>172</v>
      </c>
      <c r="M43" s="65" t="s">
        <v>170</v>
      </c>
    </row>
    <row r="44" ht="14.25" customHeight="1">
      <c r="A44" s="62" t="s">
        <v>130</v>
      </c>
      <c r="B44" s="62" t="s">
        <v>81</v>
      </c>
      <c r="C44" s="62" t="s">
        <v>177</v>
      </c>
      <c r="D44" s="63" t="n">
        <v>1113.93634</v>
      </c>
      <c r="E44" s="64" t="n">
        <f>'Tabela 1 APS - Descr.'!I51</f>
        <v>1014.27942</v>
      </c>
      <c r="F44" s="64" t="n">
        <f t="shared" si="1"/>
        <v>12171.35304</v>
      </c>
      <c r="G44" s="62" t="s">
        <v>268</v>
      </c>
      <c r="H44" s="62" t="n">
        <v>873.0</v>
      </c>
      <c r="I44" s="62" t="s">
        <v>264</v>
      </c>
      <c r="J44" s="62"/>
      <c r="K44" s="62" t="s">
        <v>263</v>
      </c>
      <c r="L44" s="62" t="s">
        <v>172</v>
      </c>
      <c r="M44" s="65" t="s">
        <v>170</v>
      </c>
    </row>
    <row r="45" ht="14.25" customHeight="1">
      <c r="A45" s="62" t="s">
        <v>130</v>
      </c>
      <c r="B45" s="62" t="s">
        <v>81</v>
      </c>
      <c r="C45" s="62" t="s">
        <v>180</v>
      </c>
      <c r="D45" s="63" t="n">
        <v>1276.14366</v>
      </c>
      <c r="E45" s="64" t="n">
        <f>'Tabela 1 APS - Descr.'!I52</f>
        <v>1242.4192</v>
      </c>
      <c r="F45" s="64" t="n">
        <f t="shared" si="1"/>
        <v>14909.0304</v>
      </c>
      <c r="G45" s="62" t="s">
        <v>181</v>
      </c>
      <c r="H45" s="62" t="n">
        <v>3374.0</v>
      </c>
      <c r="I45" s="62" t="s">
        <v>264</v>
      </c>
      <c r="J45" s="62"/>
      <c r="K45" s="62" t="s">
        <v>263</v>
      </c>
      <c r="L45" s="62" t="s">
        <v>172</v>
      </c>
      <c r="M45" s="65" t="s">
        <v>170</v>
      </c>
    </row>
    <row r="46" ht="14.25" customHeight="1">
      <c r="A46" s="62" t="s">
        <v>130</v>
      </c>
      <c r="B46" s="62" t="s">
        <v>183</v>
      </c>
      <c r="C46" s="62" t="s">
        <v>184</v>
      </c>
      <c r="D46" s="63" t="n">
        <v>650.6438400000001</v>
      </c>
      <c r="E46" s="64" t="n">
        <f>'Tabela 1 APS - Descr.'!I53</f>
        <v>623.76237</v>
      </c>
      <c r="F46" s="64" t="n">
        <f t="shared" si="1"/>
        <v>7485.14844</v>
      </c>
      <c r="G46" s="62" t="s">
        <v>157</v>
      </c>
      <c r="H46" s="63"/>
      <c r="I46" s="62" t="s">
        <v>264</v>
      </c>
      <c r="J46" s="63"/>
      <c r="K46" s="62" t="s">
        <v>263</v>
      </c>
      <c r="L46" s="62" t="s">
        <v>269</v>
      </c>
      <c r="M46" s="65" t="s">
        <v>59</v>
      </c>
    </row>
    <row r="47" ht="14.25" customHeight="1">
      <c r="A47" s="62" t="s">
        <v>130</v>
      </c>
      <c r="B47" s="62" t="s">
        <v>183</v>
      </c>
      <c r="C47" s="62" t="s">
        <v>187</v>
      </c>
      <c r="D47" s="63" t="n">
        <v>47.786640000000006</v>
      </c>
      <c r="E47" s="64" t="n">
        <f>'Tabela 1 APS - Descr.'!I54</f>
        <v>39.52608</v>
      </c>
      <c r="F47" s="64" t="n">
        <f t="shared" si="1"/>
        <v>474.31296</v>
      </c>
      <c r="G47" s="62" t="s">
        <v>157</v>
      </c>
      <c r="H47" s="62"/>
      <c r="I47" s="62" t="s">
        <v>264</v>
      </c>
      <c r="J47" s="62"/>
      <c r="K47" s="62" t="s">
        <v>263</v>
      </c>
      <c r="L47" s="62" t="s">
        <v>269</v>
      </c>
      <c r="M47" s="65" t="s">
        <v>59</v>
      </c>
    </row>
    <row r="48" ht="14.25" customHeight="1">
      <c r="A48" s="62" t="s">
        <v>130</v>
      </c>
      <c r="B48" s="62" t="s">
        <v>183</v>
      </c>
      <c r="C48" s="62" t="s">
        <v>190</v>
      </c>
      <c r="D48" s="63" t="n">
        <v>56.88815000000001</v>
      </c>
      <c r="E48" s="64" t="n">
        <f>'Tabela 1 APS - Descr.'!I55</f>
        <v>64.38762</v>
      </c>
      <c r="F48" s="64" t="n">
        <f t="shared" si="1"/>
        <v>772.65144</v>
      </c>
      <c r="G48" s="62" t="s">
        <v>157</v>
      </c>
      <c r="H48" s="62"/>
      <c r="I48" s="62" t="s">
        <v>264</v>
      </c>
      <c r="J48" s="62"/>
      <c r="K48" s="62" t="s">
        <v>263</v>
      </c>
      <c r="L48" s="62" t="s">
        <v>269</v>
      </c>
      <c r="M48" s="65" t="s">
        <v>59</v>
      </c>
    </row>
    <row r="49" ht="14.25" customHeight="1">
      <c r="A49" s="62" t="s">
        <v>130</v>
      </c>
      <c r="B49" s="62" t="s">
        <v>183</v>
      </c>
      <c r="C49" s="62" t="s">
        <v>192</v>
      </c>
      <c r="D49" s="63" t="n">
        <v>1815.20152</v>
      </c>
      <c r="E49" s="64" t="n">
        <f>'Tabela 1 APS - Descr.'!I56</f>
        <v>1714.96776</v>
      </c>
      <c r="F49" s="64" t="n">
        <f t="shared" si="1"/>
        <v>20579.61312</v>
      </c>
      <c r="G49" s="62" t="s">
        <v>194</v>
      </c>
      <c r="H49" s="62" t="n">
        <v>2640.0</v>
      </c>
      <c r="I49" s="62" t="s">
        <v>264</v>
      </c>
      <c r="J49" s="63"/>
      <c r="K49" s="62" t="s">
        <v>263</v>
      </c>
      <c r="L49" s="62" t="s">
        <v>195</v>
      </c>
      <c r="M49" s="65" t="s">
        <v>192</v>
      </c>
    </row>
    <row r="50" ht="14.25" customHeight="1">
      <c r="A50" s="62" t="s">
        <v>130</v>
      </c>
      <c r="B50" s="62" t="s">
        <v>183</v>
      </c>
      <c r="C50" s="62" t="s">
        <v>196</v>
      </c>
      <c r="D50" s="63" t="n">
        <v>47.66740000000001</v>
      </c>
      <c r="E50" s="64" t="n">
        <f>'Tabela 1 APS - Descr.'!I57</f>
        <v>55.43208</v>
      </c>
      <c r="F50" s="64" t="n">
        <f t="shared" si="1"/>
        <v>665.18496</v>
      </c>
      <c r="G50" s="62" t="s">
        <v>157</v>
      </c>
      <c r="H50" s="62"/>
      <c r="I50" s="62" t="s">
        <v>264</v>
      </c>
      <c r="J50" s="62"/>
      <c r="K50" s="62" t="s">
        <v>263</v>
      </c>
      <c r="L50" s="62" t="s">
        <v>269</v>
      </c>
      <c r="M50" s="65" t="s">
        <v>59</v>
      </c>
    </row>
    <row r="51" ht="14.25" customHeight="1">
      <c r="A51" s="62" t="s">
        <v>130</v>
      </c>
      <c r="B51" s="62" t="s">
        <v>183</v>
      </c>
      <c r="C51" s="62" t="s">
        <v>197</v>
      </c>
      <c r="D51" s="63" t="n">
        <v>82.51496000000002</v>
      </c>
      <c r="E51" s="64" t="n">
        <f>'Tabela 1 APS - Descr.'!I58</f>
        <v>94.29046</v>
      </c>
      <c r="F51" s="64" t="n">
        <f t="shared" si="1"/>
        <v>1131.48552</v>
      </c>
      <c r="G51" s="62" t="s">
        <v>157</v>
      </c>
      <c r="H51" s="62"/>
      <c r="I51" s="62" t="s">
        <v>264</v>
      </c>
      <c r="J51" s="62"/>
      <c r="K51" s="62" t="s">
        <v>263</v>
      </c>
      <c r="L51" s="62" t="s">
        <v>269</v>
      </c>
      <c r="M51" s="65" t="s">
        <v>59</v>
      </c>
    </row>
    <row r="52" ht="14.25" customHeight="1">
      <c r="A52" s="62" t="s">
        <v>130</v>
      </c>
      <c r="B52" s="62" t="s">
        <v>183</v>
      </c>
      <c r="C52" s="62" t="s">
        <v>199</v>
      </c>
      <c r="D52" s="63" t="n">
        <v>112.93029000000003</v>
      </c>
      <c r="E52" s="64" t="n">
        <f>'Tabela 1 APS - Descr.'!I59</f>
        <v>107.2533</v>
      </c>
      <c r="F52" s="64" t="n">
        <f t="shared" si="1"/>
        <v>1287.0396</v>
      </c>
      <c r="G52" s="62" t="s">
        <v>157</v>
      </c>
      <c r="H52" s="63"/>
      <c r="I52" s="62" t="s">
        <v>264</v>
      </c>
      <c r="J52" s="63"/>
      <c r="K52" s="62" t="s">
        <v>263</v>
      </c>
      <c r="L52" s="62" t="s">
        <v>269</v>
      </c>
      <c r="M52" s="65" t="s">
        <v>59</v>
      </c>
    </row>
    <row r="53" ht="14.25" customHeight="1">
      <c r="A53" s="62" t="s">
        <v>130</v>
      </c>
      <c r="B53" s="62" t="s">
        <v>183</v>
      </c>
      <c r="C53" s="62" t="s">
        <v>201</v>
      </c>
      <c r="D53" s="63" t="n">
        <v>98.61258000000001</v>
      </c>
      <c r="E53" s="64" t="n">
        <f>'Tabela 1 APS - Descr.'!I60</f>
        <v>98.14574</v>
      </c>
      <c r="F53" s="64" t="n">
        <f t="shared" si="1"/>
        <v>1177.74888</v>
      </c>
      <c r="G53" s="62" t="s">
        <v>157</v>
      </c>
      <c r="H53" s="62"/>
      <c r="I53" s="62" t="s">
        <v>264</v>
      </c>
      <c r="J53" s="62"/>
      <c r="K53" s="62" t="s">
        <v>263</v>
      </c>
      <c r="L53" s="62" t="s">
        <v>269</v>
      </c>
      <c r="M53" s="65" t="s">
        <v>59</v>
      </c>
    </row>
    <row r="54" ht="14.25" customHeight="1">
      <c r="A54" s="62" t="s">
        <v>130</v>
      </c>
      <c r="B54" s="62" t="s">
        <v>183</v>
      </c>
      <c r="C54" s="62" t="s">
        <v>59</v>
      </c>
      <c r="D54" s="63" t="n">
        <v>2708.6491300000002</v>
      </c>
      <c r="E54" s="64" t="n">
        <f>'Tabela 1 APS - Descr.'!I61</f>
        <v>2430.40842</v>
      </c>
      <c r="F54" s="64" t="n">
        <f t="shared" si="1"/>
        <v>29164.90104</v>
      </c>
      <c r="G54" s="62" t="s">
        <v>204</v>
      </c>
      <c r="H54" s="62" t="n">
        <v>3400.0</v>
      </c>
      <c r="I54" s="62" t="s">
        <v>264</v>
      </c>
      <c r="J54" s="62" t="s">
        <v>270</v>
      </c>
      <c r="K54" s="62" t="s">
        <v>263</v>
      </c>
      <c r="L54" s="62" t="s">
        <v>269</v>
      </c>
      <c r="M54" s="65" t="s">
        <v>59</v>
      </c>
    </row>
    <row r="55" ht="14.25" customHeight="1">
      <c r="A55" s="62" t="s">
        <v>130</v>
      </c>
      <c r="B55" s="62" t="s">
        <v>183</v>
      </c>
      <c r="C55" s="62" t="s">
        <v>205</v>
      </c>
      <c r="D55" s="63" t="n">
        <v>423.90634</v>
      </c>
      <c r="E55" s="64" t="n">
        <f>'Tabela 1 APS - Descr.'!I62</f>
        <v>381.3326</v>
      </c>
      <c r="F55" s="64" t="n">
        <f t="shared" si="1"/>
        <v>4575.9912</v>
      </c>
      <c r="G55" s="62" t="s">
        <v>157</v>
      </c>
      <c r="H55" s="63"/>
      <c r="I55" s="62" t="s">
        <v>264</v>
      </c>
      <c r="J55" s="63"/>
      <c r="K55" s="62" t="s">
        <v>263</v>
      </c>
      <c r="L55" s="62" t="s">
        <v>269</v>
      </c>
      <c r="M55" s="65" t="s">
        <v>59</v>
      </c>
    </row>
    <row r="56" ht="14.25" customHeight="1">
      <c r="A56" s="62"/>
      <c r="B56" s="62"/>
      <c r="C56" s="62"/>
      <c r="D56" s="63"/>
      <c r="E56" s="64" t="n">
        <f t="shared" ref="E56:E167" si="2">D56*15/100</f>
        <v>0</v>
      </c>
      <c r="F56" s="64" t="n">
        <f t="shared" si="1"/>
        <v>0</v>
      </c>
      <c r="G56" s="62"/>
      <c r="H56" s="62"/>
      <c r="I56" s="62"/>
      <c r="J56" s="62"/>
      <c r="K56" s="62"/>
      <c r="L56" s="62"/>
      <c r="M56" s="65"/>
    </row>
    <row r="57" ht="14.25" customHeight="1">
      <c r="A57" s="62"/>
      <c r="B57" s="62"/>
      <c r="C57" s="62"/>
      <c r="D57" s="63"/>
      <c r="E57" s="64" t="n">
        <f t="shared" si="2"/>
        <v>0</v>
      </c>
      <c r="F57" s="64" t="n">
        <f t="shared" si="1"/>
        <v>0</v>
      </c>
      <c r="G57" s="62"/>
      <c r="H57" s="62"/>
      <c r="I57" s="62"/>
      <c r="J57" s="62"/>
      <c r="K57" s="62"/>
      <c r="L57" s="62"/>
      <c r="M57" s="65"/>
    </row>
    <row r="58" ht="14.25" customHeight="1">
      <c r="A58" s="62"/>
      <c r="B58" s="62"/>
      <c r="C58" s="63"/>
      <c r="D58" s="63"/>
      <c r="E58" s="64" t="n">
        <f t="shared" si="2"/>
        <v>0</v>
      </c>
      <c r="F58" s="64" t="n">
        <f t="shared" si="1"/>
        <v>0</v>
      </c>
      <c r="G58" s="63"/>
      <c r="H58" s="63"/>
      <c r="I58" s="63"/>
      <c r="J58" s="63"/>
      <c r="K58" s="63"/>
      <c r="L58" s="63"/>
      <c r="M58" s="63"/>
    </row>
    <row r="59" ht="14.25" customHeight="1">
      <c r="A59" s="62"/>
      <c r="B59" s="62"/>
      <c r="C59" s="62"/>
      <c r="D59" s="63"/>
      <c r="E59" s="64" t="n">
        <f t="shared" si="2"/>
        <v>0</v>
      </c>
      <c r="F59" s="64" t="n">
        <f t="shared" si="1"/>
        <v>0</v>
      </c>
      <c r="G59" s="62"/>
      <c r="H59" s="62"/>
      <c r="I59" s="62"/>
      <c r="J59" s="62"/>
      <c r="K59" s="62"/>
      <c r="L59" s="62"/>
      <c r="M59" s="65"/>
    </row>
    <row r="60" ht="14.25" customHeight="1">
      <c r="A60" s="62"/>
      <c r="B60" s="62"/>
      <c r="C60" s="62"/>
      <c r="D60" s="63"/>
      <c r="E60" s="64" t="n">
        <f t="shared" si="2"/>
        <v>0</v>
      </c>
      <c r="F60" s="64" t="n">
        <f t="shared" si="1"/>
        <v>0</v>
      </c>
      <c r="G60" s="62"/>
      <c r="H60" s="62"/>
      <c r="I60" s="62"/>
      <c r="J60" s="62"/>
      <c r="K60" s="62"/>
      <c r="L60" s="62"/>
      <c r="M60" s="65"/>
    </row>
    <row r="61" ht="14.25" customHeight="1">
      <c r="A61" s="62"/>
      <c r="B61" s="62"/>
      <c r="C61" s="63"/>
      <c r="D61" s="63"/>
      <c r="E61" s="64" t="n">
        <f t="shared" si="2"/>
        <v>0</v>
      </c>
      <c r="F61" s="64" t="n">
        <f t="shared" si="1"/>
        <v>0</v>
      </c>
      <c r="G61" s="63"/>
      <c r="H61" s="63"/>
      <c r="I61" s="63"/>
      <c r="J61" s="63"/>
      <c r="K61" s="63"/>
      <c r="L61" s="63"/>
      <c r="M61" s="63"/>
    </row>
    <row r="62" ht="14.25" customHeight="1">
      <c r="A62" s="62"/>
      <c r="B62" s="62"/>
      <c r="C62" s="62"/>
      <c r="D62" s="63"/>
      <c r="E62" s="64" t="n">
        <f t="shared" si="2"/>
        <v>0</v>
      </c>
      <c r="F62" s="64" t="n">
        <f t="shared" si="1"/>
        <v>0</v>
      </c>
      <c r="G62" s="62"/>
      <c r="H62" s="62"/>
      <c r="I62" s="62"/>
      <c r="J62" s="62"/>
      <c r="K62" s="62"/>
      <c r="L62" s="62"/>
      <c r="M62" s="65"/>
    </row>
    <row r="63" ht="14.25" customHeight="1">
      <c r="A63" s="62"/>
      <c r="B63" s="62"/>
      <c r="C63" s="62"/>
      <c r="D63" s="63"/>
      <c r="E63" s="64" t="n">
        <f t="shared" si="2"/>
        <v>0</v>
      </c>
      <c r="F63" s="64" t="n">
        <f t="shared" si="1"/>
        <v>0</v>
      </c>
      <c r="G63" s="62"/>
      <c r="H63" s="62"/>
      <c r="I63" s="62"/>
      <c r="J63" s="62"/>
      <c r="K63" s="62"/>
      <c r="L63" s="62"/>
      <c r="M63" s="65"/>
    </row>
    <row r="64" ht="14.25" customHeight="1">
      <c r="A64" s="62"/>
      <c r="B64" s="62"/>
      <c r="C64" s="63"/>
      <c r="D64" s="63"/>
      <c r="E64" s="64" t="n">
        <f t="shared" si="2"/>
        <v>0</v>
      </c>
      <c r="F64" s="64" t="n">
        <f t="shared" si="1"/>
        <v>0</v>
      </c>
      <c r="G64" s="63"/>
      <c r="H64" s="63"/>
      <c r="I64" s="63"/>
      <c r="J64" s="63"/>
      <c r="K64" s="63"/>
      <c r="L64" s="63"/>
      <c r="M64" s="63"/>
    </row>
    <row r="65" ht="14.25" customHeight="1">
      <c r="A65" s="62"/>
      <c r="B65" s="62"/>
      <c r="C65" s="62"/>
      <c r="D65" s="63"/>
      <c r="E65" s="64" t="n">
        <f t="shared" si="2"/>
        <v>0</v>
      </c>
      <c r="F65" s="64" t="n">
        <f t="shared" si="1"/>
        <v>0</v>
      </c>
      <c r="G65" s="62"/>
      <c r="H65" s="62"/>
      <c r="I65" s="62"/>
      <c r="J65" s="62"/>
      <c r="K65" s="62"/>
      <c r="L65" s="62"/>
      <c r="M65" s="65"/>
    </row>
    <row r="66" ht="14.25" customHeight="1">
      <c r="A66" s="62"/>
      <c r="B66" s="62"/>
      <c r="C66" s="62"/>
      <c r="D66" s="63"/>
      <c r="E66" s="64" t="n">
        <f t="shared" si="2"/>
        <v>0</v>
      </c>
      <c r="F66" s="64" t="n">
        <f t="shared" si="1"/>
        <v>0</v>
      </c>
      <c r="G66" s="62"/>
      <c r="H66" s="62"/>
      <c r="I66" s="62"/>
      <c r="J66" s="62"/>
      <c r="K66" s="62"/>
      <c r="L66" s="62"/>
      <c r="M66" s="65"/>
    </row>
    <row r="67" ht="14.25" customHeight="1">
      <c r="A67" s="62"/>
      <c r="B67" s="62"/>
      <c r="C67" s="63"/>
      <c r="D67" s="63"/>
      <c r="E67" s="64" t="n">
        <f t="shared" si="2"/>
        <v>0</v>
      </c>
      <c r="F67" s="64" t="n">
        <f t="shared" si="1"/>
        <v>0</v>
      </c>
      <c r="G67" s="63"/>
      <c r="H67" s="63"/>
      <c r="I67" s="63"/>
      <c r="J67" s="63"/>
      <c r="K67" s="63"/>
      <c r="L67" s="63"/>
      <c r="M67" s="63"/>
    </row>
    <row r="68" ht="14.25" customHeight="1">
      <c r="A68" s="62"/>
      <c r="B68" s="62"/>
      <c r="C68" s="62"/>
      <c r="D68" s="63"/>
      <c r="E68" s="64" t="n">
        <f t="shared" si="2"/>
        <v>0</v>
      </c>
      <c r="F68" s="64" t="n">
        <f t="shared" si="1"/>
        <v>0</v>
      </c>
      <c r="G68" s="62"/>
      <c r="H68" s="62"/>
      <c r="I68" s="62"/>
      <c r="J68" s="62"/>
      <c r="K68" s="62"/>
      <c r="L68" s="62"/>
      <c r="M68" s="65"/>
    </row>
    <row r="69" ht="14.25" customHeight="1">
      <c r="A69" s="62"/>
      <c r="B69" s="62"/>
      <c r="C69" s="62"/>
      <c r="D69" s="63"/>
      <c r="E69" s="64" t="n">
        <f t="shared" si="2"/>
        <v>0</v>
      </c>
      <c r="F69" s="64" t="n">
        <f t="shared" si="1"/>
        <v>0</v>
      </c>
      <c r="G69" s="62"/>
      <c r="H69" s="62"/>
      <c r="I69" s="62"/>
      <c r="J69" s="62"/>
      <c r="K69" s="62"/>
      <c r="L69" s="62"/>
      <c r="M69" s="65"/>
    </row>
    <row r="70" ht="14.25" customHeight="1">
      <c r="A70" s="62"/>
      <c r="B70" s="62"/>
      <c r="C70" s="63"/>
      <c r="D70" s="63"/>
      <c r="E70" s="64" t="n">
        <f t="shared" si="2"/>
        <v>0</v>
      </c>
      <c r="F70" s="64" t="n">
        <f t="shared" si="1"/>
        <v>0</v>
      </c>
      <c r="G70" s="63"/>
      <c r="H70" s="63"/>
      <c r="I70" s="63"/>
      <c r="J70" s="63"/>
      <c r="K70" s="63"/>
      <c r="L70" s="63"/>
      <c r="M70" s="63"/>
    </row>
    <row r="71" ht="14.25" customHeight="1">
      <c r="A71" s="62"/>
      <c r="B71" s="62"/>
      <c r="C71" s="62"/>
      <c r="D71" s="63"/>
      <c r="E71" s="64" t="n">
        <f t="shared" si="2"/>
        <v>0</v>
      </c>
      <c r="F71" s="64" t="n">
        <f t="shared" si="1"/>
        <v>0</v>
      </c>
      <c r="G71" s="62"/>
      <c r="H71" s="62"/>
      <c r="I71" s="62"/>
      <c r="J71" s="62"/>
      <c r="K71" s="62"/>
      <c r="L71" s="62"/>
      <c r="M71" s="65"/>
    </row>
    <row r="72" ht="14.25" customHeight="1">
      <c r="A72" s="62"/>
      <c r="B72" s="62"/>
      <c r="C72" s="62"/>
      <c r="D72" s="63"/>
      <c r="E72" s="64" t="n">
        <f t="shared" si="2"/>
        <v>0</v>
      </c>
      <c r="F72" s="64" t="n">
        <f t="shared" si="1"/>
        <v>0</v>
      </c>
      <c r="G72" s="62"/>
      <c r="H72" s="62"/>
      <c r="I72" s="62"/>
      <c r="J72" s="62"/>
      <c r="K72" s="62"/>
      <c r="L72" s="62"/>
      <c r="M72" s="65"/>
    </row>
    <row r="73" ht="14.25" customHeight="1">
      <c r="A73" s="62"/>
      <c r="B73" s="62"/>
      <c r="C73" s="63"/>
      <c r="D73" s="63"/>
      <c r="E73" s="64" t="n">
        <f t="shared" si="2"/>
        <v>0</v>
      </c>
      <c r="F73" s="64" t="n">
        <f t="shared" si="1"/>
        <v>0</v>
      </c>
      <c r="G73" s="63"/>
      <c r="H73" s="63"/>
      <c r="I73" s="63"/>
      <c r="J73" s="63"/>
      <c r="K73" s="63"/>
      <c r="L73" s="63"/>
      <c r="M73" s="63"/>
    </row>
    <row r="74" ht="14.25" customHeight="1">
      <c r="A74" s="62"/>
      <c r="B74" s="62"/>
      <c r="C74" s="62"/>
      <c r="D74" s="63"/>
      <c r="E74" s="64" t="n">
        <f t="shared" si="2"/>
        <v>0</v>
      </c>
      <c r="F74" s="64" t="n">
        <f t="shared" si="1"/>
        <v>0</v>
      </c>
      <c r="G74" s="62"/>
      <c r="H74" s="62"/>
      <c r="I74" s="62"/>
      <c r="J74" s="62"/>
      <c r="K74" s="62"/>
      <c r="L74" s="62"/>
      <c r="M74" s="65"/>
    </row>
    <row r="75" ht="14.25" customHeight="1">
      <c r="A75" s="62"/>
      <c r="B75" s="62"/>
      <c r="C75" s="62"/>
      <c r="D75" s="63"/>
      <c r="E75" s="64" t="n">
        <f t="shared" si="2"/>
        <v>0</v>
      </c>
      <c r="F75" s="64" t="n">
        <f t="shared" si="1"/>
        <v>0</v>
      </c>
      <c r="G75" s="62"/>
      <c r="H75" s="62"/>
      <c r="I75" s="62"/>
      <c r="J75" s="62"/>
      <c r="K75" s="62"/>
      <c r="L75" s="62"/>
      <c r="M75" s="65"/>
    </row>
    <row r="76" ht="14.25" customHeight="1">
      <c r="A76" s="62"/>
      <c r="B76" s="62"/>
      <c r="C76" s="63"/>
      <c r="D76" s="63"/>
      <c r="E76" s="64" t="n">
        <f t="shared" si="2"/>
        <v>0</v>
      </c>
      <c r="F76" s="64" t="n">
        <f t="shared" si="1"/>
        <v>0</v>
      </c>
      <c r="G76" s="63"/>
      <c r="H76" s="63"/>
      <c r="I76" s="63"/>
      <c r="J76" s="63"/>
      <c r="K76" s="63"/>
      <c r="L76" s="63"/>
      <c r="M76" s="63"/>
    </row>
    <row r="77" ht="14.25" customHeight="1">
      <c r="A77" s="62"/>
      <c r="B77" s="62"/>
      <c r="C77" s="62"/>
      <c r="D77" s="63"/>
      <c r="E77" s="64" t="n">
        <f t="shared" si="2"/>
        <v>0</v>
      </c>
      <c r="F77" s="64" t="n">
        <f t="shared" si="1"/>
        <v>0</v>
      </c>
      <c r="G77" s="62"/>
      <c r="H77" s="62"/>
      <c r="I77" s="62"/>
      <c r="J77" s="62"/>
      <c r="K77" s="62"/>
      <c r="L77" s="62"/>
      <c r="M77" s="65"/>
    </row>
    <row r="78" ht="14.25" customHeight="1">
      <c r="A78" s="62"/>
      <c r="B78" s="62"/>
      <c r="C78" s="62"/>
      <c r="D78" s="63"/>
      <c r="E78" s="64" t="n">
        <f t="shared" si="2"/>
        <v>0</v>
      </c>
      <c r="F78" s="64" t="n">
        <f t="shared" si="1"/>
        <v>0</v>
      </c>
      <c r="G78" s="62"/>
      <c r="H78" s="62"/>
      <c r="I78" s="62"/>
      <c r="J78" s="62"/>
      <c r="K78" s="62"/>
      <c r="L78" s="62"/>
      <c r="M78" s="65"/>
    </row>
    <row r="79" ht="14.25" customHeight="1">
      <c r="A79" s="62"/>
      <c r="B79" s="62"/>
      <c r="C79" s="63"/>
      <c r="D79" s="63"/>
      <c r="E79" s="64" t="n">
        <f t="shared" si="2"/>
        <v>0</v>
      </c>
      <c r="F79" s="64" t="n">
        <f t="shared" si="1"/>
        <v>0</v>
      </c>
      <c r="G79" s="63"/>
      <c r="H79" s="63"/>
      <c r="I79" s="63"/>
      <c r="J79" s="63"/>
      <c r="K79" s="63"/>
      <c r="L79" s="63"/>
      <c r="M79" s="63"/>
    </row>
    <row r="80" ht="14.25" customHeight="1">
      <c r="A80" s="62"/>
      <c r="B80" s="62"/>
      <c r="C80" s="62"/>
      <c r="D80" s="63"/>
      <c r="E80" s="64" t="n">
        <f t="shared" si="2"/>
        <v>0</v>
      </c>
      <c r="F80" s="64" t="n">
        <f t="shared" si="1"/>
        <v>0</v>
      </c>
      <c r="G80" s="62"/>
      <c r="H80" s="62"/>
      <c r="I80" s="62"/>
      <c r="J80" s="62"/>
      <c r="K80" s="62"/>
      <c r="L80" s="62"/>
      <c r="M80" s="65"/>
    </row>
    <row r="81" ht="14.25" customHeight="1">
      <c r="A81" s="62"/>
      <c r="B81" s="62"/>
      <c r="C81" s="62"/>
      <c r="D81" s="63"/>
      <c r="E81" s="64" t="n">
        <f t="shared" si="2"/>
        <v>0</v>
      </c>
      <c r="F81" s="64" t="n">
        <f t="shared" si="1"/>
        <v>0</v>
      </c>
      <c r="G81" s="62"/>
      <c r="H81" s="62"/>
      <c r="I81" s="62"/>
      <c r="J81" s="62"/>
      <c r="K81" s="62"/>
      <c r="L81" s="62"/>
      <c r="M81" s="65"/>
    </row>
    <row r="82" ht="14.25" customHeight="1">
      <c r="A82" s="62"/>
      <c r="B82" s="62"/>
      <c r="C82" s="62"/>
      <c r="D82" s="63"/>
      <c r="E82" s="64" t="n">
        <f t="shared" si="2"/>
        <v>0</v>
      </c>
      <c r="F82" s="64" t="n">
        <f t="shared" si="1"/>
        <v>0</v>
      </c>
      <c r="G82" s="62"/>
      <c r="H82" s="62"/>
      <c r="I82" s="62"/>
      <c r="J82" s="62"/>
      <c r="K82" s="62"/>
      <c r="L82" s="62"/>
      <c r="M82" s="65"/>
    </row>
    <row r="83" ht="14.25" customHeight="1">
      <c r="A83" s="62"/>
      <c r="B83" s="62"/>
      <c r="C83" s="62"/>
      <c r="D83" s="63"/>
      <c r="E83" s="64" t="n">
        <f t="shared" si="2"/>
        <v>0</v>
      </c>
      <c r="F83" s="64" t="n">
        <f t="shared" si="1"/>
        <v>0</v>
      </c>
      <c r="G83" s="62"/>
      <c r="H83" s="62"/>
      <c r="I83" s="62"/>
      <c r="J83" s="62"/>
      <c r="K83" s="62"/>
      <c r="L83" s="62"/>
      <c r="M83" s="65"/>
    </row>
    <row r="84" ht="14.25" customHeight="1">
      <c r="A84" s="62"/>
      <c r="B84" s="62"/>
      <c r="C84" s="63"/>
      <c r="D84" s="63"/>
      <c r="E84" s="64" t="n">
        <f t="shared" si="2"/>
        <v>0</v>
      </c>
      <c r="F84" s="64" t="n">
        <f t="shared" si="1"/>
        <v>0</v>
      </c>
      <c r="G84" s="63"/>
      <c r="H84" s="63"/>
      <c r="I84" s="63"/>
      <c r="J84" s="63"/>
      <c r="K84" s="63"/>
      <c r="L84" s="63"/>
      <c r="M84" s="63"/>
    </row>
    <row r="85" ht="14.25" customHeight="1">
      <c r="A85" s="62"/>
      <c r="B85" s="62"/>
      <c r="C85" s="62"/>
      <c r="D85" s="63"/>
      <c r="E85" s="64" t="n">
        <f t="shared" si="2"/>
        <v>0</v>
      </c>
      <c r="F85" s="64" t="n">
        <f t="shared" si="1"/>
        <v>0</v>
      </c>
      <c r="G85" s="62"/>
      <c r="H85" s="62"/>
      <c r="I85" s="62"/>
      <c r="J85" s="62"/>
      <c r="K85" s="62"/>
      <c r="L85" s="62"/>
      <c r="M85" s="65"/>
    </row>
    <row r="86" ht="14.25" customHeight="1">
      <c r="A86" s="62"/>
      <c r="B86" s="62"/>
      <c r="C86" s="62"/>
      <c r="D86" s="63"/>
      <c r="E86" s="64" t="n">
        <f t="shared" si="2"/>
        <v>0</v>
      </c>
      <c r="F86" s="64" t="n">
        <f t="shared" si="1"/>
        <v>0</v>
      </c>
      <c r="G86" s="62"/>
      <c r="H86" s="62"/>
      <c r="I86" s="62"/>
      <c r="J86" s="62"/>
      <c r="K86" s="62"/>
      <c r="L86" s="62"/>
      <c r="M86" s="65"/>
    </row>
    <row r="87" ht="14.25" customHeight="1">
      <c r="A87" s="62"/>
      <c r="B87" s="62"/>
      <c r="C87" s="63"/>
      <c r="D87" s="63"/>
      <c r="E87" s="64" t="n">
        <f t="shared" si="2"/>
        <v>0</v>
      </c>
      <c r="F87" s="64" t="n">
        <f t="shared" si="1"/>
        <v>0</v>
      </c>
      <c r="G87" s="63"/>
      <c r="H87" s="63"/>
      <c r="I87" s="63"/>
      <c r="J87" s="63"/>
      <c r="K87" s="63"/>
      <c r="L87" s="63"/>
      <c r="M87" s="63"/>
    </row>
    <row r="88" ht="14.25" customHeight="1">
      <c r="A88" s="62"/>
      <c r="B88" s="62"/>
      <c r="C88" s="62"/>
      <c r="D88" s="63"/>
      <c r="E88" s="64" t="n">
        <f t="shared" si="2"/>
        <v>0</v>
      </c>
      <c r="F88" s="64" t="n">
        <f t="shared" si="1"/>
        <v>0</v>
      </c>
      <c r="G88" s="62"/>
      <c r="H88" s="62"/>
      <c r="I88" s="62"/>
      <c r="J88" s="62"/>
      <c r="K88" s="62"/>
      <c r="L88" s="62"/>
      <c r="M88" s="65"/>
    </row>
    <row r="89" ht="14.25" customHeight="1">
      <c r="A89" s="62"/>
      <c r="B89" s="62"/>
      <c r="C89" s="62"/>
      <c r="D89" s="63"/>
      <c r="E89" s="64" t="n">
        <f t="shared" si="2"/>
        <v>0</v>
      </c>
      <c r="F89" s="64" t="n">
        <f t="shared" si="1"/>
        <v>0</v>
      </c>
      <c r="G89" s="62"/>
      <c r="H89" s="62"/>
      <c r="I89" s="62"/>
      <c r="J89" s="62"/>
      <c r="K89" s="62"/>
      <c r="L89" s="62"/>
      <c r="M89" s="65"/>
    </row>
    <row r="90" ht="14.25" customHeight="1">
      <c r="A90" s="62"/>
      <c r="B90" s="62"/>
      <c r="C90" s="63"/>
      <c r="D90" s="63"/>
      <c r="E90" s="64" t="n">
        <f t="shared" si="2"/>
        <v>0</v>
      </c>
      <c r="F90" s="64" t="n">
        <f t="shared" si="1"/>
        <v>0</v>
      </c>
      <c r="G90" s="63"/>
      <c r="H90" s="63"/>
      <c r="I90" s="63"/>
      <c r="J90" s="63"/>
      <c r="K90" s="63"/>
      <c r="L90" s="63"/>
      <c r="M90" s="63"/>
    </row>
    <row r="91" ht="14.25" customHeight="1">
      <c r="A91" s="62"/>
      <c r="B91" s="62"/>
      <c r="C91" s="62"/>
      <c r="D91" s="63"/>
      <c r="E91" s="64" t="n">
        <f t="shared" si="2"/>
        <v>0</v>
      </c>
      <c r="F91" s="64" t="n">
        <f t="shared" si="1"/>
        <v>0</v>
      </c>
      <c r="G91" s="62"/>
      <c r="H91" s="62"/>
      <c r="I91" s="62"/>
      <c r="J91" s="62"/>
      <c r="K91" s="62"/>
      <c r="L91" s="62"/>
      <c r="M91" s="65"/>
    </row>
    <row r="92" ht="14.25" customHeight="1">
      <c r="A92" s="62"/>
      <c r="B92" s="62"/>
      <c r="C92" s="62"/>
      <c r="D92" s="63"/>
      <c r="E92" s="64" t="n">
        <f t="shared" si="2"/>
        <v>0</v>
      </c>
      <c r="F92" s="64" t="n">
        <f t="shared" si="1"/>
        <v>0</v>
      </c>
      <c r="G92" s="62"/>
      <c r="H92" s="62"/>
      <c r="I92" s="62"/>
      <c r="J92" s="62"/>
      <c r="K92" s="62"/>
      <c r="L92" s="62"/>
      <c r="M92" s="65"/>
    </row>
    <row r="93" ht="14.25" customHeight="1">
      <c r="A93" s="62"/>
      <c r="B93" s="62"/>
      <c r="C93" s="63"/>
      <c r="D93" s="63"/>
      <c r="E93" s="64" t="n">
        <f t="shared" si="2"/>
        <v>0</v>
      </c>
      <c r="F93" s="64" t="n">
        <f t="shared" si="1"/>
        <v>0</v>
      </c>
      <c r="G93" s="63"/>
      <c r="H93" s="63"/>
      <c r="I93" s="63"/>
      <c r="J93" s="63"/>
      <c r="K93" s="63"/>
      <c r="L93" s="63"/>
      <c r="M93" s="63"/>
    </row>
    <row r="94" ht="14.25" customHeight="1">
      <c r="A94" s="62"/>
      <c r="B94" s="62"/>
      <c r="C94" s="62"/>
      <c r="D94" s="63"/>
      <c r="E94" s="64" t="n">
        <f t="shared" si="2"/>
        <v>0</v>
      </c>
      <c r="F94" s="64" t="n">
        <f t="shared" si="1"/>
        <v>0</v>
      </c>
      <c r="G94" s="62"/>
      <c r="H94" s="62"/>
      <c r="I94" s="62"/>
      <c r="J94" s="62"/>
      <c r="K94" s="62"/>
      <c r="L94" s="62"/>
      <c r="M94" s="65"/>
    </row>
    <row r="95" ht="14.25" customHeight="1">
      <c r="A95" s="62"/>
      <c r="B95" s="62"/>
      <c r="C95" s="62"/>
      <c r="D95" s="63"/>
      <c r="E95" s="64" t="n">
        <f t="shared" si="2"/>
        <v>0</v>
      </c>
      <c r="F95" s="64" t="n">
        <f t="shared" si="1"/>
        <v>0</v>
      </c>
      <c r="G95" s="62"/>
      <c r="H95" s="62"/>
      <c r="I95" s="62"/>
      <c r="J95" s="62"/>
      <c r="K95" s="62"/>
      <c r="L95" s="62"/>
      <c r="M95" s="65"/>
    </row>
    <row r="96" ht="14.25" customHeight="1">
      <c r="A96" s="62"/>
      <c r="B96" s="62"/>
      <c r="C96" s="63"/>
      <c r="D96" s="63"/>
      <c r="E96" s="64" t="n">
        <f t="shared" si="2"/>
        <v>0</v>
      </c>
      <c r="F96" s="64" t="n">
        <f t="shared" si="1"/>
        <v>0</v>
      </c>
      <c r="G96" s="63"/>
      <c r="H96" s="63"/>
      <c r="I96" s="63"/>
      <c r="J96" s="63"/>
      <c r="K96" s="63"/>
      <c r="L96" s="63"/>
      <c r="M96" s="63"/>
    </row>
    <row r="97" ht="14.25" customHeight="1">
      <c r="A97" s="62"/>
      <c r="B97" s="62"/>
      <c r="C97" s="62"/>
      <c r="D97" s="63"/>
      <c r="E97" s="64" t="n">
        <f t="shared" si="2"/>
        <v>0</v>
      </c>
      <c r="F97" s="64" t="n">
        <f t="shared" si="1"/>
        <v>0</v>
      </c>
      <c r="G97" s="62"/>
      <c r="H97" s="62"/>
      <c r="I97" s="62"/>
      <c r="J97" s="62"/>
      <c r="K97" s="62"/>
      <c r="L97" s="62"/>
      <c r="M97" s="65"/>
    </row>
    <row r="98" ht="14.25" customHeight="1">
      <c r="A98" s="62"/>
      <c r="B98" s="62"/>
      <c r="C98" s="62"/>
      <c r="D98" s="63"/>
      <c r="E98" s="64" t="n">
        <f t="shared" si="2"/>
        <v>0</v>
      </c>
      <c r="F98" s="64" t="n">
        <f t="shared" si="1"/>
        <v>0</v>
      </c>
      <c r="G98" s="62"/>
      <c r="H98" s="62"/>
      <c r="I98" s="62"/>
      <c r="J98" s="62"/>
      <c r="K98" s="62"/>
      <c r="L98" s="62"/>
      <c r="M98" s="65"/>
    </row>
    <row r="99" ht="14.25" customHeight="1">
      <c r="A99" s="62"/>
      <c r="B99" s="62"/>
      <c r="C99" s="63"/>
      <c r="D99" s="63"/>
      <c r="E99" s="64" t="n">
        <f t="shared" si="2"/>
        <v>0</v>
      </c>
      <c r="F99" s="64" t="n">
        <f t="shared" si="1"/>
        <v>0</v>
      </c>
      <c r="G99" s="63"/>
      <c r="H99" s="63"/>
      <c r="I99" s="63"/>
      <c r="J99" s="63"/>
      <c r="K99" s="63"/>
      <c r="L99" s="63"/>
      <c r="M99" s="63"/>
    </row>
    <row r="100" ht="14.25" customHeight="1">
      <c r="A100" s="62"/>
      <c r="B100" s="62"/>
      <c r="C100" s="62"/>
      <c r="D100" s="63"/>
      <c r="E100" s="64" t="n">
        <f t="shared" si="2"/>
        <v>0</v>
      </c>
      <c r="F100" s="64" t="n">
        <f t="shared" si="1"/>
        <v>0</v>
      </c>
      <c r="G100" s="62"/>
      <c r="H100" s="62"/>
      <c r="I100" s="62"/>
      <c r="J100" s="62"/>
      <c r="K100" s="62"/>
      <c r="L100" s="62"/>
      <c r="M100" s="65"/>
    </row>
    <row r="101" ht="14.25" customHeight="1">
      <c r="A101" s="62"/>
      <c r="B101" s="62"/>
      <c r="C101" s="62"/>
      <c r="D101" s="63"/>
      <c r="E101" s="64" t="n">
        <f t="shared" si="2"/>
        <v>0</v>
      </c>
      <c r="F101" s="64" t="n">
        <f t="shared" si="1"/>
        <v>0</v>
      </c>
      <c r="G101" s="62"/>
      <c r="H101" s="62"/>
      <c r="I101" s="62"/>
      <c r="J101" s="62"/>
      <c r="K101" s="62"/>
      <c r="L101" s="62"/>
      <c r="M101" s="65"/>
    </row>
    <row r="102" ht="14.25" customHeight="1">
      <c r="A102" s="62"/>
      <c r="B102" s="62"/>
      <c r="C102" s="63"/>
      <c r="D102" s="63"/>
      <c r="E102" s="64" t="n">
        <f t="shared" si="2"/>
        <v>0</v>
      </c>
      <c r="F102" s="64" t="n">
        <f t="shared" si="1"/>
        <v>0</v>
      </c>
      <c r="G102" s="63"/>
      <c r="H102" s="63"/>
      <c r="I102" s="63"/>
      <c r="J102" s="63"/>
      <c r="K102" s="63"/>
      <c r="L102" s="63"/>
      <c r="M102" s="63"/>
    </row>
    <row r="103" ht="14.25" customHeight="1">
      <c r="A103" s="62"/>
      <c r="B103" s="62"/>
      <c r="C103" s="62"/>
      <c r="D103" s="63"/>
      <c r="E103" s="64" t="n">
        <f t="shared" si="2"/>
        <v>0</v>
      </c>
      <c r="F103" s="64" t="n">
        <f t="shared" si="1"/>
        <v>0</v>
      </c>
      <c r="G103" s="62"/>
      <c r="H103" s="62"/>
      <c r="I103" s="62"/>
      <c r="J103" s="62"/>
      <c r="K103" s="62"/>
      <c r="L103" s="62"/>
      <c r="M103" s="65"/>
    </row>
    <row r="104" ht="14.25" customHeight="1">
      <c r="A104" s="62"/>
      <c r="B104" s="62"/>
      <c r="C104" s="62"/>
      <c r="D104" s="63"/>
      <c r="E104" s="64" t="n">
        <f t="shared" si="2"/>
        <v>0</v>
      </c>
      <c r="F104" s="64" t="n">
        <f t="shared" si="1"/>
        <v>0</v>
      </c>
      <c r="G104" s="62"/>
      <c r="H104" s="62"/>
      <c r="I104" s="62"/>
      <c r="J104" s="62"/>
      <c r="K104" s="62"/>
      <c r="L104" s="62"/>
      <c r="M104" s="65"/>
    </row>
    <row r="105" ht="14.25" customHeight="1">
      <c r="A105" s="62"/>
      <c r="B105" s="62"/>
      <c r="C105" s="63"/>
      <c r="D105" s="63"/>
      <c r="E105" s="64" t="n">
        <f t="shared" si="2"/>
        <v>0</v>
      </c>
      <c r="F105" s="64" t="n">
        <f t="shared" si="1"/>
        <v>0</v>
      </c>
      <c r="G105" s="63"/>
      <c r="H105" s="63"/>
      <c r="I105" s="63"/>
      <c r="J105" s="63"/>
      <c r="K105" s="63"/>
      <c r="L105" s="63"/>
      <c r="M105" s="63"/>
    </row>
    <row r="106" ht="14.25" customHeight="1">
      <c r="A106" s="62"/>
      <c r="B106" s="62"/>
      <c r="C106" s="62"/>
      <c r="D106" s="63"/>
      <c r="E106" s="64" t="n">
        <f t="shared" si="2"/>
        <v>0</v>
      </c>
      <c r="F106" s="64" t="n">
        <f t="shared" si="1"/>
        <v>0</v>
      </c>
      <c r="G106" s="62"/>
      <c r="H106" s="62"/>
      <c r="I106" s="62"/>
      <c r="J106" s="62"/>
      <c r="K106" s="62"/>
      <c r="L106" s="62"/>
      <c r="M106" s="65"/>
    </row>
    <row r="107" ht="14.25" customHeight="1">
      <c r="A107" s="62"/>
      <c r="B107" s="62"/>
      <c r="C107" s="62"/>
      <c r="D107" s="63"/>
      <c r="E107" s="64" t="n">
        <f t="shared" si="2"/>
        <v>0</v>
      </c>
      <c r="F107" s="64" t="n">
        <f t="shared" si="1"/>
        <v>0</v>
      </c>
      <c r="G107" s="62"/>
      <c r="H107" s="62"/>
      <c r="I107" s="62"/>
      <c r="J107" s="62"/>
      <c r="K107" s="62"/>
      <c r="L107" s="62"/>
      <c r="M107" s="65"/>
    </row>
    <row r="108" ht="14.25" customHeight="1">
      <c r="A108" s="62"/>
      <c r="B108" s="62"/>
      <c r="C108" s="63"/>
      <c r="D108" s="63"/>
      <c r="E108" s="64" t="n">
        <f t="shared" si="2"/>
        <v>0</v>
      </c>
      <c r="F108" s="64" t="n">
        <f t="shared" si="1"/>
        <v>0</v>
      </c>
      <c r="G108" s="63"/>
      <c r="H108" s="63"/>
      <c r="I108" s="63"/>
      <c r="J108" s="63"/>
      <c r="K108" s="63"/>
      <c r="L108" s="63"/>
      <c r="M108" s="63"/>
    </row>
    <row r="109" ht="14.25" customHeight="1">
      <c r="A109" s="62"/>
      <c r="B109" s="62"/>
      <c r="C109" s="62"/>
      <c r="D109" s="63"/>
      <c r="E109" s="64" t="n">
        <f t="shared" si="2"/>
        <v>0</v>
      </c>
      <c r="F109" s="64" t="n">
        <f t="shared" si="1"/>
        <v>0</v>
      </c>
      <c r="G109" s="62"/>
      <c r="H109" s="62"/>
      <c r="I109" s="62"/>
      <c r="J109" s="62"/>
      <c r="K109" s="62"/>
      <c r="L109" s="62"/>
      <c r="M109" s="65"/>
    </row>
    <row r="110" ht="14.25" customHeight="1">
      <c r="A110" s="62"/>
      <c r="B110" s="62"/>
      <c r="C110" s="62"/>
      <c r="D110" s="63"/>
      <c r="E110" s="64" t="n">
        <f t="shared" si="2"/>
        <v>0</v>
      </c>
      <c r="F110" s="64" t="n">
        <f t="shared" si="1"/>
        <v>0</v>
      </c>
      <c r="G110" s="62"/>
      <c r="H110" s="62"/>
      <c r="I110" s="62"/>
      <c r="J110" s="62"/>
      <c r="K110" s="62"/>
      <c r="L110" s="62"/>
      <c r="M110" s="65"/>
    </row>
    <row r="111" ht="14.25" customHeight="1">
      <c r="A111" s="62"/>
      <c r="B111" s="62"/>
      <c r="C111" s="63"/>
      <c r="D111" s="63"/>
      <c r="E111" s="64" t="n">
        <f t="shared" si="2"/>
        <v>0</v>
      </c>
      <c r="F111" s="64" t="n">
        <f t="shared" si="1"/>
        <v>0</v>
      </c>
      <c r="G111" s="63"/>
      <c r="H111" s="63"/>
      <c r="I111" s="63"/>
      <c r="J111" s="63"/>
      <c r="K111" s="63"/>
      <c r="L111" s="63"/>
      <c r="M111" s="63"/>
    </row>
    <row r="112" ht="14.25" customHeight="1">
      <c r="A112" s="62"/>
      <c r="B112" s="62"/>
      <c r="C112" s="62"/>
      <c r="D112" s="63"/>
      <c r="E112" s="64" t="n">
        <f t="shared" si="2"/>
        <v>0</v>
      </c>
      <c r="F112" s="64" t="n">
        <f t="shared" si="1"/>
        <v>0</v>
      </c>
      <c r="G112" s="62"/>
      <c r="H112" s="62"/>
      <c r="I112" s="62"/>
      <c r="J112" s="62"/>
      <c r="K112" s="62"/>
      <c r="L112" s="62"/>
      <c r="M112" s="65"/>
    </row>
    <row r="113" ht="14.25" customHeight="1">
      <c r="A113" s="62"/>
      <c r="B113" s="62"/>
      <c r="C113" s="62"/>
      <c r="D113" s="63"/>
      <c r="E113" s="64" t="n">
        <f t="shared" si="2"/>
        <v>0</v>
      </c>
      <c r="F113" s="64" t="n">
        <f t="shared" si="1"/>
        <v>0</v>
      </c>
      <c r="G113" s="62"/>
      <c r="H113" s="62"/>
      <c r="I113" s="62"/>
      <c r="J113" s="62"/>
      <c r="K113" s="62"/>
      <c r="L113" s="62"/>
      <c r="M113" s="65"/>
    </row>
    <row r="114" ht="14.25" customHeight="1">
      <c r="A114" s="62"/>
      <c r="B114" s="62"/>
      <c r="C114" s="63"/>
      <c r="D114" s="63"/>
      <c r="E114" s="64" t="n">
        <f t="shared" si="2"/>
        <v>0</v>
      </c>
      <c r="F114" s="64" t="n">
        <f t="shared" si="1"/>
        <v>0</v>
      </c>
      <c r="G114" s="63"/>
      <c r="H114" s="63"/>
      <c r="I114" s="63"/>
      <c r="J114" s="63"/>
      <c r="K114" s="63"/>
      <c r="L114" s="63"/>
      <c r="M114" s="63"/>
    </row>
    <row r="115" ht="14.25" customHeight="1">
      <c r="A115" s="62"/>
      <c r="B115" s="62"/>
      <c r="C115" s="62"/>
      <c r="D115" s="63"/>
      <c r="E115" s="64" t="n">
        <f t="shared" si="2"/>
        <v>0</v>
      </c>
      <c r="F115" s="64" t="n">
        <f t="shared" si="1"/>
        <v>0</v>
      </c>
      <c r="G115" s="62"/>
      <c r="H115" s="62"/>
      <c r="I115" s="62"/>
      <c r="J115" s="62"/>
      <c r="K115" s="62"/>
      <c r="L115" s="62"/>
      <c r="M115" s="65"/>
    </row>
    <row r="116" ht="14.25" customHeight="1">
      <c r="A116" s="62"/>
      <c r="B116" s="62"/>
      <c r="C116" s="62"/>
      <c r="D116" s="63"/>
      <c r="E116" s="64" t="n">
        <f t="shared" si="2"/>
        <v>0</v>
      </c>
      <c r="F116" s="64" t="n">
        <f t="shared" si="1"/>
        <v>0</v>
      </c>
      <c r="G116" s="62"/>
      <c r="H116" s="62"/>
      <c r="I116" s="62"/>
      <c r="J116" s="62"/>
      <c r="K116" s="62"/>
      <c r="L116" s="62"/>
      <c r="M116" s="65"/>
    </row>
    <row r="117" ht="14.25" customHeight="1">
      <c r="A117" s="62"/>
      <c r="B117" s="62"/>
      <c r="C117" s="63"/>
      <c r="D117" s="63"/>
      <c r="E117" s="64" t="n">
        <f t="shared" si="2"/>
        <v>0</v>
      </c>
      <c r="F117" s="64" t="n">
        <f t="shared" si="1"/>
        <v>0</v>
      </c>
      <c r="G117" s="63"/>
      <c r="H117" s="63"/>
      <c r="I117" s="63"/>
      <c r="J117" s="63"/>
      <c r="K117" s="63"/>
      <c r="L117" s="63"/>
      <c r="M117" s="63"/>
    </row>
    <row r="118" ht="14.25" customHeight="1">
      <c r="A118" s="62"/>
      <c r="B118" s="62"/>
      <c r="C118" s="62"/>
      <c r="D118" s="63"/>
      <c r="E118" s="64" t="n">
        <f t="shared" si="2"/>
        <v>0</v>
      </c>
      <c r="F118" s="64" t="n">
        <f t="shared" si="1"/>
        <v>0</v>
      </c>
      <c r="G118" s="62"/>
      <c r="H118" s="62"/>
      <c r="I118" s="62"/>
      <c r="J118" s="62"/>
      <c r="K118" s="62"/>
      <c r="L118" s="62"/>
      <c r="M118" s="65"/>
    </row>
    <row r="119" ht="14.25" customHeight="1">
      <c r="A119" s="62"/>
      <c r="B119" s="62"/>
      <c r="C119" s="62"/>
      <c r="D119" s="63"/>
      <c r="E119" s="64" t="n">
        <f t="shared" si="2"/>
        <v>0</v>
      </c>
      <c r="F119" s="64" t="n">
        <f t="shared" si="1"/>
        <v>0</v>
      </c>
      <c r="G119" s="62"/>
      <c r="H119" s="62"/>
      <c r="I119" s="62"/>
      <c r="J119" s="62"/>
      <c r="K119" s="62"/>
      <c r="L119" s="62"/>
      <c r="M119" s="65"/>
    </row>
    <row r="120" ht="14.25" customHeight="1">
      <c r="A120" s="62"/>
      <c r="B120" s="62"/>
      <c r="C120" s="63"/>
      <c r="D120" s="63"/>
      <c r="E120" s="64" t="n">
        <f t="shared" si="2"/>
        <v>0</v>
      </c>
      <c r="F120" s="64" t="n">
        <f t="shared" si="1"/>
        <v>0</v>
      </c>
      <c r="G120" s="63"/>
      <c r="H120" s="63"/>
      <c r="I120" s="63"/>
      <c r="J120" s="63"/>
      <c r="K120" s="63"/>
      <c r="L120" s="63"/>
      <c r="M120" s="63"/>
    </row>
    <row r="121" ht="14.25" customHeight="1">
      <c r="A121" s="62"/>
      <c r="B121" s="62"/>
      <c r="C121" s="62"/>
      <c r="D121" s="63"/>
      <c r="E121" s="64" t="n">
        <f t="shared" si="2"/>
        <v>0</v>
      </c>
      <c r="F121" s="64" t="n">
        <f t="shared" si="1"/>
        <v>0</v>
      </c>
      <c r="G121" s="62"/>
      <c r="H121" s="62"/>
      <c r="I121" s="62"/>
      <c r="J121" s="62"/>
      <c r="K121" s="62"/>
      <c r="L121" s="62"/>
      <c r="M121" s="65"/>
    </row>
    <row r="122" ht="14.25" customHeight="1">
      <c r="A122" s="62"/>
      <c r="B122" s="62"/>
      <c r="C122" s="62"/>
      <c r="D122" s="63"/>
      <c r="E122" s="64" t="n">
        <f t="shared" si="2"/>
        <v>0</v>
      </c>
      <c r="F122" s="64" t="n">
        <f t="shared" si="1"/>
        <v>0</v>
      </c>
      <c r="G122" s="62"/>
      <c r="H122" s="62"/>
      <c r="I122" s="62"/>
      <c r="J122" s="62"/>
      <c r="K122" s="62"/>
      <c r="L122" s="62"/>
      <c r="M122" s="65"/>
    </row>
    <row r="123" ht="14.25" customHeight="1">
      <c r="A123" s="62"/>
      <c r="B123" s="62"/>
      <c r="C123" s="63"/>
      <c r="D123" s="63"/>
      <c r="E123" s="64" t="n">
        <f t="shared" si="2"/>
        <v>0</v>
      </c>
      <c r="F123" s="64" t="n">
        <f t="shared" si="1"/>
        <v>0</v>
      </c>
      <c r="G123" s="63"/>
      <c r="H123" s="63"/>
      <c r="I123" s="63"/>
      <c r="J123" s="63"/>
      <c r="K123" s="63"/>
      <c r="L123" s="63"/>
      <c r="M123" s="63"/>
    </row>
    <row r="124" ht="14.25" customHeight="1">
      <c r="A124" s="62"/>
      <c r="B124" s="62"/>
      <c r="C124" s="62"/>
      <c r="D124" s="63"/>
      <c r="E124" s="64" t="n">
        <f t="shared" si="2"/>
        <v>0</v>
      </c>
      <c r="F124" s="64" t="n">
        <f t="shared" si="1"/>
        <v>0</v>
      </c>
      <c r="G124" s="62"/>
      <c r="H124" s="62"/>
      <c r="I124" s="62"/>
      <c r="J124" s="62"/>
      <c r="K124" s="62"/>
      <c r="L124" s="62"/>
      <c r="M124" s="65"/>
    </row>
    <row r="125" ht="14.25" customHeight="1">
      <c r="A125" s="62"/>
      <c r="B125" s="62"/>
      <c r="C125" s="63"/>
      <c r="D125" s="63"/>
      <c r="E125" s="64" t="n">
        <f t="shared" si="2"/>
        <v>0</v>
      </c>
      <c r="F125" s="64" t="n">
        <f t="shared" si="1"/>
        <v>0</v>
      </c>
      <c r="G125" s="63"/>
      <c r="H125" s="63"/>
      <c r="I125" s="63"/>
      <c r="J125" s="63"/>
      <c r="K125" s="63"/>
      <c r="L125" s="63"/>
      <c r="M125" s="63"/>
    </row>
    <row r="126" ht="14.25" customHeight="1">
      <c r="A126" s="62"/>
      <c r="B126" s="62"/>
      <c r="C126" s="62"/>
      <c r="D126" s="63"/>
      <c r="E126" s="64" t="n">
        <f t="shared" si="2"/>
        <v>0</v>
      </c>
      <c r="F126" s="64" t="n">
        <f t="shared" si="1"/>
        <v>0</v>
      </c>
      <c r="G126" s="62"/>
      <c r="H126" s="62"/>
      <c r="I126" s="62"/>
      <c r="J126" s="62"/>
      <c r="K126" s="62"/>
      <c r="L126" s="62"/>
      <c r="M126" s="65"/>
    </row>
    <row r="127" ht="14.25" customHeight="1">
      <c r="A127" s="62"/>
      <c r="B127" s="62"/>
      <c r="C127" s="62"/>
      <c r="D127" s="63"/>
      <c r="E127" s="64" t="n">
        <f t="shared" si="2"/>
        <v>0</v>
      </c>
      <c r="F127" s="64" t="n">
        <f t="shared" si="1"/>
        <v>0</v>
      </c>
      <c r="G127" s="62"/>
      <c r="H127" s="62"/>
      <c r="I127" s="62"/>
      <c r="J127" s="62"/>
      <c r="K127" s="62"/>
      <c r="L127" s="62"/>
      <c r="M127" s="65"/>
    </row>
    <row r="128" ht="14.25" customHeight="1">
      <c r="A128" s="62"/>
      <c r="B128" s="62"/>
      <c r="C128" s="63"/>
      <c r="D128" s="63"/>
      <c r="E128" s="64" t="n">
        <f t="shared" si="2"/>
        <v>0</v>
      </c>
      <c r="F128" s="64" t="n">
        <f t="shared" si="1"/>
        <v>0</v>
      </c>
      <c r="G128" s="63"/>
      <c r="H128" s="63"/>
      <c r="I128" s="63"/>
      <c r="J128" s="63"/>
      <c r="K128" s="63"/>
      <c r="L128" s="63"/>
      <c r="M128" s="63"/>
    </row>
    <row r="129" ht="14.25" customHeight="1">
      <c r="A129" s="62"/>
      <c r="B129" s="62"/>
      <c r="C129" s="62"/>
      <c r="D129" s="63"/>
      <c r="E129" s="64" t="n">
        <f t="shared" si="2"/>
        <v>0</v>
      </c>
      <c r="F129" s="64" t="n">
        <f t="shared" si="1"/>
        <v>0</v>
      </c>
      <c r="G129" s="62"/>
      <c r="H129" s="62"/>
      <c r="I129" s="62"/>
      <c r="J129" s="62"/>
      <c r="K129" s="62"/>
      <c r="L129" s="62"/>
      <c r="M129" s="65"/>
    </row>
    <row r="130" ht="14.25" customHeight="1">
      <c r="A130" s="62"/>
      <c r="B130" s="62"/>
      <c r="C130" s="62"/>
      <c r="D130" s="63"/>
      <c r="E130" s="64" t="n">
        <f t="shared" si="2"/>
        <v>0</v>
      </c>
      <c r="F130" s="64" t="n">
        <f t="shared" si="1"/>
        <v>0</v>
      </c>
      <c r="G130" s="62"/>
      <c r="H130" s="62"/>
      <c r="I130" s="62"/>
      <c r="J130" s="62"/>
      <c r="K130" s="62"/>
      <c r="L130" s="62"/>
      <c r="M130" s="65"/>
    </row>
    <row r="131" ht="14.25" customHeight="1">
      <c r="A131" s="62"/>
      <c r="B131" s="62"/>
      <c r="C131" s="63"/>
      <c r="D131" s="63"/>
      <c r="E131" s="64" t="n">
        <f t="shared" si="2"/>
        <v>0</v>
      </c>
      <c r="F131" s="64" t="n">
        <f t="shared" si="1"/>
        <v>0</v>
      </c>
      <c r="G131" s="63"/>
      <c r="H131" s="63"/>
      <c r="I131" s="63"/>
      <c r="J131" s="63"/>
      <c r="K131" s="63"/>
      <c r="L131" s="63"/>
      <c r="M131" s="63"/>
    </row>
    <row r="132" ht="14.25" customHeight="1">
      <c r="A132" s="62"/>
      <c r="B132" s="62"/>
      <c r="C132" s="62"/>
      <c r="D132" s="63"/>
      <c r="E132" s="64" t="n">
        <f t="shared" si="2"/>
        <v>0</v>
      </c>
      <c r="F132" s="64" t="n">
        <f t="shared" si="1"/>
        <v>0</v>
      </c>
      <c r="G132" s="62"/>
      <c r="H132" s="62"/>
      <c r="I132" s="62"/>
      <c r="J132" s="62"/>
      <c r="K132" s="62"/>
      <c r="L132" s="62"/>
      <c r="M132" s="65"/>
    </row>
    <row r="133" ht="14.25" customHeight="1">
      <c r="A133" s="62"/>
      <c r="B133" s="62"/>
      <c r="C133" s="62"/>
      <c r="D133" s="63"/>
      <c r="E133" s="64" t="n">
        <f t="shared" si="2"/>
        <v>0</v>
      </c>
      <c r="F133" s="64" t="n">
        <f t="shared" si="1"/>
        <v>0</v>
      </c>
      <c r="G133" s="62"/>
      <c r="H133" s="62"/>
      <c r="I133" s="62"/>
      <c r="J133" s="62"/>
      <c r="K133" s="62"/>
      <c r="L133" s="62"/>
      <c r="M133" s="65"/>
    </row>
    <row r="134" ht="14.25" customHeight="1">
      <c r="A134" s="62"/>
      <c r="B134" s="62"/>
      <c r="C134" s="63"/>
      <c r="D134" s="63"/>
      <c r="E134" s="64" t="n">
        <f t="shared" si="2"/>
        <v>0</v>
      </c>
      <c r="F134" s="64" t="n">
        <f t="shared" si="1"/>
        <v>0</v>
      </c>
      <c r="G134" s="63"/>
      <c r="H134" s="63"/>
      <c r="I134" s="63"/>
      <c r="J134" s="63"/>
      <c r="K134" s="63"/>
      <c r="L134" s="63"/>
      <c r="M134" s="63"/>
    </row>
    <row r="135" ht="14.25" customHeight="1">
      <c r="A135" s="62"/>
      <c r="B135" s="62"/>
      <c r="C135" s="62"/>
      <c r="D135" s="63"/>
      <c r="E135" s="64" t="n">
        <f t="shared" si="2"/>
        <v>0</v>
      </c>
      <c r="F135" s="64" t="n">
        <f t="shared" si="1"/>
        <v>0</v>
      </c>
      <c r="G135" s="62"/>
      <c r="H135" s="62"/>
      <c r="I135" s="62"/>
      <c r="J135" s="62"/>
      <c r="K135" s="62"/>
      <c r="L135" s="62"/>
      <c r="M135" s="65"/>
    </row>
    <row r="136" ht="14.25" customHeight="1">
      <c r="A136" s="62"/>
      <c r="B136" s="62"/>
      <c r="C136" s="62"/>
      <c r="D136" s="63"/>
      <c r="E136" s="64" t="n">
        <f t="shared" si="2"/>
        <v>0</v>
      </c>
      <c r="F136" s="64" t="n">
        <f t="shared" si="1"/>
        <v>0</v>
      </c>
      <c r="G136" s="62"/>
      <c r="H136" s="62"/>
      <c r="I136" s="62"/>
      <c r="J136" s="62"/>
      <c r="K136" s="62"/>
      <c r="L136" s="62"/>
      <c r="M136" s="65"/>
    </row>
    <row r="137" ht="14.25" customHeight="1">
      <c r="A137" s="62"/>
      <c r="B137" s="62"/>
      <c r="C137" s="63"/>
      <c r="D137" s="63"/>
      <c r="E137" s="64" t="n">
        <f t="shared" si="2"/>
        <v>0</v>
      </c>
      <c r="F137" s="64" t="n">
        <f t="shared" si="1"/>
        <v>0</v>
      </c>
      <c r="G137" s="63"/>
      <c r="H137" s="63"/>
      <c r="I137" s="63"/>
      <c r="J137" s="63"/>
      <c r="K137" s="63"/>
      <c r="L137" s="63"/>
      <c r="M137" s="63"/>
    </row>
    <row r="138" ht="14.25" customHeight="1">
      <c r="A138" s="62"/>
      <c r="B138" s="62"/>
      <c r="C138" s="62"/>
      <c r="D138" s="63"/>
      <c r="E138" s="64" t="n">
        <f t="shared" si="2"/>
        <v>0</v>
      </c>
      <c r="F138" s="64" t="n">
        <f t="shared" si="1"/>
        <v>0</v>
      </c>
      <c r="G138" s="62"/>
      <c r="H138" s="62"/>
      <c r="I138" s="62"/>
      <c r="J138" s="62"/>
      <c r="K138" s="62"/>
      <c r="L138" s="62"/>
      <c r="M138" s="65"/>
    </row>
    <row r="139" ht="14.25" customHeight="1">
      <c r="A139" s="62"/>
      <c r="B139" s="62"/>
      <c r="C139" s="62"/>
      <c r="D139" s="63"/>
      <c r="E139" s="64" t="n">
        <f t="shared" si="2"/>
        <v>0</v>
      </c>
      <c r="F139" s="64" t="n">
        <f t="shared" si="1"/>
        <v>0</v>
      </c>
      <c r="G139" s="62"/>
      <c r="H139" s="62"/>
      <c r="I139" s="62"/>
      <c r="J139" s="62"/>
      <c r="K139" s="62"/>
      <c r="L139" s="62"/>
      <c r="M139" s="65"/>
    </row>
    <row r="140" ht="14.25" customHeight="1">
      <c r="A140" s="62"/>
      <c r="B140" s="62"/>
      <c r="C140" s="63"/>
      <c r="D140" s="63"/>
      <c r="E140" s="64" t="n">
        <f t="shared" si="2"/>
        <v>0</v>
      </c>
      <c r="F140" s="64" t="n">
        <f t="shared" si="1"/>
        <v>0</v>
      </c>
      <c r="G140" s="63"/>
      <c r="H140" s="63"/>
      <c r="I140" s="63"/>
      <c r="J140" s="63"/>
      <c r="K140" s="63"/>
      <c r="L140" s="63"/>
      <c r="M140" s="63"/>
    </row>
    <row r="141" ht="14.25" customHeight="1">
      <c r="A141" s="62"/>
      <c r="B141" s="62"/>
      <c r="C141" s="62"/>
      <c r="D141" s="63"/>
      <c r="E141" s="64" t="n">
        <f t="shared" si="2"/>
        <v>0</v>
      </c>
      <c r="F141" s="64" t="n">
        <f t="shared" si="1"/>
        <v>0</v>
      </c>
      <c r="G141" s="62"/>
      <c r="H141" s="62"/>
      <c r="I141" s="62"/>
      <c r="J141" s="62"/>
      <c r="K141" s="62"/>
      <c r="L141" s="62"/>
      <c r="M141" s="65"/>
    </row>
    <row r="142" ht="14.25" customHeight="1">
      <c r="A142" s="62"/>
      <c r="B142" s="62"/>
      <c r="C142" s="63"/>
      <c r="D142" s="63"/>
      <c r="E142" s="64" t="n">
        <f t="shared" si="2"/>
        <v>0</v>
      </c>
      <c r="F142" s="64" t="n">
        <f t="shared" si="1"/>
        <v>0</v>
      </c>
      <c r="G142" s="63"/>
      <c r="H142" s="63"/>
      <c r="I142" s="63"/>
      <c r="J142" s="63"/>
      <c r="K142" s="63"/>
      <c r="L142" s="63"/>
      <c r="M142" s="63"/>
    </row>
    <row r="143" ht="14.25" customHeight="1">
      <c r="A143" s="62"/>
      <c r="B143" s="62"/>
      <c r="C143" s="62"/>
      <c r="D143" s="63"/>
      <c r="E143" s="64" t="n">
        <f t="shared" si="2"/>
        <v>0</v>
      </c>
      <c r="F143" s="64" t="n">
        <f t="shared" si="1"/>
        <v>0</v>
      </c>
      <c r="G143" s="62"/>
      <c r="H143" s="62"/>
      <c r="I143" s="62"/>
      <c r="J143" s="62"/>
      <c r="K143" s="62"/>
      <c r="L143" s="62"/>
      <c r="M143" s="65"/>
    </row>
    <row r="144" ht="14.25" customHeight="1">
      <c r="A144" s="62"/>
      <c r="B144" s="62"/>
      <c r="C144" s="62"/>
      <c r="D144" s="63"/>
      <c r="E144" s="64" t="n">
        <f t="shared" si="2"/>
        <v>0</v>
      </c>
      <c r="F144" s="64" t="n">
        <f t="shared" si="1"/>
        <v>0</v>
      </c>
      <c r="G144" s="62"/>
      <c r="H144" s="62"/>
      <c r="I144" s="62"/>
      <c r="J144" s="62"/>
      <c r="K144" s="62"/>
      <c r="L144" s="62"/>
      <c r="M144" s="65"/>
    </row>
    <row r="145" ht="14.25" customHeight="1">
      <c r="A145" s="62"/>
      <c r="B145" s="62"/>
      <c r="C145" s="63"/>
      <c r="D145" s="63"/>
      <c r="E145" s="64" t="n">
        <f t="shared" si="2"/>
        <v>0</v>
      </c>
      <c r="F145" s="64" t="n">
        <f t="shared" si="1"/>
        <v>0</v>
      </c>
      <c r="G145" s="63"/>
      <c r="H145" s="63"/>
      <c r="I145" s="63"/>
      <c r="J145" s="63"/>
      <c r="K145" s="63"/>
      <c r="L145" s="63"/>
      <c r="M145" s="63"/>
    </row>
    <row r="146" ht="14.25" customHeight="1">
      <c r="A146" s="62"/>
      <c r="B146" s="62"/>
      <c r="C146" s="62"/>
      <c r="D146" s="63"/>
      <c r="E146" s="64" t="n">
        <f t="shared" si="2"/>
        <v>0</v>
      </c>
      <c r="F146" s="64" t="n">
        <f t="shared" si="1"/>
        <v>0</v>
      </c>
      <c r="G146" s="62"/>
      <c r="H146" s="62"/>
      <c r="I146" s="62"/>
      <c r="J146" s="62"/>
      <c r="K146" s="62"/>
      <c r="L146" s="62"/>
      <c r="M146" s="65"/>
    </row>
    <row r="147" ht="14.25" customHeight="1">
      <c r="A147" s="62"/>
      <c r="B147" s="62"/>
      <c r="C147" s="62"/>
      <c r="D147" s="63"/>
      <c r="E147" s="64" t="n">
        <f t="shared" si="2"/>
        <v>0</v>
      </c>
      <c r="F147" s="64" t="n">
        <f t="shared" si="1"/>
        <v>0</v>
      </c>
      <c r="G147" s="62"/>
      <c r="H147" s="62"/>
      <c r="I147" s="62"/>
      <c r="J147" s="62"/>
      <c r="K147" s="62"/>
      <c r="L147" s="62"/>
      <c r="M147" s="65"/>
    </row>
    <row r="148" ht="14.25" customHeight="1">
      <c r="A148" s="62"/>
      <c r="B148" s="62"/>
      <c r="C148" s="63"/>
      <c r="D148" s="63"/>
      <c r="E148" s="64" t="n">
        <f t="shared" si="2"/>
        <v>0</v>
      </c>
      <c r="F148" s="64" t="n">
        <f t="shared" si="1"/>
        <v>0</v>
      </c>
      <c r="G148" s="63"/>
      <c r="H148" s="63"/>
      <c r="I148" s="63"/>
      <c r="J148" s="63"/>
      <c r="K148" s="63"/>
      <c r="L148" s="63"/>
      <c r="M148" s="63"/>
    </row>
    <row r="149" ht="14.25" customHeight="1">
      <c r="A149" s="62"/>
      <c r="B149" s="62"/>
      <c r="C149" s="62"/>
      <c r="D149" s="63"/>
      <c r="E149" s="64" t="n">
        <f t="shared" si="2"/>
        <v>0</v>
      </c>
      <c r="F149" s="64" t="n">
        <f t="shared" si="1"/>
        <v>0</v>
      </c>
      <c r="G149" s="62"/>
      <c r="H149" s="62"/>
      <c r="I149" s="62"/>
      <c r="J149" s="62"/>
      <c r="K149" s="62"/>
      <c r="L149" s="62"/>
      <c r="M149" s="65"/>
    </row>
    <row r="150" ht="14.25" customHeight="1">
      <c r="A150" s="62"/>
      <c r="B150" s="62"/>
      <c r="C150" s="62"/>
      <c r="D150" s="63"/>
      <c r="E150" s="64" t="n">
        <f t="shared" si="2"/>
        <v>0</v>
      </c>
      <c r="F150" s="64" t="n">
        <f t="shared" si="1"/>
        <v>0</v>
      </c>
      <c r="G150" s="62"/>
      <c r="H150" s="62"/>
      <c r="I150" s="62"/>
      <c r="J150" s="62"/>
      <c r="K150" s="62"/>
      <c r="L150" s="62"/>
      <c r="M150" s="65"/>
    </row>
    <row r="151" ht="14.25" customHeight="1">
      <c r="A151" s="62"/>
      <c r="B151" s="62"/>
      <c r="C151" s="63"/>
      <c r="D151" s="63"/>
      <c r="E151" s="64" t="n">
        <f t="shared" si="2"/>
        <v>0</v>
      </c>
      <c r="F151" s="64" t="n">
        <f t="shared" si="1"/>
        <v>0</v>
      </c>
      <c r="G151" s="63"/>
      <c r="H151" s="63"/>
      <c r="I151" s="63"/>
      <c r="J151" s="63"/>
      <c r="K151" s="63"/>
      <c r="L151" s="63"/>
      <c r="M151" s="63"/>
    </row>
    <row r="152" ht="14.25" customHeight="1">
      <c r="A152" s="62"/>
      <c r="B152" s="62"/>
      <c r="C152" s="62"/>
      <c r="D152" s="63"/>
      <c r="E152" s="64" t="n">
        <f t="shared" si="2"/>
        <v>0</v>
      </c>
      <c r="F152" s="64" t="n">
        <f t="shared" si="1"/>
        <v>0</v>
      </c>
      <c r="G152" s="62"/>
      <c r="H152" s="62"/>
      <c r="I152" s="62"/>
      <c r="J152" s="62"/>
      <c r="K152" s="62"/>
      <c r="L152" s="62"/>
      <c r="M152" s="65"/>
    </row>
    <row r="153" ht="14.25" customHeight="1">
      <c r="A153" s="62"/>
      <c r="B153" s="62"/>
      <c r="C153" s="62"/>
      <c r="D153" s="63"/>
      <c r="E153" s="64" t="n">
        <f t="shared" si="2"/>
        <v>0</v>
      </c>
      <c r="F153" s="64" t="n">
        <f t="shared" si="1"/>
        <v>0</v>
      </c>
      <c r="G153" s="62"/>
      <c r="H153" s="62"/>
      <c r="I153" s="62"/>
      <c r="J153" s="62"/>
      <c r="K153" s="62"/>
      <c r="L153" s="62"/>
      <c r="M153" s="65"/>
    </row>
    <row r="154" ht="14.25" customHeight="1">
      <c r="A154" s="62"/>
      <c r="B154" s="62"/>
      <c r="C154" s="63"/>
      <c r="D154" s="63"/>
      <c r="E154" s="64" t="n">
        <f t="shared" si="2"/>
        <v>0</v>
      </c>
      <c r="F154" s="64" t="n">
        <f t="shared" si="1"/>
        <v>0</v>
      </c>
      <c r="G154" s="63"/>
      <c r="H154" s="63"/>
      <c r="I154" s="63"/>
      <c r="J154" s="63"/>
      <c r="K154" s="63"/>
      <c r="L154" s="63"/>
      <c r="M154" s="63"/>
    </row>
    <row r="155" ht="14.25" customHeight="1">
      <c r="A155" s="62"/>
      <c r="B155" s="62"/>
      <c r="C155" s="62"/>
      <c r="D155" s="63"/>
      <c r="E155" s="64" t="n">
        <f t="shared" si="2"/>
        <v>0</v>
      </c>
      <c r="F155" s="64" t="n">
        <f t="shared" si="1"/>
        <v>0</v>
      </c>
      <c r="G155" s="62"/>
      <c r="H155" s="62"/>
      <c r="I155" s="62"/>
      <c r="J155" s="62"/>
      <c r="K155" s="62"/>
      <c r="L155" s="62"/>
      <c r="M155" s="65"/>
    </row>
    <row r="156" ht="14.25" customHeight="1">
      <c r="A156" s="62"/>
      <c r="B156" s="62"/>
      <c r="C156" s="62"/>
      <c r="D156" s="63"/>
      <c r="E156" s="64" t="n">
        <f t="shared" si="2"/>
        <v>0</v>
      </c>
      <c r="F156" s="64" t="n">
        <f t="shared" si="1"/>
        <v>0</v>
      </c>
      <c r="G156" s="62"/>
      <c r="H156" s="62"/>
      <c r="I156" s="62"/>
      <c r="J156" s="62"/>
      <c r="K156" s="62"/>
      <c r="L156" s="62"/>
      <c r="M156" s="65"/>
    </row>
    <row r="157" ht="14.25" customHeight="1">
      <c r="A157" s="62"/>
      <c r="B157" s="62"/>
      <c r="C157" s="63"/>
      <c r="D157" s="63"/>
      <c r="E157" s="64" t="n">
        <f t="shared" si="2"/>
        <v>0</v>
      </c>
      <c r="F157" s="64" t="n">
        <f t="shared" si="1"/>
        <v>0</v>
      </c>
      <c r="G157" s="63"/>
      <c r="H157" s="63"/>
      <c r="I157" s="63"/>
      <c r="J157" s="63"/>
      <c r="K157" s="63"/>
      <c r="L157" s="63"/>
      <c r="M157" s="63"/>
    </row>
    <row r="158" ht="14.25" customHeight="1">
      <c r="A158" s="62"/>
      <c r="B158" s="62"/>
      <c r="C158" s="62"/>
      <c r="D158" s="63"/>
      <c r="E158" s="64" t="n">
        <f t="shared" si="2"/>
        <v>0</v>
      </c>
      <c r="F158" s="64" t="n">
        <f t="shared" si="1"/>
        <v>0</v>
      </c>
      <c r="G158" s="62"/>
      <c r="H158" s="62"/>
      <c r="I158" s="62"/>
      <c r="J158" s="62"/>
      <c r="K158" s="62"/>
      <c r="L158" s="62"/>
      <c r="M158" s="65"/>
    </row>
    <row r="159" ht="14.25" customHeight="1">
      <c r="A159" s="62"/>
      <c r="B159" s="62"/>
      <c r="C159" s="63"/>
      <c r="D159" s="63"/>
      <c r="E159" s="64" t="n">
        <f t="shared" si="2"/>
        <v>0</v>
      </c>
      <c r="F159" s="64" t="n">
        <f t="shared" si="1"/>
        <v>0</v>
      </c>
      <c r="G159" s="63"/>
      <c r="H159" s="63"/>
      <c r="I159" s="63"/>
      <c r="J159" s="63"/>
      <c r="K159" s="63"/>
      <c r="L159" s="63"/>
      <c r="M159" s="63"/>
    </row>
    <row r="160" ht="14.25" customHeight="1">
      <c r="A160" s="62"/>
      <c r="B160" s="62"/>
      <c r="C160" s="62"/>
      <c r="D160" s="63"/>
      <c r="E160" s="64" t="n">
        <f t="shared" si="2"/>
        <v>0</v>
      </c>
      <c r="F160" s="64" t="n">
        <f t="shared" si="1"/>
        <v>0</v>
      </c>
      <c r="G160" s="62"/>
      <c r="H160" s="62"/>
      <c r="I160" s="62"/>
      <c r="J160" s="62"/>
      <c r="K160" s="62"/>
      <c r="L160" s="62"/>
      <c r="M160" s="65"/>
    </row>
    <row r="161" ht="14.25" customHeight="1">
      <c r="A161" s="62"/>
      <c r="B161" s="62"/>
      <c r="C161" s="62"/>
      <c r="D161" s="63"/>
      <c r="E161" s="64" t="n">
        <f t="shared" si="2"/>
        <v>0</v>
      </c>
      <c r="F161" s="64" t="n">
        <f t="shared" si="1"/>
        <v>0</v>
      </c>
      <c r="G161" s="62"/>
      <c r="H161" s="62"/>
      <c r="I161" s="62"/>
      <c r="J161" s="62"/>
      <c r="K161" s="62"/>
      <c r="L161" s="62"/>
      <c r="M161" s="65"/>
    </row>
    <row r="162" ht="14.25" customHeight="1">
      <c r="A162" s="62"/>
      <c r="B162" s="62"/>
      <c r="C162" s="63"/>
      <c r="D162" s="63"/>
      <c r="E162" s="64" t="n">
        <f t="shared" si="2"/>
        <v>0</v>
      </c>
      <c r="F162" s="64" t="n">
        <f t="shared" si="1"/>
        <v>0</v>
      </c>
      <c r="G162" s="63"/>
      <c r="H162" s="63"/>
      <c r="I162" s="63"/>
      <c r="J162" s="63"/>
      <c r="K162" s="63"/>
      <c r="L162" s="63"/>
      <c r="M162" s="63"/>
    </row>
    <row r="163" ht="14.25" customHeight="1">
      <c r="A163" s="62"/>
      <c r="B163" s="62"/>
      <c r="C163" s="62"/>
      <c r="D163" s="63"/>
      <c r="E163" s="64" t="n">
        <f t="shared" si="2"/>
        <v>0</v>
      </c>
      <c r="F163" s="64" t="n">
        <f t="shared" si="1"/>
        <v>0</v>
      </c>
      <c r="G163" s="62"/>
      <c r="H163" s="62"/>
      <c r="I163" s="62"/>
      <c r="J163" s="62"/>
      <c r="K163" s="62"/>
      <c r="L163" s="62"/>
      <c r="M163" s="65"/>
    </row>
    <row r="164" ht="14.25" customHeight="1">
      <c r="A164" s="62"/>
      <c r="B164" s="62"/>
      <c r="C164" s="62"/>
      <c r="D164" s="63"/>
      <c r="E164" s="64" t="n">
        <f t="shared" si="2"/>
        <v>0</v>
      </c>
      <c r="F164" s="64" t="n">
        <f t="shared" si="1"/>
        <v>0</v>
      </c>
      <c r="G164" s="62"/>
      <c r="H164" s="62"/>
      <c r="I164" s="62"/>
      <c r="J164" s="62"/>
      <c r="K164" s="62"/>
      <c r="L164" s="62"/>
      <c r="M164" s="65"/>
    </row>
    <row r="165" ht="14.25" customHeight="1">
      <c r="A165" s="62"/>
      <c r="B165" s="62"/>
      <c r="C165" s="63"/>
      <c r="D165" s="63"/>
      <c r="E165" s="64" t="n">
        <f t="shared" si="2"/>
        <v>0</v>
      </c>
      <c r="F165" s="64" t="n">
        <f t="shared" si="1"/>
        <v>0</v>
      </c>
      <c r="G165" s="63"/>
      <c r="H165" s="63"/>
      <c r="I165" s="63"/>
      <c r="J165" s="63"/>
      <c r="K165" s="63"/>
      <c r="L165" s="63"/>
      <c r="M165" s="63"/>
    </row>
    <row r="166" ht="14.25" customHeight="1">
      <c r="A166" s="62"/>
      <c r="B166" s="62"/>
      <c r="C166" s="62"/>
      <c r="D166" s="63"/>
      <c r="E166" s="64" t="n">
        <f t="shared" si="2"/>
        <v>0</v>
      </c>
      <c r="F166" s="64" t="n">
        <f t="shared" si="1"/>
        <v>0</v>
      </c>
      <c r="G166" s="62"/>
      <c r="H166" s="62"/>
      <c r="I166" s="62"/>
      <c r="J166" s="62"/>
      <c r="K166" s="62"/>
      <c r="L166" s="62"/>
      <c r="M166" s="65"/>
    </row>
    <row r="167" ht="14.25" customHeight="1">
      <c r="A167" s="62"/>
      <c r="B167" s="62"/>
      <c r="C167" s="62"/>
      <c r="D167" s="63"/>
      <c r="E167" s="64" t="n">
        <f t="shared" si="2"/>
        <v>0</v>
      </c>
      <c r="F167" s="64" t="n">
        <f t="shared" si="1"/>
        <v>0</v>
      </c>
      <c r="G167" s="62"/>
      <c r="H167" s="62"/>
      <c r="I167" s="62"/>
      <c r="J167" s="62"/>
      <c r="K167" s="62"/>
      <c r="L167" s="62"/>
      <c r="M167" s="65"/>
    </row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4:N4"/>
    <mergeCell ref="A6:H6"/>
    <mergeCell ref="A8:H8"/>
    <mergeCell ref="A9:H9"/>
    <mergeCell ref="A10:H10"/>
    <mergeCell ref="A14:N15"/>
  </mergeCells>
  <dataValidations count="2">
    <dataValidation type="list" allowBlank="1" showErrorMessage="1" sqref="B17:B167">
      <formula1>'listas de opções'!$E$2:$E$64</formula1>
    </dataValidation>
    <dataValidation type="list" allowBlank="1" showErrorMessage="1" sqref="A17:A167">
      <formula1>'listas de opções'!$C$2:$C$18</formula1>
    </dataValidation>
  </dataValidations>
  <pageMargins bottom="0.787401575" footer="0.0" header="0.0" left="0.511811024" right="0.511811024" top="0.78740157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0.71" hidden="0" customWidth="1"/>
    <col min="2" max="2" width="11.57" hidden="0" customWidth="1"/>
    <col min="3" max="3" width="13.57" hidden="0" customWidth="1"/>
    <col min="4" max="4" width="19.29" hidden="0" customWidth="1"/>
    <col min="5" max="5" width="14.43" hidden="0" customWidth="1"/>
    <col min="6" max="6" width="18.29" hidden="0" customWidth="1"/>
    <col min="7" max="7" width="12.71" hidden="0" customWidth="1"/>
    <col min="8" max="8" width="15.57" hidden="0" customWidth="1"/>
    <col min="9" max="9" width="15.57" hidden="0" customWidth="1"/>
    <col min="10" max="10" width="15.57" hidden="0" customWidth="1"/>
    <col min="11" max="11" width="15.57" hidden="0" customWidth="1"/>
    <col min="12" max="12" width="15.57" hidden="0" customWidth="1"/>
    <col min="13" max="13" width="29.14" hidden="0" customWidth="1"/>
    <col min="14" max="14" width="11.86" hidden="0" customWidth="1"/>
    <col min="15" max="15" width="16.29" hidden="0" customWidth="1"/>
  </cols>
  <sheetData>
    <row r="1" ht="14.25" customHeight="1">
      <c r="A1" s="40" t="s">
        <v>103</v>
      </c>
      <c r="B1" s="66" t="str">
        <f>'Tabela 1 APS - Descr.'!B1</f>
        <v>RRAS 17</v>
      </c>
    </row>
    <row r="2" ht="14.25" customHeight="1"/>
    <row r="3" ht="14.25" customHeight="1">
      <c r="A3" s="42" t="s">
        <v>271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4"/>
    </row>
    <row r="4" ht="14.25" customHeight="1">
      <c r="A4" s="67" t="s">
        <v>272</v>
      </c>
      <c r="B4" s="68"/>
      <c r="C4" s="68"/>
      <c r="D4" s="68"/>
      <c r="E4" s="68"/>
      <c r="F4" s="68"/>
      <c r="G4" s="68"/>
      <c r="H4" s="69"/>
      <c r="I4" s="69"/>
      <c r="J4" s="69"/>
      <c r="K4" s="69"/>
      <c r="L4" s="69"/>
      <c r="M4" s="69"/>
      <c r="N4" s="69"/>
    </row>
    <row r="5" ht="14.25" customHeight="1">
      <c r="A5" s="46"/>
      <c r="I5" s="69"/>
      <c r="J5" s="69"/>
      <c r="K5" s="69"/>
      <c r="L5" s="69"/>
      <c r="M5" s="69"/>
      <c r="N5" s="69"/>
      <c r="O5" s="69"/>
    </row>
    <row r="6" ht="14.25" customHeight="1">
      <c r="A6" s="46" t="s">
        <v>273</v>
      </c>
      <c r="H6" s="69"/>
      <c r="I6" s="69"/>
      <c r="J6" s="69"/>
      <c r="K6" s="69"/>
      <c r="L6" s="69"/>
      <c r="M6" s="69"/>
      <c r="N6" s="69"/>
    </row>
    <row r="7" ht="14.25" customHeight="1">
      <c r="A7" s="46" t="s">
        <v>274</v>
      </c>
      <c r="H7" s="47"/>
      <c r="I7" s="69"/>
      <c r="J7" s="69"/>
      <c r="K7" s="69"/>
      <c r="L7" s="69"/>
      <c r="M7" s="69"/>
      <c r="N7" s="69"/>
      <c r="O7" s="69"/>
    </row>
    <row r="8" ht="14.25" customHeight="1">
      <c r="A8" s="48" t="s">
        <v>275</v>
      </c>
      <c r="H8" s="47"/>
      <c r="I8" s="69"/>
      <c r="J8" s="69"/>
      <c r="K8" s="69"/>
      <c r="L8" s="69"/>
      <c r="M8" s="69"/>
      <c r="N8" s="69"/>
      <c r="O8" s="69"/>
    </row>
    <row r="9" ht="14.25" customHeight="1">
      <c r="A9" s="70" t="s">
        <v>276</v>
      </c>
      <c r="B9" s="71"/>
      <c r="C9" s="71"/>
      <c r="D9" s="71"/>
      <c r="E9" s="71"/>
      <c r="F9" s="71"/>
      <c r="G9" s="71"/>
      <c r="H9" s="72"/>
      <c r="I9" s="69"/>
      <c r="J9" s="69"/>
      <c r="K9" s="69"/>
      <c r="L9" s="69"/>
      <c r="M9" s="69"/>
      <c r="N9" s="69"/>
      <c r="O9" s="69"/>
    </row>
    <row r="10" ht="15.0" customHeight="1">
      <c r="A10" s="73" t="s">
        <v>277</v>
      </c>
      <c r="B10" s="13"/>
      <c r="C10" s="13"/>
      <c r="D10" s="13"/>
      <c r="E10" s="13"/>
      <c r="F10" s="13"/>
      <c r="G10" s="13"/>
      <c r="H10" s="56"/>
      <c r="I10" s="69"/>
      <c r="J10" s="69"/>
      <c r="K10" s="69"/>
      <c r="L10" s="69"/>
      <c r="M10" s="69"/>
      <c r="N10" s="69"/>
      <c r="O10" s="69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>
      <c r="A16" s="74" t="s">
        <v>278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4"/>
    </row>
    <row r="17" ht="14.25" customHeight="1">
      <c r="A17" s="55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56"/>
    </row>
    <row r="18" ht="113.25" customHeight="1">
      <c r="A18" s="57" t="s">
        <v>1</v>
      </c>
      <c r="B18" s="57" t="s">
        <v>119</v>
      </c>
      <c r="C18" s="57" t="s">
        <v>120</v>
      </c>
      <c r="D18" s="60" t="s">
        <v>279</v>
      </c>
      <c r="E18" s="60" t="s">
        <v>280</v>
      </c>
      <c r="F18" s="57" t="s">
        <v>258</v>
      </c>
      <c r="G18" s="57" t="s">
        <v>120</v>
      </c>
      <c r="H18" s="57" t="s">
        <v>281</v>
      </c>
      <c r="I18" s="57" t="s">
        <v>282</v>
      </c>
      <c r="J18" s="57" t="s">
        <v>283</v>
      </c>
      <c r="K18" s="57" t="s">
        <v>284</v>
      </c>
      <c r="L18" s="57" t="s">
        <v>285</v>
      </c>
      <c r="M18" s="57" t="s">
        <v>120</v>
      </c>
      <c r="N18" s="57" t="s">
        <v>286</v>
      </c>
    </row>
    <row r="19" ht="14.25" customHeight="1">
      <c r="A19" s="62" t="s">
        <v>130</v>
      </c>
      <c r="B19" s="62" t="s">
        <v>131</v>
      </c>
      <c r="C19" s="62" t="s">
        <v>138</v>
      </c>
      <c r="D19" s="75" t="n">
        <v>229.0</v>
      </c>
      <c r="E19" s="75"/>
      <c r="F19" s="75" t="s">
        <v>264</v>
      </c>
      <c r="G19" s="75"/>
      <c r="H19" s="76" t="n">
        <f t="shared" ref="H19:H168" si="1">(D19*92/100)*3</f>
        <v>632.04</v>
      </c>
      <c r="I19" s="76" t="n">
        <f t="shared" ref="I19:I168" si="2">(D19*92/100)*4</f>
        <v>842.72</v>
      </c>
      <c r="J19" s="76" t="n">
        <f t="shared" ref="J19:J168" si="3">(D19*8/100)*7</f>
        <v>128.24</v>
      </c>
      <c r="K19" s="76" t="n">
        <f t="shared" ref="K19:K168" si="4">(D19*8/100)*6</f>
        <v>109.92</v>
      </c>
      <c r="L19" s="75"/>
      <c r="M19" s="75"/>
      <c r="N19" s="75"/>
    </row>
    <row r="20" ht="14.25" customHeight="1">
      <c r="A20" s="62" t="s">
        <v>130</v>
      </c>
      <c r="B20" s="62" t="s">
        <v>131</v>
      </c>
      <c r="C20" s="62" t="s">
        <v>134</v>
      </c>
      <c r="D20" s="75" t="n">
        <v>369.0</v>
      </c>
      <c r="E20" s="75"/>
      <c r="F20" s="75" t="s">
        <v>264</v>
      </c>
      <c r="G20" s="75"/>
      <c r="H20" s="76" t="n">
        <f t="shared" si="1"/>
        <v>1018.44</v>
      </c>
      <c r="I20" s="76" t="n">
        <f t="shared" si="2"/>
        <v>1357.92</v>
      </c>
      <c r="J20" s="76" t="n">
        <f t="shared" si="3"/>
        <v>206.64</v>
      </c>
      <c r="K20" s="76" t="n">
        <f t="shared" si="4"/>
        <v>177.12</v>
      </c>
      <c r="L20" s="75"/>
      <c r="M20" s="75"/>
      <c r="N20" s="75"/>
    </row>
    <row r="21" ht="14.25" customHeight="1">
      <c r="A21" s="62" t="s">
        <v>130</v>
      </c>
      <c r="B21" s="62" t="s">
        <v>131</v>
      </c>
      <c r="C21" s="62" t="s">
        <v>134</v>
      </c>
      <c r="D21" s="75" t="n">
        <v>78.0</v>
      </c>
      <c r="E21" s="75"/>
      <c r="F21" s="75" t="s">
        <v>262</v>
      </c>
      <c r="G21" s="75"/>
      <c r="H21" s="76" t="n">
        <f t="shared" si="1"/>
        <v>215.28</v>
      </c>
      <c r="I21" s="76" t="n">
        <f t="shared" si="2"/>
        <v>287.04</v>
      </c>
      <c r="J21" s="76" t="n">
        <f t="shared" si="3"/>
        <v>43.68</v>
      </c>
      <c r="K21" s="76" t="n">
        <f t="shared" si="4"/>
        <v>37.44</v>
      </c>
      <c r="L21" s="75"/>
      <c r="M21" s="75"/>
      <c r="N21" s="75"/>
    </row>
    <row r="22" ht="14.25" customHeight="1">
      <c r="A22" s="62" t="s">
        <v>130</v>
      </c>
      <c r="B22" s="62" t="s">
        <v>146</v>
      </c>
      <c r="C22" s="62" t="s">
        <v>160</v>
      </c>
      <c r="D22" s="75" t="n">
        <v>39.0</v>
      </c>
      <c r="E22" s="75"/>
      <c r="F22" s="75" t="s">
        <v>264</v>
      </c>
      <c r="G22" s="75"/>
      <c r="H22" s="76" t="n">
        <f t="shared" si="1"/>
        <v>107.64</v>
      </c>
      <c r="I22" s="76" t="n">
        <f t="shared" si="2"/>
        <v>143.52</v>
      </c>
      <c r="J22" s="76" t="n">
        <f t="shared" si="3"/>
        <v>21.84</v>
      </c>
      <c r="K22" s="76" t="n">
        <f t="shared" si="4"/>
        <v>18.72</v>
      </c>
      <c r="L22" s="75"/>
      <c r="M22" s="75"/>
      <c r="N22" s="75"/>
    </row>
    <row r="23" ht="14.25" customHeight="1">
      <c r="A23" s="62" t="s">
        <v>130</v>
      </c>
      <c r="B23" s="62" t="s">
        <v>146</v>
      </c>
      <c r="C23" s="62" t="s">
        <v>149</v>
      </c>
      <c r="D23" s="75" t="n">
        <v>114.0</v>
      </c>
      <c r="E23" s="75"/>
      <c r="F23" s="75" t="s">
        <v>264</v>
      </c>
      <c r="G23" s="75"/>
      <c r="H23" s="76" t="n">
        <f t="shared" si="1"/>
        <v>314.64</v>
      </c>
      <c r="I23" s="76" t="n">
        <f t="shared" si="2"/>
        <v>419.52</v>
      </c>
      <c r="J23" s="76" t="n">
        <f t="shared" si="3"/>
        <v>63.84</v>
      </c>
      <c r="K23" s="76" t="n">
        <f t="shared" si="4"/>
        <v>54.72</v>
      </c>
      <c r="L23" s="75"/>
      <c r="M23" s="75"/>
      <c r="N23" s="75"/>
    </row>
    <row r="24" ht="14.25" customHeight="1">
      <c r="A24" s="62" t="s">
        <v>130</v>
      </c>
      <c r="B24" s="62" t="s">
        <v>81</v>
      </c>
      <c r="C24" s="62" t="s">
        <v>170</v>
      </c>
      <c r="D24" s="75" t="n">
        <v>111.0</v>
      </c>
      <c r="E24" s="75"/>
      <c r="F24" s="75" t="s">
        <v>264</v>
      </c>
      <c r="G24" s="75"/>
      <c r="H24" s="76" t="n">
        <f t="shared" si="1"/>
        <v>306.36</v>
      </c>
      <c r="I24" s="76" t="n">
        <f t="shared" si="2"/>
        <v>408.48</v>
      </c>
      <c r="J24" s="76" t="n">
        <f t="shared" si="3"/>
        <v>62.16</v>
      </c>
      <c r="K24" s="76" t="n">
        <f t="shared" si="4"/>
        <v>53.28</v>
      </c>
      <c r="L24" s="75"/>
      <c r="M24" s="75"/>
      <c r="N24" s="75"/>
    </row>
    <row r="25" ht="14.25" customHeight="1">
      <c r="A25" s="62" t="s">
        <v>130</v>
      </c>
      <c r="B25" s="62" t="s">
        <v>183</v>
      </c>
      <c r="C25" s="62" t="s">
        <v>192</v>
      </c>
      <c r="D25" s="75" t="n">
        <v>136.0</v>
      </c>
      <c r="E25" s="75"/>
      <c r="F25" s="75" t="s">
        <v>264</v>
      </c>
      <c r="G25" s="75"/>
      <c r="H25" s="76" t="n">
        <f t="shared" si="1"/>
        <v>375.36</v>
      </c>
      <c r="I25" s="76" t="n">
        <f t="shared" si="2"/>
        <v>500.48</v>
      </c>
      <c r="J25" s="76" t="n">
        <f t="shared" si="3"/>
        <v>76.16</v>
      </c>
      <c r="K25" s="76" t="n">
        <f t="shared" si="4"/>
        <v>65.28</v>
      </c>
      <c r="L25" s="75"/>
      <c r="M25" s="75"/>
      <c r="N25" s="75"/>
    </row>
    <row r="26" ht="14.25" customHeight="1">
      <c r="A26" s="62" t="s">
        <v>130</v>
      </c>
      <c r="B26" s="62" t="s">
        <v>183</v>
      </c>
      <c r="C26" s="62" t="s">
        <v>59</v>
      </c>
      <c r="D26" s="75" t="n">
        <v>179.0</v>
      </c>
      <c r="E26" s="75"/>
      <c r="F26" s="75" t="s">
        <v>264</v>
      </c>
      <c r="G26" s="75"/>
      <c r="H26" s="76" t="n">
        <f t="shared" si="1"/>
        <v>494.04</v>
      </c>
      <c r="I26" s="76" t="n">
        <f t="shared" si="2"/>
        <v>658.72</v>
      </c>
      <c r="J26" s="76" t="n">
        <f t="shared" si="3"/>
        <v>100.24</v>
      </c>
      <c r="K26" s="76" t="n">
        <f t="shared" si="4"/>
        <v>85.92</v>
      </c>
      <c r="L26" s="75"/>
      <c r="M26" s="75"/>
      <c r="N26" s="75"/>
    </row>
    <row r="27" ht="14.25" customHeight="1">
      <c r="A27" s="62"/>
      <c r="B27" s="62"/>
      <c r="C27" s="62"/>
      <c r="D27" s="75"/>
      <c r="E27" s="75"/>
      <c r="F27" s="75"/>
      <c r="G27" s="75"/>
      <c r="H27" s="76" t="n">
        <f t="shared" si="1"/>
        <v>0</v>
      </c>
      <c r="I27" s="76" t="n">
        <f t="shared" si="2"/>
        <v>0</v>
      </c>
      <c r="J27" s="76" t="n">
        <f t="shared" si="3"/>
        <v>0</v>
      </c>
      <c r="K27" s="76" t="n">
        <f t="shared" si="4"/>
        <v>0</v>
      </c>
      <c r="L27" s="75"/>
      <c r="M27" s="75"/>
      <c r="N27" s="75"/>
    </row>
    <row r="28" ht="14.25" customHeight="1">
      <c r="A28" s="62"/>
      <c r="B28" s="62"/>
      <c r="C28" s="62"/>
      <c r="D28" s="75"/>
      <c r="E28" s="75"/>
      <c r="F28" s="75"/>
      <c r="G28" s="75"/>
      <c r="H28" s="76" t="n">
        <f t="shared" si="1"/>
        <v>0</v>
      </c>
      <c r="I28" s="76" t="n">
        <f t="shared" si="2"/>
        <v>0</v>
      </c>
      <c r="J28" s="76" t="n">
        <f t="shared" si="3"/>
        <v>0</v>
      </c>
      <c r="K28" s="76" t="n">
        <f t="shared" si="4"/>
        <v>0</v>
      </c>
      <c r="L28" s="75"/>
      <c r="M28" s="75"/>
      <c r="N28" s="75"/>
    </row>
    <row r="29" ht="14.25" customHeight="1">
      <c r="A29" s="62"/>
      <c r="B29" s="62"/>
      <c r="C29" s="62"/>
      <c r="D29" s="75"/>
      <c r="E29" s="75"/>
      <c r="F29" s="75"/>
      <c r="G29" s="75"/>
      <c r="H29" s="76" t="n">
        <f t="shared" si="1"/>
        <v>0</v>
      </c>
      <c r="I29" s="76" t="n">
        <f t="shared" si="2"/>
        <v>0</v>
      </c>
      <c r="J29" s="76" t="n">
        <f t="shared" si="3"/>
        <v>0</v>
      </c>
      <c r="K29" s="76" t="n">
        <f t="shared" si="4"/>
        <v>0</v>
      </c>
      <c r="L29" s="75"/>
      <c r="M29" s="75"/>
      <c r="N29" s="75"/>
    </row>
    <row r="30" ht="14.25" customHeight="1">
      <c r="A30" s="62"/>
      <c r="B30" s="62"/>
      <c r="C30" s="62"/>
      <c r="D30" s="75"/>
      <c r="E30" s="75"/>
      <c r="F30" s="75"/>
      <c r="G30" s="75"/>
      <c r="H30" s="76" t="n">
        <f t="shared" si="1"/>
        <v>0</v>
      </c>
      <c r="I30" s="76" t="n">
        <f t="shared" si="2"/>
        <v>0</v>
      </c>
      <c r="J30" s="76" t="n">
        <f t="shared" si="3"/>
        <v>0</v>
      </c>
      <c r="K30" s="76" t="n">
        <f t="shared" si="4"/>
        <v>0</v>
      </c>
      <c r="L30" s="75"/>
      <c r="M30" s="75"/>
      <c r="N30" s="75"/>
    </row>
    <row r="31" ht="14.25" customHeight="1">
      <c r="A31" s="62"/>
      <c r="B31" s="62"/>
      <c r="C31" s="62"/>
      <c r="D31" s="75"/>
      <c r="E31" s="75"/>
      <c r="F31" s="75"/>
      <c r="G31" s="75"/>
      <c r="H31" s="76" t="n">
        <f t="shared" si="1"/>
        <v>0</v>
      </c>
      <c r="I31" s="76" t="n">
        <f t="shared" si="2"/>
        <v>0</v>
      </c>
      <c r="J31" s="76" t="n">
        <f t="shared" si="3"/>
        <v>0</v>
      </c>
      <c r="K31" s="76" t="n">
        <f t="shared" si="4"/>
        <v>0</v>
      </c>
      <c r="L31" s="75"/>
      <c r="M31" s="75"/>
      <c r="N31" s="75"/>
    </row>
    <row r="32" ht="14.25" customHeight="1">
      <c r="A32" s="62"/>
      <c r="B32" s="62"/>
      <c r="C32" s="62"/>
      <c r="D32" s="75"/>
      <c r="E32" s="75"/>
      <c r="F32" s="75"/>
      <c r="G32" s="75"/>
      <c r="H32" s="76" t="n">
        <f t="shared" si="1"/>
        <v>0</v>
      </c>
      <c r="I32" s="76" t="n">
        <f t="shared" si="2"/>
        <v>0</v>
      </c>
      <c r="J32" s="76" t="n">
        <f t="shared" si="3"/>
        <v>0</v>
      </c>
      <c r="K32" s="76" t="n">
        <f t="shared" si="4"/>
        <v>0</v>
      </c>
      <c r="L32" s="75"/>
      <c r="M32" s="75"/>
      <c r="N32" s="75"/>
    </row>
    <row r="33" ht="14.25" customHeight="1">
      <c r="A33" s="62"/>
      <c r="B33" s="62"/>
      <c r="C33" s="62"/>
      <c r="D33" s="75"/>
      <c r="E33" s="75"/>
      <c r="F33" s="75"/>
      <c r="G33" s="75"/>
      <c r="H33" s="76" t="n">
        <f t="shared" si="1"/>
        <v>0</v>
      </c>
      <c r="I33" s="76" t="n">
        <f t="shared" si="2"/>
        <v>0</v>
      </c>
      <c r="J33" s="76" t="n">
        <f t="shared" si="3"/>
        <v>0</v>
      </c>
      <c r="K33" s="76" t="n">
        <f t="shared" si="4"/>
        <v>0</v>
      </c>
      <c r="L33" s="75"/>
      <c r="M33" s="75"/>
      <c r="N33" s="75"/>
    </row>
    <row r="34" ht="14.25" customHeight="1">
      <c r="A34" s="62"/>
      <c r="B34" s="62"/>
      <c r="C34" s="62"/>
      <c r="D34" s="75"/>
      <c r="E34" s="75"/>
      <c r="F34" s="75"/>
      <c r="G34" s="75"/>
      <c r="H34" s="76" t="n">
        <f t="shared" si="1"/>
        <v>0</v>
      </c>
      <c r="I34" s="76" t="n">
        <f t="shared" si="2"/>
        <v>0</v>
      </c>
      <c r="J34" s="76" t="n">
        <f t="shared" si="3"/>
        <v>0</v>
      </c>
      <c r="K34" s="76" t="n">
        <f t="shared" si="4"/>
        <v>0</v>
      </c>
      <c r="L34" s="75"/>
      <c r="M34" s="75"/>
      <c r="N34" s="75"/>
    </row>
    <row r="35" ht="14.25" customHeight="1">
      <c r="A35" s="62"/>
      <c r="B35" s="62"/>
      <c r="C35" s="62"/>
      <c r="D35" s="75"/>
      <c r="E35" s="75"/>
      <c r="F35" s="75"/>
      <c r="G35" s="75"/>
      <c r="H35" s="76" t="n">
        <f t="shared" si="1"/>
        <v>0</v>
      </c>
      <c r="I35" s="76" t="n">
        <f t="shared" si="2"/>
        <v>0</v>
      </c>
      <c r="J35" s="76" t="n">
        <f t="shared" si="3"/>
        <v>0</v>
      </c>
      <c r="K35" s="76" t="n">
        <f t="shared" si="4"/>
        <v>0</v>
      </c>
      <c r="L35" s="75"/>
      <c r="M35" s="75"/>
      <c r="N35" s="75"/>
    </row>
    <row r="36" ht="14.25" customHeight="1">
      <c r="A36" s="62"/>
      <c r="B36" s="62"/>
      <c r="C36" s="62"/>
      <c r="D36" s="75"/>
      <c r="E36" s="75"/>
      <c r="F36" s="75"/>
      <c r="G36" s="75"/>
      <c r="H36" s="76" t="n">
        <f t="shared" si="1"/>
        <v>0</v>
      </c>
      <c r="I36" s="76" t="n">
        <f t="shared" si="2"/>
        <v>0</v>
      </c>
      <c r="J36" s="76" t="n">
        <f t="shared" si="3"/>
        <v>0</v>
      </c>
      <c r="K36" s="76" t="n">
        <f t="shared" si="4"/>
        <v>0</v>
      </c>
      <c r="L36" s="75"/>
      <c r="M36" s="75"/>
      <c r="N36" s="75"/>
    </row>
    <row r="37" ht="14.25" customHeight="1">
      <c r="A37" s="62"/>
      <c r="B37" s="62"/>
      <c r="C37" s="62"/>
      <c r="D37" s="75"/>
      <c r="E37" s="75"/>
      <c r="F37" s="75"/>
      <c r="G37" s="75"/>
      <c r="H37" s="76" t="n">
        <f t="shared" si="1"/>
        <v>0</v>
      </c>
      <c r="I37" s="76" t="n">
        <f t="shared" si="2"/>
        <v>0</v>
      </c>
      <c r="J37" s="76" t="n">
        <f t="shared" si="3"/>
        <v>0</v>
      </c>
      <c r="K37" s="76" t="n">
        <f t="shared" si="4"/>
        <v>0</v>
      </c>
      <c r="L37" s="75"/>
      <c r="M37" s="75"/>
      <c r="N37" s="75"/>
    </row>
    <row r="38" ht="14.25" customHeight="1">
      <c r="A38" s="62"/>
      <c r="B38" s="62"/>
      <c r="C38" s="62"/>
      <c r="D38" s="75"/>
      <c r="E38" s="75"/>
      <c r="F38" s="75"/>
      <c r="G38" s="75"/>
      <c r="H38" s="76" t="n">
        <f t="shared" si="1"/>
        <v>0</v>
      </c>
      <c r="I38" s="76" t="n">
        <f t="shared" si="2"/>
        <v>0</v>
      </c>
      <c r="J38" s="76" t="n">
        <f t="shared" si="3"/>
        <v>0</v>
      </c>
      <c r="K38" s="76" t="n">
        <f t="shared" si="4"/>
        <v>0</v>
      </c>
      <c r="L38" s="75"/>
      <c r="M38" s="75"/>
      <c r="N38" s="75"/>
    </row>
    <row r="39" ht="14.25" customHeight="1">
      <c r="A39" s="62"/>
      <c r="B39" s="62"/>
      <c r="C39" s="62"/>
      <c r="D39" s="75"/>
      <c r="E39" s="75"/>
      <c r="F39" s="75"/>
      <c r="G39" s="75"/>
      <c r="H39" s="76" t="n">
        <f t="shared" si="1"/>
        <v>0</v>
      </c>
      <c r="I39" s="76" t="n">
        <f t="shared" si="2"/>
        <v>0</v>
      </c>
      <c r="J39" s="76" t="n">
        <f t="shared" si="3"/>
        <v>0</v>
      </c>
      <c r="K39" s="76" t="n">
        <f t="shared" si="4"/>
        <v>0</v>
      </c>
      <c r="L39" s="75"/>
      <c r="M39" s="75"/>
      <c r="N39" s="75"/>
    </row>
    <row r="40" ht="14.25" customHeight="1">
      <c r="A40" s="62"/>
      <c r="B40" s="62"/>
      <c r="C40" s="62"/>
      <c r="D40" s="75"/>
      <c r="E40" s="75"/>
      <c r="F40" s="75"/>
      <c r="G40" s="75"/>
      <c r="H40" s="76" t="n">
        <f t="shared" si="1"/>
        <v>0</v>
      </c>
      <c r="I40" s="76" t="n">
        <f t="shared" si="2"/>
        <v>0</v>
      </c>
      <c r="J40" s="76" t="n">
        <f t="shared" si="3"/>
        <v>0</v>
      </c>
      <c r="K40" s="76" t="n">
        <f t="shared" si="4"/>
        <v>0</v>
      </c>
      <c r="L40" s="75"/>
      <c r="M40" s="75"/>
      <c r="N40" s="75"/>
    </row>
    <row r="41" ht="14.25" customHeight="1">
      <c r="A41" s="62"/>
      <c r="B41" s="62"/>
      <c r="C41" s="62"/>
      <c r="D41" s="75"/>
      <c r="E41" s="75"/>
      <c r="F41" s="75"/>
      <c r="G41" s="75"/>
      <c r="H41" s="76" t="n">
        <f t="shared" si="1"/>
        <v>0</v>
      </c>
      <c r="I41" s="76" t="n">
        <f t="shared" si="2"/>
        <v>0</v>
      </c>
      <c r="J41" s="76" t="n">
        <f t="shared" si="3"/>
        <v>0</v>
      </c>
      <c r="K41" s="76" t="n">
        <f t="shared" si="4"/>
        <v>0</v>
      </c>
      <c r="L41" s="75"/>
      <c r="M41" s="75"/>
      <c r="N41" s="75"/>
    </row>
    <row r="42" ht="14.25" customHeight="1">
      <c r="A42" s="62"/>
      <c r="B42" s="62"/>
      <c r="C42" s="62"/>
      <c r="D42" s="75"/>
      <c r="E42" s="75"/>
      <c r="F42" s="75"/>
      <c r="G42" s="75"/>
      <c r="H42" s="76" t="n">
        <f t="shared" si="1"/>
        <v>0</v>
      </c>
      <c r="I42" s="76" t="n">
        <f t="shared" si="2"/>
        <v>0</v>
      </c>
      <c r="J42" s="76" t="n">
        <f t="shared" si="3"/>
        <v>0</v>
      </c>
      <c r="K42" s="76" t="n">
        <f t="shared" si="4"/>
        <v>0</v>
      </c>
      <c r="L42" s="75"/>
      <c r="M42" s="75"/>
      <c r="N42" s="75"/>
    </row>
    <row r="43" ht="14.25" customHeight="1">
      <c r="A43" s="62"/>
      <c r="B43" s="62"/>
      <c r="C43" s="62"/>
      <c r="D43" s="75"/>
      <c r="E43" s="75"/>
      <c r="F43" s="75"/>
      <c r="G43" s="75"/>
      <c r="H43" s="76" t="n">
        <f t="shared" si="1"/>
        <v>0</v>
      </c>
      <c r="I43" s="76" t="n">
        <f t="shared" si="2"/>
        <v>0</v>
      </c>
      <c r="J43" s="76" t="n">
        <f t="shared" si="3"/>
        <v>0</v>
      </c>
      <c r="K43" s="76" t="n">
        <f t="shared" si="4"/>
        <v>0</v>
      </c>
      <c r="L43" s="75"/>
      <c r="M43" s="75"/>
      <c r="N43" s="75"/>
    </row>
    <row r="44" ht="14.25" customHeight="1">
      <c r="A44" s="62"/>
      <c r="B44" s="62"/>
      <c r="C44" s="62"/>
      <c r="D44" s="75"/>
      <c r="E44" s="75"/>
      <c r="F44" s="75"/>
      <c r="G44" s="75"/>
      <c r="H44" s="76" t="n">
        <f t="shared" si="1"/>
        <v>0</v>
      </c>
      <c r="I44" s="76" t="n">
        <f t="shared" si="2"/>
        <v>0</v>
      </c>
      <c r="J44" s="76" t="n">
        <f t="shared" si="3"/>
        <v>0</v>
      </c>
      <c r="K44" s="76" t="n">
        <f t="shared" si="4"/>
        <v>0</v>
      </c>
      <c r="L44" s="75"/>
      <c r="M44" s="75"/>
      <c r="N44" s="75"/>
    </row>
    <row r="45" ht="14.25" customHeight="1">
      <c r="A45" s="62"/>
      <c r="B45" s="62"/>
      <c r="C45" s="62"/>
      <c r="D45" s="75"/>
      <c r="E45" s="75"/>
      <c r="F45" s="75"/>
      <c r="G45" s="75"/>
      <c r="H45" s="76" t="n">
        <f t="shared" si="1"/>
        <v>0</v>
      </c>
      <c r="I45" s="76" t="n">
        <f t="shared" si="2"/>
        <v>0</v>
      </c>
      <c r="J45" s="76" t="n">
        <f t="shared" si="3"/>
        <v>0</v>
      </c>
      <c r="K45" s="76" t="n">
        <f t="shared" si="4"/>
        <v>0</v>
      </c>
      <c r="L45" s="75"/>
      <c r="M45" s="75"/>
      <c r="N45" s="75"/>
    </row>
    <row r="46" ht="14.25" customHeight="1">
      <c r="A46" s="62"/>
      <c r="B46" s="62"/>
      <c r="C46" s="62"/>
      <c r="D46" s="75"/>
      <c r="E46" s="75"/>
      <c r="F46" s="75"/>
      <c r="G46" s="75"/>
      <c r="H46" s="76" t="n">
        <f t="shared" si="1"/>
        <v>0</v>
      </c>
      <c r="I46" s="76" t="n">
        <f t="shared" si="2"/>
        <v>0</v>
      </c>
      <c r="J46" s="76" t="n">
        <f t="shared" si="3"/>
        <v>0</v>
      </c>
      <c r="K46" s="76" t="n">
        <f t="shared" si="4"/>
        <v>0</v>
      </c>
      <c r="L46" s="75"/>
      <c r="M46" s="75"/>
      <c r="N46" s="75"/>
    </row>
    <row r="47" ht="14.25" customHeight="1">
      <c r="A47" s="62"/>
      <c r="B47" s="62"/>
      <c r="C47" s="62"/>
      <c r="D47" s="75"/>
      <c r="E47" s="75"/>
      <c r="F47" s="75"/>
      <c r="G47" s="75"/>
      <c r="H47" s="76" t="n">
        <f t="shared" si="1"/>
        <v>0</v>
      </c>
      <c r="I47" s="76" t="n">
        <f t="shared" si="2"/>
        <v>0</v>
      </c>
      <c r="J47" s="76" t="n">
        <f t="shared" si="3"/>
        <v>0</v>
      </c>
      <c r="K47" s="76" t="n">
        <f t="shared" si="4"/>
        <v>0</v>
      </c>
      <c r="L47" s="75"/>
      <c r="M47" s="75"/>
      <c r="N47" s="75"/>
    </row>
    <row r="48" ht="14.25" customHeight="1">
      <c r="A48" s="62"/>
      <c r="B48" s="62"/>
      <c r="C48" s="62"/>
      <c r="D48" s="75"/>
      <c r="E48" s="75"/>
      <c r="F48" s="75"/>
      <c r="G48" s="75"/>
      <c r="H48" s="76" t="n">
        <f t="shared" si="1"/>
        <v>0</v>
      </c>
      <c r="I48" s="76" t="n">
        <f t="shared" si="2"/>
        <v>0</v>
      </c>
      <c r="J48" s="76" t="n">
        <f t="shared" si="3"/>
        <v>0</v>
      </c>
      <c r="K48" s="76" t="n">
        <f t="shared" si="4"/>
        <v>0</v>
      </c>
      <c r="L48" s="75"/>
      <c r="M48" s="75"/>
      <c r="N48" s="75"/>
    </row>
    <row r="49" ht="14.25" customHeight="1">
      <c r="A49" s="62"/>
      <c r="B49" s="62"/>
      <c r="C49" s="62"/>
      <c r="D49" s="75"/>
      <c r="E49" s="75"/>
      <c r="F49" s="75"/>
      <c r="G49" s="75"/>
      <c r="H49" s="76" t="n">
        <f t="shared" si="1"/>
        <v>0</v>
      </c>
      <c r="I49" s="76" t="n">
        <f t="shared" si="2"/>
        <v>0</v>
      </c>
      <c r="J49" s="76" t="n">
        <f t="shared" si="3"/>
        <v>0</v>
      </c>
      <c r="K49" s="76" t="n">
        <f t="shared" si="4"/>
        <v>0</v>
      </c>
      <c r="L49" s="75"/>
      <c r="M49" s="75"/>
      <c r="N49" s="75"/>
    </row>
    <row r="50" ht="14.25" customHeight="1">
      <c r="A50" s="62"/>
      <c r="B50" s="62"/>
      <c r="C50" s="62"/>
      <c r="D50" s="75"/>
      <c r="E50" s="75"/>
      <c r="F50" s="75"/>
      <c r="G50" s="75"/>
      <c r="H50" s="76" t="n">
        <f t="shared" si="1"/>
        <v>0</v>
      </c>
      <c r="I50" s="76" t="n">
        <f t="shared" si="2"/>
        <v>0</v>
      </c>
      <c r="J50" s="76" t="n">
        <f t="shared" si="3"/>
        <v>0</v>
      </c>
      <c r="K50" s="76" t="n">
        <f t="shared" si="4"/>
        <v>0</v>
      </c>
      <c r="L50" s="75"/>
      <c r="M50" s="75"/>
      <c r="N50" s="75"/>
    </row>
    <row r="51" ht="14.25" customHeight="1">
      <c r="A51" s="62"/>
      <c r="B51" s="62"/>
      <c r="C51" s="62"/>
      <c r="D51" s="75"/>
      <c r="E51" s="75"/>
      <c r="F51" s="75"/>
      <c r="G51" s="75"/>
      <c r="H51" s="76" t="n">
        <f t="shared" si="1"/>
        <v>0</v>
      </c>
      <c r="I51" s="76" t="n">
        <f t="shared" si="2"/>
        <v>0</v>
      </c>
      <c r="J51" s="76" t="n">
        <f t="shared" si="3"/>
        <v>0</v>
      </c>
      <c r="K51" s="76" t="n">
        <f t="shared" si="4"/>
        <v>0</v>
      </c>
      <c r="L51" s="75"/>
      <c r="M51" s="75"/>
      <c r="N51" s="75"/>
    </row>
    <row r="52" ht="14.25" customHeight="1">
      <c r="A52" s="62"/>
      <c r="B52" s="62"/>
      <c r="C52" s="62"/>
      <c r="D52" s="75"/>
      <c r="E52" s="75"/>
      <c r="F52" s="75"/>
      <c r="G52" s="75"/>
      <c r="H52" s="76" t="n">
        <f t="shared" si="1"/>
        <v>0</v>
      </c>
      <c r="I52" s="76" t="n">
        <f t="shared" si="2"/>
        <v>0</v>
      </c>
      <c r="J52" s="76" t="n">
        <f t="shared" si="3"/>
        <v>0</v>
      </c>
      <c r="K52" s="76" t="n">
        <f t="shared" si="4"/>
        <v>0</v>
      </c>
      <c r="L52" s="75"/>
      <c r="M52" s="75"/>
      <c r="N52" s="75"/>
    </row>
    <row r="53" ht="14.25" customHeight="1">
      <c r="A53" s="62"/>
      <c r="B53" s="62"/>
      <c r="C53" s="62"/>
      <c r="D53" s="75"/>
      <c r="E53" s="75"/>
      <c r="F53" s="75"/>
      <c r="G53" s="75"/>
      <c r="H53" s="76" t="n">
        <f t="shared" si="1"/>
        <v>0</v>
      </c>
      <c r="I53" s="76" t="n">
        <f t="shared" si="2"/>
        <v>0</v>
      </c>
      <c r="J53" s="76" t="n">
        <f t="shared" si="3"/>
        <v>0</v>
      </c>
      <c r="K53" s="76" t="n">
        <f t="shared" si="4"/>
        <v>0</v>
      </c>
      <c r="L53" s="75"/>
      <c r="M53" s="75"/>
      <c r="N53" s="75"/>
    </row>
    <row r="54" ht="14.25" customHeight="1">
      <c r="A54" s="62"/>
      <c r="B54" s="62"/>
      <c r="C54" s="62"/>
      <c r="D54" s="75"/>
      <c r="E54" s="75"/>
      <c r="F54" s="75"/>
      <c r="G54" s="75"/>
      <c r="H54" s="76" t="n">
        <f t="shared" si="1"/>
        <v>0</v>
      </c>
      <c r="I54" s="76" t="n">
        <f t="shared" si="2"/>
        <v>0</v>
      </c>
      <c r="J54" s="76" t="n">
        <f t="shared" si="3"/>
        <v>0</v>
      </c>
      <c r="K54" s="76" t="n">
        <f t="shared" si="4"/>
        <v>0</v>
      </c>
      <c r="L54" s="75"/>
      <c r="M54" s="75"/>
      <c r="N54" s="75"/>
    </row>
    <row r="55" ht="14.25" customHeight="1">
      <c r="A55" s="62"/>
      <c r="B55" s="62"/>
      <c r="C55" s="62"/>
      <c r="D55" s="75"/>
      <c r="E55" s="75"/>
      <c r="F55" s="75"/>
      <c r="G55" s="75"/>
      <c r="H55" s="76" t="n">
        <f t="shared" si="1"/>
        <v>0</v>
      </c>
      <c r="I55" s="76" t="n">
        <f t="shared" si="2"/>
        <v>0</v>
      </c>
      <c r="J55" s="76" t="n">
        <f t="shared" si="3"/>
        <v>0</v>
      </c>
      <c r="K55" s="76" t="n">
        <f t="shared" si="4"/>
        <v>0</v>
      </c>
      <c r="L55" s="75"/>
      <c r="M55" s="75"/>
      <c r="N55" s="75"/>
    </row>
    <row r="56" ht="14.25" customHeight="1">
      <c r="A56" s="62"/>
      <c r="B56" s="62"/>
      <c r="C56" s="62"/>
      <c r="D56" s="75"/>
      <c r="E56" s="75"/>
      <c r="F56" s="75"/>
      <c r="G56" s="75"/>
      <c r="H56" s="76" t="n">
        <f t="shared" si="1"/>
        <v>0</v>
      </c>
      <c r="I56" s="76" t="n">
        <f t="shared" si="2"/>
        <v>0</v>
      </c>
      <c r="J56" s="76" t="n">
        <f t="shared" si="3"/>
        <v>0</v>
      </c>
      <c r="K56" s="76" t="n">
        <f t="shared" si="4"/>
        <v>0</v>
      </c>
      <c r="L56" s="75"/>
      <c r="M56" s="75"/>
      <c r="N56" s="75"/>
    </row>
    <row r="57" ht="14.25" customHeight="1">
      <c r="A57" s="62"/>
      <c r="B57" s="62"/>
      <c r="C57" s="62"/>
      <c r="D57" s="75"/>
      <c r="E57" s="75"/>
      <c r="F57" s="75"/>
      <c r="G57" s="75"/>
      <c r="H57" s="76" t="n">
        <f t="shared" si="1"/>
        <v>0</v>
      </c>
      <c r="I57" s="76" t="n">
        <f t="shared" si="2"/>
        <v>0</v>
      </c>
      <c r="J57" s="76" t="n">
        <f t="shared" si="3"/>
        <v>0</v>
      </c>
      <c r="K57" s="76" t="n">
        <f t="shared" si="4"/>
        <v>0</v>
      </c>
      <c r="L57" s="75"/>
      <c r="M57" s="75"/>
      <c r="N57" s="75"/>
    </row>
    <row r="58" ht="14.25" customHeight="1">
      <c r="A58" s="62"/>
      <c r="B58" s="62"/>
      <c r="C58" s="75"/>
      <c r="D58" s="75"/>
      <c r="E58" s="75"/>
      <c r="F58" s="75"/>
      <c r="G58" s="75"/>
      <c r="H58" s="76" t="n">
        <f t="shared" si="1"/>
        <v>0</v>
      </c>
      <c r="I58" s="76" t="n">
        <f t="shared" si="2"/>
        <v>0</v>
      </c>
      <c r="J58" s="76" t="n">
        <f t="shared" si="3"/>
        <v>0</v>
      </c>
      <c r="K58" s="76" t="n">
        <f t="shared" si="4"/>
        <v>0</v>
      </c>
      <c r="L58" s="75"/>
      <c r="M58" s="75"/>
      <c r="N58" s="75"/>
    </row>
    <row r="59" ht="14.25" customHeight="1">
      <c r="A59" s="62"/>
      <c r="B59" s="62"/>
      <c r="C59" s="75"/>
      <c r="D59" s="75"/>
      <c r="E59" s="75"/>
      <c r="F59" s="75"/>
      <c r="G59" s="75"/>
      <c r="H59" s="76" t="n">
        <f t="shared" si="1"/>
        <v>0</v>
      </c>
      <c r="I59" s="76" t="n">
        <f t="shared" si="2"/>
        <v>0</v>
      </c>
      <c r="J59" s="76" t="n">
        <f t="shared" si="3"/>
        <v>0</v>
      </c>
      <c r="K59" s="76" t="n">
        <f t="shared" si="4"/>
        <v>0</v>
      </c>
      <c r="L59" s="75"/>
      <c r="M59" s="75"/>
      <c r="N59" s="75"/>
    </row>
    <row r="60" ht="14.25" customHeight="1">
      <c r="A60" s="62"/>
      <c r="B60" s="62"/>
      <c r="C60" s="75"/>
      <c r="D60" s="75"/>
      <c r="E60" s="75"/>
      <c r="F60" s="75"/>
      <c r="G60" s="75"/>
      <c r="H60" s="76" t="n">
        <f t="shared" si="1"/>
        <v>0</v>
      </c>
      <c r="I60" s="76" t="n">
        <f t="shared" si="2"/>
        <v>0</v>
      </c>
      <c r="J60" s="76" t="n">
        <f t="shared" si="3"/>
        <v>0</v>
      </c>
      <c r="K60" s="76" t="n">
        <f t="shared" si="4"/>
        <v>0</v>
      </c>
      <c r="L60" s="75"/>
      <c r="M60" s="75"/>
      <c r="N60" s="75"/>
    </row>
    <row r="61" ht="14.25" customHeight="1">
      <c r="A61" s="62"/>
      <c r="B61" s="62"/>
      <c r="C61" s="75"/>
      <c r="D61" s="75"/>
      <c r="E61" s="75"/>
      <c r="F61" s="75"/>
      <c r="G61" s="75"/>
      <c r="H61" s="76" t="n">
        <f t="shared" si="1"/>
        <v>0</v>
      </c>
      <c r="I61" s="76" t="n">
        <f t="shared" si="2"/>
        <v>0</v>
      </c>
      <c r="J61" s="76" t="n">
        <f t="shared" si="3"/>
        <v>0</v>
      </c>
      <c r="K61" s="76" t="n">
        <f t="shared" si="4"/>
        <v>0</v>
      </c>
      <c r="L61" s="75"/>
      <c r="M61" s="75"/>
      <c r="N61" s="75"/>
    </row>
    <row r="62" ht="14.25" customHeight="1">
      <c r="A62" s="62"/>
      <c r="B62" s="62"/>
      <c r="C62" s="75"/>
      <c r="D62" s="75"/>
      <c r="E62" s="75"/>
      <c r="F62" s="75"/>
      <c r="G62" s="75"/>
      <c r="H62" s="76" t="n">
        <f t="shared" si="1"/>
        <v>0</v>
      </c>
      <c r="I62" s="76" t="n">
        <f t="shared" si="2"/>
        <v>0</v>
      </c>
      <c r="J62" s="76" t="n">
        <f t="shared" si="3"/>
        <v>0</v>
      </c>
      <c r="K62" s="76" t="n">
        <f t="shared" si="4"/>
        <v>0</v>
      </c>
      <c r="L62" s="75"/>
      <c r="M62" s="75"/>
      <c r="N62" s="75"/>
    </row>
    <row r="63" ht="14.25" customHeight="1">
      <c r="A63" s="62"/>
      <c r="B63" s="62"/>
      <c r="C63" s="75"/>
      <c r="D63" s="75"/>
      <c r="E63" s="75"/>
      <c r="F63" s="75"/>
      <c r="G63" s="75"/>
      <c r="H63" s="76" t="n">
        <f t="shared" si="1"/>
        <v>0</v>
      </c>
      <c r="I63" s="76" t="n">
        <f t="shared" si="2"/>
        <v>0</v>
      </c>
      <c r="J63" s="76" t="n">
        <f t="shared" si="3"/>
        <v>0</v>
      </c>
      <c r="K63" s="76" t="n">
        <f t="shared" si="4"/>
        <v>0</v>
      </c>
      <c r="L63" s="75"/>
      <c r="M63" s="75"/>
      <c r="N63" s="75"/>
    </row>
    <row r="64" ht="14.25" customHeight="1">
      <c r="A64" s="62"/>
      <c r="B64" s="62"/>
      <c r="C64" s="75"/>
      <c r="D64" s="75"/>
      <c r="E64" s="75"/>
      <c r="F64" s="75"/>
      <c r="G64" s="75"/>
      <c r="H64" s="76" t="n">
        <f t="shared" si="1"/>
        <v>0</v>
      </c>
      <c r="I64" s="76" t="n">
        <f t="shared" si="2"/>
        <v>0</v>
      </c>
      <c r="J64" s="76" t="n">
        <f t="shared" si="3"/>
        <v>0</v>
      </c>
      <c r="K64" s="76" t="n">
        <f t="shared" si="4"/>
        <v>0</v>
      </c>
      <c r="L64" s="75"/>
      <c r="M64" s="75"/>
      <c r="N64" s="75"/>
    </row>
    <row r="65" ht="14.25" customHeight="1">
      <c r="A65" s="62"/>
      <c r="B65" s="62"/>
      <c r="C65" s="75"/>
      <c r="D65" s="75"/>
      <c r="E65" s="75"/>
      <c r="F65" s="75"/>
      <c r="G65" s="75"/>
      <c r="H65" s="76" t="n">
        <f t="shared" si="1"/>
        <v>0</v>
      </c>
      <c r="I65" s="76" t="n">
        <f t="shared" si="2"/>
        <v>0</v>
      </c>
      <c r="J65" s="76" t="n">
        <f t="shared" si="3"/>
        <v>0</v>
      </c>
      <c r="K65" s="76" t="n">
        <f t="shared" si="4"/>
        <v>0</v>
      </c>
      <c r="L65" s="75"/>
      <c r="M65" s="75"/>
      <c r="N65" s="75"/>
    </row>
    <row r="66" ht="14.25" customHeight="1">
      <c r="A66" s="62"/>
      <c r="B66" s="62"/>
      <c r="C66" s="75"/>
      <c r="D66" s="75"/>
      <c r="E66" s="75"/>
      <c r="F66" s="75"/>
      <c r="G66" s="75"/>
      <c r="H66" s="76" t="n">
        <f t="shared" si="1"/>
        <v>0</v>
      </c>
      <c r="I66" s="76" t="n">
        <f t="shared" si="2"/>
        <v>0</v>
      </c>
      <c r="J66" s="76" t="n">
        <f t="shared" si="3"/>
        <v>0</v>
      </c>
      <c r="K66" s="76" t="n">
        <f t="shared" si="4"/>
        <v>0</v>
      </c>
      <c r="L66" s="75"/>
      <c r="M66" s="75"/>
      <c r="N66" s="75"/>
    </row>
    <row r="67" ht="14.25" customHeight="1">
      <c r="A67" s="62"/>
      <c r="B67" s="62"/>
      <c r="C67" s="75"/>
      <c r="D67" s="75"/>
      <c r="E67" s="75"/>
      <c r="F67" s="75"/>
      <c r="G67" s="75"/>
      <c r="H67" s="76" t="n">
        <f t="shared" si="1"/>
        <v>0</v>
      </c>
      <c r="I67" s="76" t="n">
        <f t="shared" si="2"/>
        <v>0</v>
      </c>
      <c r="J67" s="76" t="n">
        <f t="shared" si="3"/>
        <v>0</v>
      </c>
      <c r="K67" s="76" t="n">
        <f t="shared" si="4"/>
        <v>0</v>
      </c>
      <c r="L67" s="75"/>
      <c r="M67" s="75"/>
      <c r="N67" s="75"/>
    </row>
    <row r="68" ht="14.25" customHeight="1">
      <c r="A68" s="62"/>
      <c r="B68" s="62"/>
      <c r="C68" s="75"/>
      <c r="D68" s="75"/>
      <c r="E68" s="75"/>
      <c r="F68" s="75"/>
      <c r="G68" s="75"/>
      <c r="H68" s="76" t="n">
        <f t="shared" si="1"/>
        <v>0</v>
      </c>
      <c r="I68" s="76" t="n">
        <f t="shared" si="2"/>
        <v>0</v>
      </c>
      <c r="J68" s="76" t="n">
        <f t="shared" si="3"/>
        <v>0</v>
      </c>
      <c r="K68" s="76" t="n">
        <f t="shared" si="4"/>
        <v>0</v>
      </c>
      <c r="L68" s="75"/>
      <c r="M68" s="75"/>
      <c r="N68" s="75"/>
    </row>
    <row r="69" ht="14.25" customHeight="1">
      <c r="A69" s="62"/>
      <c r="B69" s="62"/>
      <c r="C69" s="75"/>
      <c r="D69" s="75"/>
      <c r="E69" s="75"/>
      <c r="F69" s="75"/>
      <c r="G69" s="75"/>
      <c r="H69" s="76" t="n">
        <f t="shared" si="1"/>
        <v>0</v>
      </c>
      <c r="I69" s="76" t="n">
        <f t="shared" si="2"/>
        <v>0</v>
      </c>
      <c r="J69" s="76" t="n">
        <f t="shared" si="3"/>
        <v>0</v>
      </c>
      <c r="K69" s="76" t="n">
        <f t="shared" si="4"/>
        <v>0</v>
      </c>
      <c r="L69" s="75"/>
      <c r="M69" s="75"/>
      <c r="N69" s="75"/>
    </row>
    <row r="70" ht="14.25" customHeight="1">
      <c r="A70" s="62"/>
      <c r="B70" s="62"/>
      <c r="C70" s="75"/>
      <c r="D70" s="75"/>
      <c r="E70" s="75"/>
      <c r="F70" s="75"/>
      <c r="G70" s="75"/>
      <c r="H70" s="76" t="n">
        <f t="shared" si="1"/>
        <v>0</v>
      </c>
      <c r="I70" s="76" t="n">
        <f t="shared" si="2"/>
        <v>0</v>
      </c>
      <c r="J70" s="76" t="n">
        <f t="shared" si="3"/>
        <v>0</v>
      </c>
      <c r="K70" s="76" t="n">
        <f t="shared" si="4"/>
        <v>0</v>
      </c>
      <c r="L70" s="75"/>
      <c r="M70" s="75"/>
      <c r="N70" s="75"/>
    </row>
    <row r="71" ht="14.25" customHeight="1">
      <c r="A71" s="62"/>
      <c r="B71" s="62"/>
      <c r="C71" s="75"/>
      <c r="D71" s="75"/>
      <c r="E71" s="75"/>
      <c r="F71" s="75"/>
      <c r="G71" s="75"/>
      <c r="H71" s="76" t="n">
        <f t="shared" si="1"/>
        <v>0</v>
      </c>
      <c r="I71" s="76" t="n">
        <f t="shared" si="2"/>
        <v>0</v>
      </c>
      <c r="J71" s="76" t="n">
        <f t="shared" si="3"/>
        <v>0</v>
      </c>
      <c r="K71" s="76" t="n">
        <f t="shared" si="4"/>
        <v>0</v>
      </c>
      <c r="L71" s="75"/>
      <c r="M71" s="75"/>
      <c r="N71" s="75"/>
    </row>
    <row r="72" ht="14.25" customHeight="1">
      <c r="A72" s="62"/>
      <c r="B72" s="62"/>
      <c r="C72" s="75"/>
      <c r="D72" s="75"/>
      <c r="E72" s="75"/>
      <c r="F72" s="75"/>
      <c r="G72" s="75"/>
      <c r="H72" s="76" t="n">
        <f t="shared" si="1"/>
        <v>0</v>
      </c>
      <c r="I72" s="76" t="n">
        <f t="shared" si="2"/>
        <v>0</v>
      </c>
      <c r="J72" s="76" t="n">
        <f t="shared" si="3"/>
        <v>0</v>
      </c>
      <c r="K72" s="76" t="n">
        <f t="shared" si="4"/>
        <v>0</v>
      </c>
      <c r="L72" s="75"/>
      <c r="M72" s="75"/>
      <c r="N72" s="75"/>
    </row>
    <row r="73" ht="14.25" customHeight="1">
      <c r="A73" s="62"/>
      <c r="B73" s="62"/>
      <c r="C73" s="75"/>
      <c r="D73" s="75"/>
      <c r="E73" s="75"/>
      <c r="F73" s="75"/>
      <c r="G73" s="75"/>
      <c r="H73" s="76" t="n">
        <f t="shared" si="1"/>
        <v>0</v>
      </c>
      <c r="I73" s="76" t="n">
        <f t="shared" si="2"/>
        <v>0</v>
      </c>
      <c r="J73" s="76" t="n">
        <f t="shared" si="3"/>
        <v>0</v>
      </c>
      <c r="K73" s="76" t="n">
        <f t="shared" si="4"/>
        <v>0</v>
      </c>
      <c r="L73" s="75"/>
      <c r="M73" s="75"/>
      <c r="N73" s="75"/>
    </row>
    <row r="74" ht="14.25" customHeight="1">
      <c r="A74" s="62"/>
      <c r="B74" s="62"/>
      <c r="C74" s="75"/>
      <c r="D74" s="75"/>
      <c r="E74" s="75"/>
      <c r="F74" s="75"/>
      <c r="G74" s="75"/>
      <c r="H74" s="76" t="n">
        <f t="shared" si="1"/>
        <v>0</v>
      </c>
      <c r="I74" s="76" t="n">
        <f t="shared" si="2"/>
        <v>0</v>
      </c>
      <c r="J74" s="76" t="n">
        <f t="shared" si="3"/>
        <v>0</v>
      </c>
      <c r="K74" s="76" t="n">
        <f t="shared" si="4"/>
        <v>0</v>
      </c>
      <c r="L74" s="75"/>
      <c r="M74" s="75"/>
      <c r="N74" s="75"/>
    </row>
    <row r="75" ht="14.25" customHeight="1">
      <c r="A75" s="62"/>
      <c r="B75" s="62"/>
      <c r="C75" s="75"/>
      <c r="D75" s="75"/>
      <c r="E75" s="75"/>
      <c r="F75" s="75"/>
      <c r="G75" s="75"/>
      <c r="H75" s="76" t="n">
        <f t="shared" si="1"/>
        <v>0</v>
      </c>
      <c r="I75" s="76" t="n">
        <f t="shared" si="2"/>
        <v>0</v>
      </c>
      <c r="J75" s="76" t="n">
        <f t="shared" si="3"/>
        <v>0</v>
      </c>
      <c r="K75" s="76" t="n">
        <f t="shared" si="4"/>
        <v>0</v>
      </c>
      <c r="L75" s="75"/>
      <c r="M75" s="75"/>
      <c r="N75" s="75"/>
    </row>
    <row r="76" ht="14.25" customHeight="1">
      <c r="A76" s="62"/>
      <c r="B76" s="62"/>
      <c r="C76" s="75"/>
      <c r="D76" s="75"/>
      <c r="E76" s="75"/>
      <c r="F76" s="75"/>
      <c r="G76" s="75"/>
      <c r="H76" s="76" t="n">
        <f t="shared" si="1"/>
        <v>0</v>
      </c>
      <c r="I76" s="76" t="n">
        <f t="shared" si="2"/>
        <v>0</v>
      </c>
      <c r="J76" s="76" t="n">
        <f t="shared" si="3"/>
        <v>0</v>
      </c>
      <c r="K76" s="76" t="n">
        <f t="shared" si="4"/>
        <v>0</v>
      </c>
      <c r="L76" s="75"/>
      <c r="M76" s="75"/>
      <c r="N76" s="75"/>
    </row>
    <row r="77" ht="14.25" customHeight="1">
      <c r="A77" s="62"/>
      <c r="B77" s="62"/>
      <c r="C77" s="75"/>
      <c r="D77" s="75"/>
      <c r="E77" s="75"/>
      <c r="F77" s="75"/>
      <c r="G77" s="75"/>
      <c r="H77" s="76" t="n">
        <f t="shared" si="1"/>
        <v>0</v>
      </c>
      <c r="I77" s="76" t="n">
        <f t="shared" si="2"/>
        <v>0</v>
      </c>
      <c r="J77" s="76" t="n">
        <f t="shared" si="3"/>
        <v>0</v>
      </c>
      <c r="K77" s="76" t="n">
        <f t="shared" si="4"/>
        <v>0</v>
      </c>
      <c r="L77" s="75"/>
      <c r="M77" s="75"/>
      <c r="N77" s="75"/>
    </row>
    <row r="78" ht="14.25" customHeight="1">
      <c r="A78" s="62"/>
      <c r="B78" s="62"/>
      <c r="C78" s="75"/>
      <c r="D78" s="75"/>
      <c r="E78" s="75"/>
      <c r="F78" s="75"/>
      <c r="G78" s="75"/>
      <c r="H78" s="76" t="n">
        <f t="shared" si="1"/>
        <v>0</v>
      </c>
      <c r="I78" s="76" t="n">
        <f t="shared" si="2"/>
        <v>0</v>
      </c>
      <c r="J78" s="76" t="n">
        <f t="shared" si="3"/>
        <v>0</v>
      </c>
      <c r="K78" s="76" t="n">
        <f t="shared" si="4"/>
        <v>0</v>
      </c>
      <c r="L78" s="75"/>
      <c r="M78" s="75"/>
      <c r="N78" s="75"/>
    </row>
    <row r="79" ht="14.25" customHeight="1">
      <c r="A79" s="62"/>
      <c r="B79" s="62"/>
      <c r="C79" s="75"/>
      <c r="D79" s="75"/>
      <c r="E79" s="75"/>
      <c r="F79" s="75"/>
      <c r="G79" s="75"/>
      <c r="H79" s="76" t="n">
        <f t="shared" si="1"/>
        <v>0</v>
      </c>
      <c r="I79" s="76" t="n">
        <f t="shared" si="2"/>
        <v>0</v>
      </c>
      <c r="J79" s="76" t="n">
        <f t="shared" si="3"/>
        <v>0</v>
      </c>
      <c r="K79" s="76" t="n">
        <f t="shared" si="4"/>
        <v>0</v>
      </c>
      <c r="L79" s="75"/>
      <c r="M79" s="75"/>
      <c r="N79" s="75"/>
    </row>
    <row r="80" ht="14.25" customHeight="1">
      <c r="A80" s="62"/>
      <c r="B80" s="62"/>
      <c r="C80" s="75"/>
      <c r="D80" s="75"/>
      <c r="E80" s="75"/>
      <c r="F80" s="75"/>
      <c r="G80" s="75"/>
      <c r="H80" s="76" t="n">
        <f t="shared" si="1"/>
        <v>0</v>
      </c>
      <c r="I80" s="76" t="n">
        <f t="shared" si="2"/>
        <v>0</v>
      </c>
      <c r="J80" s="76" t="n">
        <f t="shared" si="3"/>
        <v>0</v>
      </c>
      <c r="K80" s="76" t="n">
        <f t="shared" si="4"/>
        <v>0</v>
      </c>
      <c r="L80" s="75"/>
      <c r="M80" s="75"/>
      <c r="N80" s="75"/>
    </row>
    <row r="81" ht="14.25" customHeight="1">
      <c r="A81" s="62"/>
      <c r="B81" s="62"/>
      <c r="C81" s="75"/>
      <c r="D81" s="75"/>
      <c r="E81" s="75"/>
      <c r="F81" s="75"/>
      <c r="G81" s="75"/>
      <c r="H81" s="76" t="n">
        <f t="shared" si="1"/>
        <v>0</v>
      </c>
      <c r="I81" s="76" t="n">
        <f t="shared" si="2"/>
        <v>0</v>
      </c>
      <c r="J81" s="76" t="n">
        <f t="shared" si="3"/>
        <v>0</v>
      </c>
      <c r="K81" s="76" t="n">
        <f t="shared" si="4"/>
        <v>0</v>
      </c>
      <c r="L81" s="75"/>
      <c r="M81" s="75"/>
      <c r="N81" s="75"/>
    </row>
    <row r="82" ht="14.25" customHeight="1">
      <c r="A82" s="62"/>
      <c r="B82" s="62"/>
      <c r="C82" s="75"/>
      <c r="D82" s="75"/>
      <c r="E82" s="75"/>
      <c r="F82" s="75"/>
      <c r="G82" s="75"/>
      <c r="H82" s="76" t="n">
        <f t="shared" si="1"/>
        <v>0</v>
      </c>
      <c r="I82" s="76" t="n">
        <f t="shared" si="2"/>
        <v>0</v>
      </c>
      <c r="J82" s="76" t="n">
        <f t="shared" si="3"/>
        <v>0</v>
      </c>
      <c r="K82" s="76" t="n">
        <f t="shared" si="4"/>
        <v>0</v>
      </c>
      <c r="L82" s="75"/>
      <c r="M82" s="75"/>
      <c r="N82" s="75"/>
    </row>
    <row r="83" ht="14.25" customHeight="1">
      <c r="A83" s="62"/>
      <c r="B83" s="62"/>
      <c r="C83" s="75"/>
      <c r="D83" s="75"/>
      <c r="E83" s="75"/>
      <c r="F83" s="75"/>
      <c r="G83" s="75"/>
      <c r="H83" s="76" t="n">
        <f t="shared" si="1"/>
        <v>0</v>
      </c>
      <c r="I83" s="76" t="n">
        <f t="shared" si="2"/>
        <v>0</v>
      </c>
      <c r="J83" s="76" t="n">
        <f t="shared" si="3"/>
        <v>0</v>
      </c>
      <c r="K83" s="76" t="n">
        <f t="shared" si="4"/>
        <v>0</v>
      </c>
      <c r="L83" s="75"/>
      <c r="M83" s="75"/>
      <c r="N83" s="75"/>
    </row>
    <row r="84" ht="14.25" customHeight="1">
      <c r="A84" s="62"/>
      <c r="B84" s="62"/>
      <c r="C84" s="75"/>
      <c r="D84" s="75"/>
      <c r="E84" s="75"/>
      <c r="F84" s="75"/>
      <c r="G84" s="75"/>
      <c r="H84" s="76" t="n">
        <f t="shared" si="1"/>
        <v>0</v>
      </c>
      <c r="I84" s="76" t="n">
        <f t="shared" si="2"/>
        <v>0</v>
      </c>
      <c r="J84" s="76" t="n">
        <f t="shared" si="3"/>
        <v>0</v>
      </c>
      <c r="K84" s="76" t="n">
        <f t="shared" si="4"/>
        <v>0</v>
      </c>
      <c r="L84" s="75"/>
      <c r="M84" s="75"/>
      <c r="N84" s="75"/>
    </row>
    <row r="85" ht="14.25" customHeight="1">
      <c r="A85" s="62"/>
      <c r="B85" s="62"/>
      <c r="C85" s="75"/>
      <c r="D85" s="75"/>
      <c r="E85" s="75"/>
      <c r="F85" s="75"/>
      <c r="G85" s="75"/>
      <c r="H85" s="76" t="n">
        <f t="shared" si="1"/>
        <v>0</v>
      </c>
      <c r="I85" s="76" t="n">
        <f t="shared" si="2"/>
        <v>0</v>
      </c>
      <c r="J85" s="76" t="n">
        <f t="shared" si="3"/>
        <v>0</v>
      </c>
      <c r="K85" s="76" t="n">
        <f t="shared" si="4"/>
        <v>0</v>
      </c>
      <c r="L85" s="75"/>
      <c r="M85" s="75"/>
      <c r="N85" s="75"/>
    </row>
    <row r="86" ht="14.25" customHeight="1">
      <c r="A86" s="62"/>
      <c r="B86" s="62"/>
      <c r="C86" s="75"/>
      <c r="D86" s="75"/>
      <c r="E86" s="75"/>
      <c r="F86" s="75"/>
      <c r="G86" s="75"/>
      <c r="H86" s="76" t="n">
        <f t="shared" si="1"/>
        <v>0</v>
      </c>
      <c r="I86" s="76" t="n">
        <f t="shared" si="2"/>
        <v>0</v>
      </c>
      <c r="J86" s="76" t="n">
        <f t="shared" si="3"/>
        <v>0</v>
      </c>
      <c r="K86" s="76" t="n">
        <f t="shared" si="4"/>
        <v>0</v>
      </c>
      <c r="L86" s="75"/>
      <c r="M86" s="75"/>
      <c r="N86" s="75"/>
    </row>
    <row r="87" ht="14.25" customHeight="1">
      <c r="A87" s="62"/>
      <c r="B87" s="62"/>
      <c r="C87" s="75"/>
      <c r="D87" s="75"/>
      <c r="E87" s="75"/>
      <c r="F87" s="75"/>
      <c r="G87" s="75"/>
      <c r="H87" s="76" t="n">
        <f t="shared" si="1"/>
        <v>0</v>
      </c>
      <c r="I87" s="76" t="n">
        <f t="shared" si="2"/>
        <v>0</v>
      </c>
      <c r="J87" s="76" t="n">
        <f t="shared" si="3"/>
        <v>0</v>
      </c>
      <c r="K87" s="76" t="n">
        <f t="shared" si="4"/>
        <v>0</v>
      </c>
      <c r="L87" s="75"/>
      <c r="M87" s="75"/>
      <c r="N87" s="75"/>
    </row>
    <row r="88" ht="14.25" customHeight="1">
      <c r="A88" s="62"/>
      <c r="B88" s="62"/>
      <c r="C88" s="75"/>
      <c r="D88" s="75"/>
      <c r="E88" s="75"/>
      <c r="F88" s="75"/>
      <c r="G88" s="75"/>
      <c r="H88" s="76" t="n">
        <f t="shared" si="1"/>
        <v>0</v>
      </c>
      <c r="I88" s="76" t="n">
        <f t="shared" si="2"/>
        <v>0</v>
      </c>
      <c r="J88" s="76" t="n">
        <f t="shared" si="3"/>
        <v>0</v>
      </c>
      <c r="K88" s="76" t="n">
        <f t="shared" si="4"/>
        <v>0</v>
      </c>
      <c r="L88" s="75"/>
      <c r="M88" s="75"/>
      <c r="N88" s="75"/>
    </row>
    <row r="89" ht="14.25" customHeight="1">
      <c r="A89" s="62"/>
      <c r="B89" s="62"/>
      <c r="C89" s="75"/>
      <c r="D89" s="75"/>
      <c r="E89" s="75"/>
      <c r="F89" s="75"/>
      <c r="G89" s="75"/>
      <c r="H89" s="76" t="n">
        <f t="shared" si="1"/>
        <v>0</v>
      </c>
      <c r="I89" s="76" t="n">
        <f t="shared" si="2"/>
        <v>0</v>
      </c>
      <c r="J89" s="76" t="n">
        <f t="shared" si="3"/>
        <v>0</v>
      </c>
      <c r="K89" s="76" t="n">
        <f t="shared" si="4"/>
        <v>0</v>
      </c>
      <c r="L89" s="75"/>
      <c r="M89" s="75"/>
      <c r="N89" s="75"/>
    </row>
    <row r="90" ht="14.25" customHeight="1">
      <c r="A90" s="62"/>
      <c r="B90" s="62"/>
      <c r="C90" s="75"/>
      <c r="D90" s="75"/>
      <c r="E90" s="75"/>
      <c r="F90" s="75"/>
      <c r="G90" s="75"/>
      <c r="H90" s="76" t="n">
        <f t="shared" si="1"/>
        <v>0</v>
      </c>
      <c r="I90" s="76" t="n">
        <f t="shared" si="2"/>
        <v>0</v>
      </c>
      <c r="J90" s="76" t="n">
        <f t="shared" si="3"/>
        <v>0</v>
      </c>
      <c r="K90" s="76" t="n">
        <f t="shared" si="4"/>
        <v>0</v>
      </c>
      <c r="L90" s="75"/>
      <c r="M90" s="75"/>
      <c r="N90" s="75"/>
    </row>
    <row r="91" ht="14.25" customHeight="1">
      <c r="A91" s="62"/>
      <c r="B91" s="62"/>
      <c r="C91" s="75"/>
      <c r="D91" s="75"/>
      <c r="E91" s="75"/>
      <c r="F91" s="75"/>
      <c r="G91" s="75"/>
      <c r="H91" s="76" t="n">
        <f t="shared" si="1"/>
        <v>0</v>
      </c>
      <c r="I91" s="76" t="n">
        <f t="shared" si="2"/>
        <v>0</v>
      </c>
      <c r="J91" s="76" t="n">
        <f t="shared" si="3"/>
        <v>0</v>
      </c>
      <c r="K91" s="76" t="n">
        <f t="shared" si="4"/>
        <v>0</v>
      </c>
      <c r="L91" s="75"/>
      <c r="M91" s="75"/>
      <c r="N91" s="75"/>
    </row>
    <row r="92" ht="14.25" customHeight="1">
      <c r="A92" s="62"/>
      <c r="B92" s="62"/>
      <c r="C92" s="75"/>
      <c r="D92" s="75"/>
      <c r="E92" s="75"/>
      <c r="F92" s="75"/>
      <c r="G92" s="75"/>
      <c r="H92" s="76" t="n">
        <f t="shared" si="1"/>
        <v>0</v>
      </c>
      <c r="I92" s="76" t="n">
        <f t="shared" si="2"/>
        <v>0</v>
      </c>
      <c r="J92" s="76" t="n">
        <f t="shared" si="3"/>
        <v>0</v>
      </c>
      <c r="K92" s="76" t="n">
        <f t="shared" si="4"/>
        <v>0</v>
      </c>
      <c r="L92" s="75"/>
      <c r="M92" s="75"/>
      <c r="N92" s="75"/>
    </row>
    <row r="93" ht="14.25" customHeight="1">
      <c r="A93" s="62"/>
      <c r="B93" s="62"/>
      <c r="C93" s="75"/>
      <c r="D93" s="75"/>
      <c r="E93" s="75"/>
      <c r="F93" s="75"/>
      <c r="G93" s="75"/>
      <c r="H93" s="76" t="n">
        <f t="shared" si="1"/>
        <v>0</v>
      </c>
      <c r="I93" s="76" t="n">
        <f t="shared" si="2"/>
        <v>0</v>
      </c>
      <c r="J93" s="76" t="n">
        <f t="shared" si="3"/>
        <v>0</v>
      </c>
      <c r="K93" s="76" t="n">
        <f t="shared" si="4"/>
        <v>0</v>
      </c>
      <c r="L93" s="75"/>
      <c r="M93" s="75"/>
      <c r="N93" s="75"/>
    </row>
    <row r="94" ht="14.25" customHeight="1">
      <c r="A94" s="62"/>
      <c r="B94" s="62"/>
      <c r="C94" s="75"/>
      <c r="D94" s="75"/>
      <c r="E94" s="75"/>
      <c r="F94" s="75"/>
      <c r="G94" s="75"/>
      <c r="H94" s="76" t="n">
        <f t="shared" si="1"/>
        <v>0</v>
      </c>
      <c r="I94" s="76" t="n">
        <f t="shared" si="2"/>
        <v>0</v>
      </c>
      <c r="J94" s="76" t="n">
        <f t="shared" si="3"/>
        <v>0</v>
      </c>
      <c r="K94" s="76" t="n">
        <f t="shared" si="4"/>
        <v>0</v>
      </c>
      <c r="L94" s="75"/>
      <c r="M94" s="75"/>
      <c r="N94" s="75"/>
    </row>
    <row r="95" ht="14.25" customHeight="1">
      <c r="A95" s="62"/>
      <c r="B95" s="62"/>
      <c r="C95" s="75"/>
      <c r="D95" s="75"/>
      <c r="E95" s="75"/>
      <c r="F95" s="75"/>
      <c r="G95" s="75"/>
      <c r="H95" s="76" t="n">
        <f t="shared" si="1"/>
        <v>0</v>
      </c>
      <c r="I95" s="76" t="n">
        <f t="shared" si="2"/>
        <v>0</v>
      </c>
      <c r="J95" s="76" t="n">
        <f t="shared" si="3"/>
        <v>0</v>
      </c>
      <c r="K95" s="76" t="n">
        <f t="shared" si="4"/>
        <v>0</v>
      </c>
      <c r="L95" s="75"/>
      <c r="M95" s="75"/>
      <c r="N95" s="75"/>
    </row>
    <row r="96" ht="14.25" customHeight="1">
      <c r="A96" s="62"/>
      <c r="B96" s="62"/>
      <c r="C96" s="75"/>
      <c r="D96" s="75"/>
      <c r="E96" s="75"/>
      <c r="F96" s="75"/>
      <c r="G96" s="75"/>
      <c r="H96" s="76" t="n">
        <f t="shared" si="1"/>
        <v>0</v>
      </c>
      <c r="I96" s="76" t="n">
        <f t="shared" si="2"/>
        <v>0</v>
      </c>
      <c r="J96" s="76" t="n">
        <f t="shared" si="3"/>
        <v>0</v>
      </c>
      <c r="K96" s="76" t="n">
        <f t="shared" si="4"/>
        <v>0</v>
      </c>
      <c r="L96" s="75"/>
      <c r="M96" s="75"/>
      <c r="N96" s="75"/>
    </row>
    <row r="97" ht="14.25" customHeight="1">
      <c r="A97" s="62"/>
      <c r="B97" s="62"/>
      <c r="C97" s="75"/>
      <c r="D97" s="75"/>
      <c r="E97" s="75"/>
      <c r="F97" s="75"/>
      <c r="G97" s="75"/>
      <c r="H97" s="76" t="n">
        <f t="shared" si="1"/>
        <v>0</v>
      </c>
      <c r="I97" s="76" t="n">
        <f t="shared" si="2"/>
        <v>0</v>
      </c>
      <c r="J97" s="76" t="n">
        <f t="shared" si="3"/>
        <v>0</v>
      </c>
      <c r="K97" s="76" t="n">
        <f t="shared" si="4"/>
        <v>0</v>
      </c>
      <c r="L97" s="75"/>
      <c r="M97" s="75"/>
      <c r="N97" s="75"/>
    </row>
    <row r="98" ht="14.25" customHeight="1">
      <c r="A98" s="62"/>
      <c r="B98" s="62"/>
      <c r="C98" s="75"/>
      <c r="D98" s="75"/>
      <c r="E98" s="75"/>
      <c r="F98" s="75"/>
      <c r="G98" s="75"/>
      <c r="H98" s="76" t="n">
        <f t="shared" si="1"/>
        <v>0</v>
      </c>
      <c r="I98" s="76" t="n">
        <f t="shared" si="2"/>
        <v>0</v>
      </c>
      <c r="J98" s="76" t="n">
        <f t="shared" si="3"/>
        <v>0</v>
      </c>
      <c r="K98" s="76" t="n">
        <f t="shared" si="4"/>
        <v>0</v>
      </c>
      <c r="L98" s="75"/>
      <c r="M98" s="75"/>
      <c r="N98" s="75"/>
    </row>
    <row r="99" ht="14.25" customHeight="1">
      <c r="A99" s="62"/>
      <c r="B99" s="62"/>
      <c r="C99" s="75"/>
      <c r="D99" s="75"/>
      <c r="E99" s="75"/>
      <c r="F99" s="75"/>
      <c r="G99" s="75"/>
      <c r="H99" s="76" t="n">
        <f t="shared" si="1"/>
        <v>0</v>
      </c>
      <c r="I99" s="76" t="n">
        <f t="shared" si="2"/>
        <v>0</v>
      </c>
      <c r="J99" s="76" t="n">
        <f t="shared" si="3"/>
        <v>0</v>
      </c>
      <c r="K99" s="76" t="n">
        <f t="shared" si="4"/>
        <v>0</v>
      </c>
      <c r="L99" s="75"/>
      <c r="M99" s="75"/>
      <c r="N99" s="75"/>
    </row>
    <row r="100" ht="14.25" customHeight="1">
      <c r="A100" s="62"/>
      <c r="B100" s="62"/>
      <c r="C100" s="75"/>
      <c r="D100" s="75"/>
      <c r="E100" s="75"/>
      <c r="F100" s="75"/>
      <c r="G100" s="75"/>
      <c r="H100" s="76" t="n">
        <f t="shared" si="1"/>
        <v>0</v>
      </c>
      <c r="I100" s="76" t="n">
        <f t="shared" si="2"/>
        <v>0</v>
      </c>
      <c r="J100" s="76" t="n">
        <f t="shared" si="3"/>
        <v>0</v>
      </c>
      <c r="K100" s="76" t="n">
        <f t="shared" si="4"/>
        <v>0</v>
      </c>
      <c r="L100" s="75"/>
      <c r="M100" s="75"/>
      <c r="N100" s="75"/>
    </row>
    <row r="101" ht="14.25" customHeight="1">
      <c r="A101" s="62"/>
      <c r="B101" s="62"/>
      <c r="C101" s="75"/>
      <c r="D101" s="75"/>
      <c r="E101" s="75"/>
      <c r="F101" s="75"/>
      <c r="G101" s="75"/>
      <c r="H101" s="76" t="n">
        <f t="shared" si="1"/>
        <v>0</v>
      </c>
      <c r="I101" s="76" t="n">
        <f t="shared" si="2"/>
        <v>0</v>
      </c>
      <c r="J101" s="76" t="n">
        <f t="shared" si="3"/>
        <v>0</v>
      </c>
      <c r="K101" s="76" t="n">
        <f t="shared" si="4"/>
        <v>0</v>
      </c>
      <c r="L101" s="75"/>
      <c r="M101" s="75"/>
      <c r="N101" s="75"/>
    </row>
    <row r="102" ht="14.25" customHeight="1">
      <c r="A102" s="62"/>
      <c r="B102" s="62"/>
      <c r="C102" s="75"/>
      <c r="D102" s="75"/>
      <c r="E102" s="75"/>
      <c r="F102" s="75"/>
      <c r="G102" s="75"/>
      <c r="H102" s="76" t="n">
        <f t="shared" si="1"/>
        <v>0</v>
      </c>
      <c r="I102" s="76" t="n">
        <f t="shared" si="2"/>
        <v>0</v>
      </c>
      <c r="J102" s="76" t="n">
        <f t="shared" si="3"/>
        <v>0</v>
      </c>
      <c r="K102" s="76" t="n">
        <f t="shared" si="4"/>
        <v>0</v>
      </c>
      <c r="L102" s="75"/>
      <c r="M102" s="75"/>
      <c r="N102" s="75"/>
    </row>
    <row r="103" ht="14.25" customHeight="1">
      <c r="A103" s="62"/>
      <c r="B103" s="62"/>
      <c r="C103" s="75"/>
      <c r="D103" s="75"/>
      <c r="E103" s="75"/>
      <c r="F103" s="75"/>
      <c r="G103" s="75"/>
      <c r="H103" s="76" t="n">
        <f t="shared" si="1"/>
        <v>0</v>
      </c>
      <c r="I103" s="76" t="n">
        <f t="shared" si="2"/>
        <v>0</v>
      </c>
      <c r="J103" s="76" t="n">
        <f t="shared" si="3"/>
        <v>0</v>
      </c>
      <c r="K103" s="76" t="n">
        <f t="shared" si="4"/>
        <v>0</v>
      </c>
      <c r="L103" s="75"/>
      <c r="M103" s="75"/>
      <c r="N103" s="75"/>
    </row>
    <row r="104" ht="14.25" customHeight="1">
      <c r="A104" s="62"/>
      <c r="B104" s="62"/>
      <c r="C104" s="75"/>
      <c r="D104" s="75"/>
      <c r="E104" s="75"/>
      <c r="F104" s="75"/>
      <c r="G104" s="75"/>
      <c r="H104" s="76" t="n">
        <f t="shared" si="1"/>
        <v>0</v>
      </c>
      <c r="I104" s="76" t="n">
        <f t="shared" si="2"/>
        <v>0</v>
      </c>
      <c r="J104" s="76" t="n">
        <f t="shared" si="3"/>
        <v>0</v>
      </c>
      <c r="K104" s="76" t="n">
        <f t="shared" si="4"/>
        <v>0</v>
      </c>
      <c r="L104" s="75"/>
      <c r="M104" s="75"/>
      <c r="N104" s="75"/>
    </row>
    <row r="105" ht="14.25" customHeight="1">
      <c r="A105" s="62"/>
      <c r="B105" s="62"/>
      <c r="C105" s="75"/>
      <c r="D105" s="75"/>
      <c r="E105" s="75"/>
      <c r="F105" s="75"/>
      <c r="G105" s="75"/>
      <c r="H105" s="76" t="n">
        <f t="shared" si="1"/>
        <v>0</v>
      </c>
      <c r="I105" s="76" t="n">
        <f t="shared" si="2"/>
        <v>0</v>
      </c>
      <c r="J105" s="76" t="n">
        <f t="shared" si="3"/>
        <v>0</v>
      </c>
      <c r="K105" s="76" t="n">
        <f t="shared" si="4"/>
        <v>0</v>
      </c>
      <c r="L105" s="75"/>
      <c r="M105" s="75"/>
      <c r="N105" s="75"/>
    </row>
    <row r="106" ht="14.25" customHeight="1">
      <c r="A106" s="62"/>
      <c r="B106" s="62"/>
      <c r="C106" s="75"/>
      <c r="D106" s="75"/>
      <c r="E106" s="75"/>
      <c r="F106" s="75"/>
      <c r="G106" s="75"/>
      <c r="H106" s="76" t="n">
        <f t="shared" si="1"/>
        <v>0</v>
      </c>
      <c r="I106" s="76" t="n">
        <f t="shared" si="2"/>
        <v>0</v>
      </c>
      <c r="J106" s="76" t="n">
        <f t="shared" si="3"/>
        <v>0</v>
      </c>
      <c r="K106" s="76" t="n">
        <f t="shared" si="4"/>
        <v>0</v>
      </c>
      <c r="L106" s="75"/>
      <c r="M106" s="75"/>
      <c r="N106" s="75"/>
    </row>
    <row r="107" ht="14.25" customHeight="1">
      <c r="A107" s="62"/>
      <c r="B107" s="62"/>
      <c r="C107" s="75"/>
      <c r="D107" s="75"/>
      <c r="E107" s="75"/>
      <c r="F107" s="75"/>
      <c r="G107" s="75"/>
      <c r="H107" s="76" t="n">
        <f t="shared" si="1"/>
        <v>0</v>
      </c>
      <c r="I107" s="76" t="n">
        <f t="shared" si="2"/>
        <v>0</v>
      </c>
      <c r="J107" s="76" t="n">
        <f t="shared" si="3"/>
        <v>0</v>
      </c>
      <c r="K107" s="76" t="n">
        <f t="shared" si="4"/>
        <v>0</v>
      </c>
      <c r="L107" s="75"/>
      <c r="M107" s="75"/>
      <c r="N107" s="75"/>
    </row>
    <row r="108" ht="14.25" customHeight="1">
      <c r="A108" s="62"/>
      <c r="B108" s="62"/>
      <c r="C108" s="75"/>
      <c r="D108" s="75"/>
      <c r="E108" s="75"/>
      <c r="F108" s="75"/>
      <c r="G108" s="75"/>
      <c r="H108" s="76" t="n">
        <f t="shared" si="1"/>
        <v>0</v>
      </c>
      <c r="I108" s="76" t="n">
        <f t="shared" si="2"/>
        <v>0</v>
      </c>
      <c r="J108" s="76" t="n">
        <f t="shared" si="3"/>
        <v>0</v>
      </c>
      <c r="K108" s="76" t="n">
        <f t="shared" si="4"/>
        <v>0</v>
      </c>
      <c r="L108" s="75"/>
      <c r="M108" s="75"/>
      <c r="N108" s="75"/>
    </row>
    <row r="109" ht="14.25" customHeight="1">
      <c r="A109" s="62"/>
      <c r="B109" s="62"/>
      <c r="C109" s="75"/>
      <c r="D109" s="75"/>
      <c r="E109" s="75"/>
      <c r="F109" s="75"/>
      <c r="G109" s="75"/>
      <c r="H109" s="76" t="n">
        <f t="shared" si="1"/>
        <v>0</v>
      </c>
      <c r="I109" s="76" t="n">
        <f t="shared" si="2"/>
        <v>0</v>
      </c>
      <c r="J109" s="76" t="n">
        <f t="shared" si="3"/>
        <v>0</v>
      </c>
      <c r="K109" s="76" t="n">
        <f t="shared" si="4"/>
        <v>0</v>
      </c>
      <c r="L109" s="75"/>
      <c r="M109" s="75"/>
      <c r="N109" s="75"/>
    </row>
    <row r="110" ht="14.25" customHeight="1">
      <c r="A110" s="62"/>
      <c r="B110" s="62"/>
      <c r="C110" s="75"/>
      <c r="D110" s="75"/>
      <c r="E110" s="75"/>
      <c r="F110" s="75"/>
      <c r="G110" s="75"/>
      <c r="H110" s="76" t="n">
        <f t="shared" si="1"/>
        <v>0</v>
      </c>
      <c r="I110" s="76" t="n">
        <f t="shared" si="2"/>
        <v>0</v>
      </c>
      <c r="J110" s="76" t="n">
        <f t="shared" si="3"/>
        <v>0</v>
      </c>
      <c r="K110" s="76" t="n">
        <f t="shared" si="4"/>
        <v>0</v>
      </c>
      <c r="L110" s="75"/>
      <c r="M110" s="75"/>
      <c r="N110" s="75"/>
    </row>
    <row r="111" ht="14.25" customHeight="1">
      <c r="A111" s="62"/>
      <c r="B111" s="62"/>
      <c r="C111" s="75"/>
      <c r="D111" s="75"/>
      <c r="E111" s="75"/>
      <c r="F111" s="75"/>
      <c r="G111" s="75"/>
      <c r="H111" s="76" t="n">
        <f t="shared" si="1"/>
        <v>0</v>
      </c>
      <c r="I111" s="76" t="n">
        <f t="shared" si="2"/>
        <v>0</v>
      </c>
      <c r="J111" s="76" t="n">
        <f t="shared" si="3"/>
        <v>0</v>
      </c>
      <c r="K111" s="76" t="n">
        <f t="shared" si="4"/>
        <v>0</v>
      </c>
      <c r="L111" s="75"/>
      <c r="M111" s="75"/>
      <c r="N111" s="75"/>
    </row>
    <row r="112" ht="14.25" customHeight="1">
      <c r="A112" s="62"/>
      <c r="B112" s="62"/>
      <c r="C112" s="75"/>
      <c r="D112" s="75"/>
      <c r="E112" s="75"/>
      <c r="F112" s="75"/>
      <c r="G112" s="75"/>
      <c r="H112" s="76" t="n">
        <f t="shared" si="1"/>
        <v>0</v>
      </c>
      <c r="I112" s="76" t="n">
        <f t="shared" si="2"/>
        <v>0</v>
      </c>
      <c r="J112" s="76" t="n">
        <f t="shared" si="3"/>
        <v>0</v>
      </c>
      <c r="K112" s="76" t="n">
        <f t="shared" si="4"/>
        <v>0</v>
      </c>
      <c r="L112" s="75"/>
      <c r="M112" s="75"/>
      <c r="N112" s="75"/>
    </row>
    <row r="113" ht="14.25" customHeight="1">
      <c r="A113" s="62"/>
      <c r="B113" s="62"/>
      <c r="C113" s="75"/>
      <c r="D113" s="75"/>
      <c r="E113" s="75"/>
      <c r="F113" s="75"/>
      <c r="G113" s="75"/>
      <c r="H113" s="76" t="n">
        <f t="shared" si="1"/>
        <v>0</v>
      </c>
      <c r="I113" s="76" t="n">
        <f t="shared" si="2"/>
        <v>0</v>
      </c>
      <c r="J113" s="76" t="n">
        <f t="shared" si="3"/>
        <v>0</v>
      </c>
      <c r="K113" s="76" t="n">
        <f t="shared" si="4"/>
        <v>0</v>
      </c>
      <c r="L113" s="75"/>
      <c r="M113" s="75"/>
      <c r="N113" s="75"/>
    </row>
    <row r="114" ht="14.25" customHeight="1">
      <c r="A114" s="62"/>
      <c r="B114" s="62"/>
      <c r="C114" s="75"/>
      <c r="D114" s="75"/>
      <c r="E114" s="75"/>
      <c r="F114" s="75"/>
      <c r="G114" s="75"/>
      <c r="H114" s="76" t="n">
        <f t="shared" si="1"/>
        <v>0</v>
      </c>
      <c r="I114" s="76" t="n">
        <f t="shared" si="2"/>
        <v>0</v>
      </c>
      <c r="J114" s="76" t="n">
        <f t="shared" si="3"/>
        <v>0</v>
      </c>
      <c r="K114" s="76" t="n">
        <f t="shared" si="4"/>
        <v>0</v>
      </c>
      <c r="L114" s="75"/>
      <c r="M114" s="75"/>
      <c r="N114" s="75"/>
    </row>
    <row r="115" ht="14.25" customHeight="1">
      <c r="A115" s="62"/>
      <c r="B115" s="62"/>
      <c r="C115" s="75"/>
      <c r="D115" s="75"/>
      <c r="E115" s="75"/>
      <c r="F115" s="75"/>
      <c r="G115" s="75"/>
      <c r="H115" s="76" t="n">
        <f t="shared" si="1"/>
        <v>0</v>
      </c>
      <c r="I115" s="76" t="n">
        <f t="shared" si="2"/>
        <v>0</v>
      </c>
      <c r="J115" s="76" t="n">
        <f t="shared" si="3"/>
        <v>0</v>
      </c>
      <c r="K115" s="76" t="n">
        <f t="shared" si="4"/>
        <v>0</v>
      </c>
      <c r="L115" s="75"/>
      <c r="M115" s="75"/>
      <c r="N115" s="75"/>
    </row>
    <row r="116" ht="14.25" customHeight="1">
      <c r="A116" s="62"/>
      <c r="B116" s="62"/>
      <c r="C116" s="75"/>
      <c r="D116" s="75"/>
      <c r="E116" s="75"/>
      <c r="F116" s="75"/>
      <c r="G116" s="75"/>
      <c r="H116" s="76" t="n">
        <f t="shared" si="1"/>
        <v>0</v>
      </c>
      <c r="I116" s="76" t="n">
        <f t="shared" si="2"/>
        <v>0</v>
      </c>
      <c r="J116" s="76" t="n">
        <f t="shared" si="3"/>
        <v>0</v>
      </c>
      <c r="K116" s="76" t="n">
        <f t="shared" si="4"/>
        <v>0</v>
      </c>
      <c r="L116" s="75"/>
      <c r="M116" s="75"/>
      <c r="N116" s="75"/>
    </row>
    <row r="117" ht="14.25" customHeight="1">
      <c r="A117" s="62"/>
      <c r="B117" s="62"/>
      <c r="C117" s="75"/>
      <c r="D117" s="75"/>
      <c r="E117" s="75"/>
      <c r="F117" s="75"/>
      <c r="G117" s="75"/>
      <c r="H117" s="76" t="n">
        <f t="shared" si="1"/>
        <v>0</v>
      </c>
      <c r="I117" s="76" t="n">
        <f t="shared" si="2"/>
        <v>0</v>
      </c>
      <c r="J117" s="76" t="n">
        <f t="shared" si="3"/>
        <v>0</v>
      </c>
      <c r="K117" s="76" t="n">
        <f t="shared" si="4"/>
        <v>0</v>
      </c>
      <c r="L117" s="75"/>
      <c r="M117" s="75"/>
      <c r="N117" s="75"/>
    </row>
    <row r="118" ht="14.25" customHeight="1">
      <c r="A118" s="62"/>
      <c r="B118" s="62"/>
      <c r="C118" s="75"/>
      <c r="D118" s="75"/>
      <c r="E118" s="75"/>
      <c r="F118" s="75"/>
      <c r="G118" s="75"/>
      <c r="H118" s="76" t="n">
        <f t="shared" si="1"/>
        <v>0</v>
      </c>
      <c r="I118" s="76" t="n">
        <f t="shared" si="2"/>
        <v>0</v>
      </c>
      <c r="J118" s="76" t="n">
        <f t="shared" si="3"/>
        <v>0</v>
      </c>
      <c r="K118" s="76" t="n">
        <f t="shared" si="4"/>
        <v>0</v>
      </c>
      <c r="L118" s="75"/>
      <c r="M118" s="75"/>
      <c r="N118" s="75"/>
    </row>
    <row r="119" ht="14.25" customHeight="1">
      <c r="A119" s="62"/>
      <c r="B119" s="62"/>
      <c r="C119" s="75"/>
      <c r="D119" s="75"/>
      <c r="E119" s="75"/>
      <c r="F119" s="75"/>
      <c r="G119" s="75"/>
      <c r="H119" s="76" t="n">
        <f t="shared" si="1"/>
        <v>0</v>
      </c>
      <c r="I119" s="76" t="n">
        <f t="shared" si="2"/>
        <v>0</v>
      </c>
      <c r="J119" s="76" t="n">
        <f t="shared" si="3"/>
        <v>0</v>
      </c>
      <c r="K119" s="76" t="n">
        <f t="shared" si="4"/>
        <v>0</v>
      </c>
      <c r="L119" s="75"/>
      <c r="M119" s="75"/>
      <c r="N119" s="75"/>
    </row>
    <row r="120" ht="14.25" customHeight="1">
      <c r="A120" s="62"/>
      <c r="B120" s="62"/>
      <c r="C120" s="75"/>
      <c r="D120" s="75"/>
      <c r="E120" s="75"/>
      <c r="F120" s="75"/>
      <c r="G120" s="75"/>
      <c r="H120" s="76" t="n">
        <f t="shared" si="1"/>
        <v>0</v>
      </c>
      <c r="I120" s="76" t="n">
        <f t="shared" si="2"/>
        <v>0</v>
      </c>
      <c r="J120" s="76" t="n">
        <f t="shared" si="3"/>
        <v>0</v>
      </c>
      <c r="K120" s="76" t="n">
        <f t="shared" si="4"/>
        <v>0</v>
      </c>
      <c r="L120" s="75"/>
      <c r="M120" s="75"/>
      <c r="N120" s="75"/>
    </row>
    <row r="121" ht="14.25" customHeight="1">
      <c r="A121" s="62"/>
      <c r="B121" s="62"/>
      <c r="C121" s="75"/>
      <c r="D121" s="75"/>
      <c r="E121" s="75"/>
      <c r="F121" s="75"/>
      <c r="G121" s="75"/>
      <c r="H121" s="76" t="n">
        <f t="shared" si="1"/>
        <v>0</v>
      </c>
      <c r="I121" s="76" t="n">
        <f t="shared" si="2"/>
        <v>0</v>
      </c>
      <c r="J121" s="76" t="n">
        <f t="shared" si="3"/>
        <v>0</v>
      </c>
      <c r="K121" s="76" t="n">
        <f t="shared" si="4"/>
        <v>0</v>
      </c>
      <c r="L121" s="75"/>
      <c r="M121" s="75"/>
      <c r="N121" s="75"/>
    </row>
    <row r="122" ht="14.25" customHeight="1">
      <c r="A122" s="62"/>
      <c r="B122" s="62"/>
      <c r="C122" s="75"/>
      <c r="D122" s="75"/>
      <c r="E122" s="75"/>
      <c r="F122" s="75"/>
      <c r="G122" s="75"/>
      <c r="H122" s="76" t="n">
        <f t="shared" si="1"/>
        <v>0</v>
      </c>
      <c r="I122" s="76" t="n">
        <f t="shared" si="2"/>
        <v>0</v>
      </c>
      <c r="J122" s="76" t="n">
        <f t="shared" si="3"/>
        <v>0</v>
      </c>
      <c r="K122" s="76" t="n">
        <f t="shared" si="4"/>
        <v>0</v>
      </c>
      <c r="L122" s="75"/>
      <c r="M122" s="75"/>
      <c r="N122" s="75"/>
    </row>
    <row r="123" ht="14.25" customHeight="1">
      <c r="A123" s="62"/>
      <c r="B123" s="62"/>
      <c r="C123" s="75"/>
      <c r="D123" s="75"/>
      <c r="E123" s="75"/>
      <c r="F123" s="75"/>
      <c r="G123" s="75"/>
      <c r="H123" s="76" t="n">
        <f t="shared" si="1"/>
        <v>0</v>
      </c>
      <c r="I123" s="76" t="n">
        <f t="shared" si="2"/>
        <v>0</v>
      </c>
      <c r="J123" s="76" t="n">
        <f t="shared" si="3"/>
        <v>0</v>
      </c>
      <c r="K123" s="76" t="n">
        <f t="shared" si="4"/>
        <v>0</v>
      </c>
      <c r="L123" s="75"/>
      <c r="M123" s="75"/>
      <c r="N123" s="75"/>
    </row>
    <row r="124" ht="14.25" customHeight="1">
      <c r="A124" s="62"/>
      <c r="B124" s="62"/>
      <c r="C124" s="75"/>
      <c r="D124" s="75"/>
      <c r="E124" s="75"/>
      <c r="F124" s="75"/>
      <c r="G124" s="75"/>
      <c r="H124" s="76" t="n">
        <f t="shared" si="1"/>
        <v>0</v>
      </c>
      <c r="I124" s="76" t="n">
        <f t="shared" si="2"/>
        <v>0</v>
      </c>
      <c r="J124" s="76" t="n">
        <f t="shared" si="3"/>
        <v>0</v>
      </c>
      <c r="K124" s="76" t="n">
        <f t="shared" si="4"/>
        <v>0</v>
      </c>
      <c r="L124" s="75"/>
      <c r="M124" s="75"/>
      <c r="N124" s="75"/>
    </row>
    <row r="125" ht="14.25" customHeight="1">
      <c r="A125" s="62"/>
      <c r="B125" s="62"/>
      <c r="C125" s="75"/>
      <c r="D125" s="75"/>
      <c r="E125" s="75"/>
      <c r="F125" s="75"/>
      <c r="G125" s="75"/>
      <c r="H125" s="76" t="n">
        <f t="shared" si="1"/>
        <v>0</v>
      </c>
      <c r="I125" s="76" t="n">
        <f t="shared" si="2"/>
        <v>0</v>
      </c>
      <c r="J125" s="76" t="n">
        <f t="shared" si="3"/>
        <v>0</v>
      </c>
      <c r="K125" s="76" t="n">
        <f t="shared" si="4"/>
        <v>0</v>
      </c>
      <c r="L125" s="75"/>
      <c r="M125" s="75"/>
      <c r="N125" s="75"/>
    </row>
    <row r="126" ht="14.25" customHeight="1">
      <c r="A126" s="62"/>
      <c r="B126" s="62"/>
      <c r="C126" s="75"/>
      <c r="D126" s="75"/>
      <c r="E126" s="75"/>
      <c r="F126" s="75"/>
      <c r="G126" s="75"/>
      <c r="H126" s="76" t="n">
        <f t="shared" si="1"/>
        <v>0</v>
      </c>
      <c r="I126" s="76" t="n">
        <f t="shared" si="2"/>
        <v>0</v>
      </c>
      <c r="J126" s="76" t="n">
        <f t="shared" si="3"/>
        <v>0</v>
      </c>
      <c r="K126" s="76" t="n">
        <f t="shared" si="4"/>
        <v>0</v>
      </c>
      <c r="L126" s="75"/>
      <c r="M126" s="75"/>
      <c r="N126" s="75"/>
    </row>
    <row r="127" ht="14.25" customHeight="1">
      <c r="A127" s="62"/>
      <c r="B127" s="62"/>
      <c r="C127" s="75"/>
      <c r="D127" s="75"/>
      <c r="E127" s="75"/>
      <c r="F127" s="75"/>
      <c r="G127" s="75"/>
      <c r="H127" s="76" t="n">
        <f t="shared" si="1"/>
        <v>0</v>
      </c>
      <c r="I127" s="76" t="n">
        <f t="shared" si="2"/>
        <v>0</v>
      </c>
      <c r="J127" s="76" t="n">
        <f t="shared" si="3"/>
        <v>0</v>
      </c>
      <c r="K127" s="76" t="n">
        <f t="shared" si="4"/>
        <v>0</v>
      </c>
      <c r="L127" s="75"/>
      <c r="M127" s="75"/>
      <c r="N127" s="75"/>
    </row>
    <row r="128" ht="14.25" customHeight="1">
      <c r="A128" s="62"/>
      <c r="B128" s="62"/>
      <c r="C128" s="75"/>
      <c r="D128" s="75"/>
      <c r="E128" s="75"/>
      <c r="F128" s="75"/>
      <c r="G128" s="75"/>
      <c r="H128" s="76" t="n">
        <f t="shared" si="1"/>
        <v>0</v>
      </c>
      <c r="I128" s="76" t="n">
        <f t="shared" si="2"/>
        <v>0</v>
      </c>
      <c r="J128" s="76" t="n">
        <f t="shared" si="3"/>
        <v>0</v>
      </c>
      <c r="K128" s="76" t="n">
        <f t="shared" si="4"/>
        <v>0</v>
      </c>
      <c r="L128" s="75"/>
      <c r="M128" s="75"/>
      <c r="N128" s="75"/>
    </row>
    <row r="129" ht="14.25" customHeight="1">
      <c r="A129" s="62"/>
      <c r="B129" s="62"/>
      <c r="C129" s="75"/>
      <c r="D129" s="75"/>
      <c r="E129" s="75"/>
      <c r="F129" s="75"/>
      <c r="G129" s="75"/>
      <c r="H129" s="76" t="n">
        <f t="shared" si="1"/>
        <v>0</v>
      </c>
      <c r="I129" s="76" t="n">
        <f t="shared" si="2"/>
        <v>0</v>
      </c>
      <c r="J129" s="76" t="n">
        <f t="shared" si="3"/>
        <v>0</v>
      </c>
      <c r="K129" s="76" t="n">
        <f t="shared" si="4"/>
        <v>0</v>
      </c>
      <c r="L129" s="75"/>
      <c r="M129" s="75"/>
      <c r="N129" s="75"/>
    </row>
    <row r="130" ht="14.25" customHeight="1">
      <c r="A130" s="62"/>
      <c r="B130" s="62"/>
      <c r="C130" s="75"/>
      <c r="D130" s="75"/>
      <c r="E130" s="75"/>
      <c r="F130" s="75"/>
      <c r="G130" s="75"/>
      <c r="H130" s="76" t="n">
        <f t="shared" si="1"/>
        <v>0</v>
      </c>
      <c r="I130" s="76" t="n">
        <f t="shared" si="2"/>
        <v>0</v>
      </c>
      <c r="J130" s="76" t="n">
        <f t="shared" si="3"/>
        <v>0</v>
      </c>
      <c r="K130" s="76" t="n">
        <f t="shared" si="4"/>
        <v>0</v>
      </c>
      <c r="L130" s="75"/>
      <c r="M130" s="75"/>
      <c r="N130" s="75"/>
    </row>
    <row r="131" ht="14.25" customHeight="1">
      <c r="A131" s="62"/>
      <c r="B131" s="62"/>
      <c r="C131" s="75"/>
      <c r="D131" s="75"/>
      <c r="E131" s="75"/>
      <c r="F131" s="75"/>
      <c r="G131" s="75"/>
      <c r="H131" s="76" t="n">
        <f t="shared" si="1"/>
        <v>0</v>
      </c>
      <c r="I131" s="76" t="n">
        <f t="shared" si="2"/>
        <v>0</v>
      </c>
      <c r="J131" s="76" t="n">
        <f t="shared" si="3"/>
        <v>0</v>
      </c>
      <c r="K131" s="76" t="n">
        <f t="shared" si="4"/>
        <v>0</v>
      </c>
      <c r="L131" s="75"/>
      <c r="M131" s="75"/>
      <c r="N131" s="75"/>
    </row>
    <row r="132" ht="14.25" customHeight="1">
      <c r="A132" s="62"/>
      <c r="B132" s="62"/>
      <c r="C132" s="75"/>
      <c r="D132" s="75"/>
      <c r="E132" s="75"/>
      <c r="F132" s="75"/>
      <c r="G132" s="75"/>
      <c r="H132" s="76" t="n">
        <f t="shared" si="1"/>
        <v>0</v>
      </c>
      <c r="I132" s="76" t="n">
        <f t="shared" si="2"/>
        <v>0</v>
      </c>
      <c r="J132" s="76" t="n">
        <f t="shared" si="3"/>
        <v>0</v>
      </c>
      <c r="K132" s="76" t="n">
        <f t="shared" si="4"/>
        <v>0</v>
      </c>
      <c r="L132" s="75"/>
      <c r="M132" s="75"/>
      <c r="N132" s="75"/>
    </row>
    <row r="133" ht="14.25" customHeight="1">
      <c r="A133" s="62"/>
      <c r="B133" s="62"/>
      <c r="C133" s="75"/>
      <c r="D133" s="75"/>
      <c r="E133" s="75"/>
      <c r="F133" s="75"/>
      <c r="G133" s="75"/>
      <c r="H133" s="76" t="n">
        <f t="shared" si="1"/>
        <v>0</v>
      </c>
      <c r="I133" s="76" t="n">
        <f t="shared" si="2"/>
        <v>0</v>
      </c>
      <c r="J133" s="76" t="n">
        <f t="shared" si="3"/>
        <v>0</v>
      </c>
      <c r="K133" s="76" t="n">
        <f t="shared" si="4"/>
        <v>0</v>
      </c>
      <c r="L133" s="75"/>
      <c r="M133" s="75"/>
      <c r="N133" s="75"/>
    </row>
    <row r="134" ht="14.25" customHeight="1">
      <c r="A134" s="62"/>
      <c r="B134" s="62"/>
      <c r="C134" s="75"/>
      <c r="D134" s="75"/>
      <c r="E134" s="75"/>
      <c r="F134" s="75"/>
      <c r="G134" s="75"/>
      <c r="H134" s="76" t="n">
        <f t="shared" si="1"/>
        <v>0</v>
      </c>
      <c r="I134" s="76" t="n">
        <f t="shared" si="2"/>
        <v>0</v>
      </c>
      <c r="J134" s="76" t="n">
        <f t="shared" si="3"/>
        <v>0</v>
      </c>
      <c r="K134" s="76" t="n">
        <f t="shared" si="4"/>
        <v>0</v>
      </c>
      <c r="L134" s="75"/>
      <c r="M134" s="75"/>
      <c r="N134" s="75"/>
    </row>
    <row r="135" ht="14.25" customHeight="1">
      <c r="A135" s="62"/>
      <c r="B135" s="62"/>
      <c r="C135" s="75"/>
      <c r="D135" s="75"/>
      <c r="E135" s="75"/>
      <c r="F135" s="75"/>
      <c r="G135" s="75"/>
      <c r="H135" s="76" t="n">
        <f t="shared" si="1"/>
        <v>0</v>
      </c>
      <c r="I135" s="76" t="n">
        <f t="shared" si="2"/>
        <v>0</v>
      </c>
      <c r="J135" s="76" t="n">
        <f t="shared" si="3"/>
        <v>0</v>
      </c>
      <c r="K135" s="76" t="n">
        <f t="shared" si="4"/>
        <v>0</v>
      </c>
      <c r="L135" s="75"/>
      <c r="M135" s="75"/>
      <c r="N135" s="75"/>
    </row>
    <row r="136" ht="14.25" customHeight="1">
      <c r="A136" s="62"/>
      <c r="B136" s="62"/>
      <c r="C136" s="75"/>
      <c r="D136" s="75"/>
      <c r="E136" s="75"/>
      <c r="F136" s="75"/>
      <c r="G136" s="75"/>
      <c r="H136" s="76" t="n">
        <f t="shared" si="1"/>
        <v>0</v>
      </c>
      <c r="I136" s="76" t="n">
        <f t="shared" si="2"/>
        <v>0</v>
      </c>
      <c r="J136" s="76" t="n">
        <f t="shared" si="3"/>
        <v>0</v>
      </c>
      <c r="K136" s="76" t="n">
        <f t="shared" si="4"/>
        <v>0</v>
      </c>
      <c r="L136" s="75"/>
      <c r="M136" s="75"/>
      <c r="N136" s="75"/>
    </row>
    <row r="137" ht="14.25" customHeight="1">
      <c r="A137" s="62"/>
      <c r="B137" s="62"/>
      <c r="C137" s="75"/>
      <c r="D137" s="75"/>
      <c r="E137" s="75"/>
      <c r="F137" s="75"/>
      <c r="G137" s="75"/>
      <c r="H137" s="76" t="n">
        <f t="shared" si="1"/>
        <v>0</v>
      </c>
      <c r="I137" s="76" t="n">
        <f t="shared" si="2"/>
        <v>0</v>
      </c>
      <c r="J137" s="76" t="n">
        <f t="shared" si="3"/>
        <v>0</v>
      </c>
      <c r="K137" s="76" t="n">
        <f t="shared" si="4"/>
        <v>0</v>
      </c>
      <c r="L137" s="75"/>
      <c r="M137" s="75"/>
      <c r="N137" s="75"/>
    </row>
    <row r="138" ht="14.25" customHeight="1">
      <c r="A138" s="62"/>
      <c r="B138" s="62"/>
      <c r="C138" s="75"/>
      <c r="D138" s="75"/>
      <c r="E138" s="75"/>
      <c r="F138" s="75"/>
      <c r="G138" s="75"/>
      <c r="H138" s="76" t="n">
        <f t="shared" si="1"/>
        <v>0</v>
      </c>
      <c r="I138" s="76" t="n">
        <f t="shared" si="2"/>
        <v>0</v>
      </c>
      <c r="J138" s="76" t="n">
        <f t="shared" si="3"/>
        <v>0</v>
      </c>
      <c r="K138" s="76" t="n">
        <f t="shared" si="4"/>
        <v>0</v>
      </c>
      <c r="L138" s="75"/>
      <c r="M138" s="75"/>
      <c r="N138" s="75"/>
    </row>
    <row r="139" ht="14.25" customHeight="1">
      <c r="A139" s="62"/>
      <c r="B139" s="62"/>
      <c r="C139" s="75"/>
      <c r="D139" s="75"/>
      <c r="E139" s="75"/>
      <c r="F139" s="75"/>
      <c r="G139" s="75"/>
      <c r="H139" s="76" t="n">
        <f t="shared" si="1"/>
        <v>0</v>
      </c>
      <c r="I139" s="76" t="n">
        <f t="shared" si="2"/>
        <v>0</v>
      </c>
      <c r="J139" s="76" t="n">
        <f t="shared" si="3"/>
        <v>0</v>
      </c>
      <c r="K139" s="76" t="n">
        <f t="shared" si="4"/>
        <v>0</v>
      </c>
      <c r="L139" s="75"/>
      <c r="M139" s="75"/>
      <c r="N139" s="75"/>
    </row>
    <row r="140" ht="14.25" customHeight="1">
      <c r="A140" s="62"/>
      <c r="B140" s="62"/>
      <c r="C140" s="75"/>
      <c r="D140" s="75"/>
      <c r="E140" s="75"/>
      <c r="F140" s="75"/>
      <c r="G140" s="75"/>
      <c r="H140" s="76" t="n">
        <f t="shared" si="1"/>
        <v>0</v>
      </c>
      <c r="I140" s="76" t="n">
        <f t="shared" si="2"/>
        <v>0</v>
      </c>
      <c r="J140" s="76" t="n">
        <f t="shared" si="3"/>
        <v>0</v>
      </c>
      <c r="K140" s="76" t="n">
        <f t="shared" si="4"/>
        <v>0</v>
      </c>
      <c r="L140" s="75"/>
      <c r="M140" s="75"/>
      <c r="N140" s="75"/>
    </row>
    <row r="141" ht="14.25" customHeight="1">
      <c r="A141" s="62"/>
      <c r="B141" s="62"/>
      <c r="C141" s="75"/>
      <c r="D141" s="75"/>
      <c r="E141" s="75"/>
      <c r="F141" s="75"/>
      <c r="G141" s="75"/>
      <c r="H141" s="76" t="n">
        <f t="shared" si="1"/>
        <v>0</v>
      </c>
      <c r="I141" s="76" t="n">
        <f t="shared" si="2"/>
        <v>0</v>
      </c>
      <c r="J141" s="76" t="n">
        <f t="shared" si="3"/>
        <v>0</v>
      </c>
      <c r="K141" s="76" t="n">
        <f t="shared" si="4"/>
        <v>0</v>
      </c>
      <c r="L141" s="75"/>
      <c r="M141" s="75"/>
      <c r="N141" s="75"/>
    </row>
    <row r="142" ht="14.25" customHeight="1">
      <c r="A142" s="62"/>
      <c r="B142" s="62"/>
      <c r="C142" s="75"/>
      <c r="D142" s="75"/>
      <c r="E142" s="75"/>
      <c r="F142" s="75"/>
      <c r="G142" s="75"/>
      <c r="H142" s="76" t="n">
        <f t="shared" si="1"/>
        <v>0</v>
      </c>
      <c r="I142" s="76" t="n">
        <f t="shared" si="2"/>
        <v>0</v>
      </c>
      <c r="J142" s="76" t="n">
        <f t="shared" si="3"/>
        <v>0</v>
      </c>
      <c r="K142" s="76" t="n">
        <f t="shared" si="4"/>
        <v>0</v>
      </c>
      <c r="L142" s="75"/>
      <c r="M142" s="75"/>
      <c r="N142" s="75"/>
    </row>
    <row r="143" ht="14.25" customHeight="1">
      <c r="A143" s="62"/>
      <c r="B143" s="62"/>
      <c r="C143" s="75"/>
      <c r="D143" s="75"/>
      <c r="E143" s="75"/>
      <c r="F143" s="75"/>
      <c r="G143" s="75"/>
      <c r="H143" s="76" t="n">
        <f t="shared" si="1"/>
        <v>0</v>
      </c>
      <c r="I143" s="76" t="n">
        <f t="shared" si="2"/>
        <v>0</v>
      </c>
      <c r="J143" s="76" t="n">
        <f t="shared" si="3"/>
        <v>0</v>
      </c>
      <c r="K143" s="76" t="n">
        <f t="shared" si="4"/>
        <v>0</v>
      </c>
      <c r="L143" s="75"/>
      <c r="M143" s="75"/>
      <c r="N143" s="75"/>
    </row>
    <row r="144" ht="14.25" customHeight="1">
      <c r="A144" s="62"/>
      <c r="B144" s="62"/>
      <c r="C144" s="75"/>
      <c r="D144" s="75"/>
      <c r="E144" s="75"/>
      <c r="F144" s="75"/>
      <c r="G144" s="75"/>
      <c r="H144" s="76" t="n">
        <f t="shared" si="1"/>
        <v>0</v>
      </c>
      <c r="I144" s="76" t="n">
        <f t="shared" si="2"/>
        <v>0</v>
      </c>
      <c r="J144" s="76" t="n">
        <f t="shared" si="3"/>
        <v>0</v>
      </c>
      <c r="K144" s="76" t="n">
        <f t="shared" si="4"/>
        <v>0</v>
      </c>
      <c r="L144" s="75"/>
      <c r="M144" s="75"/>
      <c r="N144" s="75"/>
    </row>
    <row r="145" ht="14.25" customHeight="1">
      <c r="A145" s="62"/>
      <c r="B145" s="62"/>
      <c r="C145" s="75"/>
      <c r="D145" s="75"/>
      <c r="E145" s="75"/>
      <c r="F145" s="75"/>
      <c r="G145" s="75"/>
      <c r="H145" s="76" t="n">
        <f t="shared" si="1"/>
        <v>0</v>
      </c>
      <c r="I145" s="76" t="n">
        <f t="shared" si="2"/>
        <v>0</v>
      </c>
      <c r="J145" s="76" t="n">
        <f t="shared" si="3"/>
        <v>0</v>
      </c>
      <c r="K145" s="76" t="n">
        <f t="shared" si="4"/>
        <v>0</v>
      </c>
      <c r="L145" s="75"/>
      <c r="M145" s="75"/>
      <c r="N145" s="75"/>
    </row>
    <row r="146" ht="14.25" customHeight="1">
      <c r="A146" s="62"/>
      <c r="B146" s="62"/>
      <c r="C146" s="75"/>
      <c r="D146" s="75"/>
      <c r="E146" s="75"/>
      <c r="F146" s="75"/>
      <c r="G146" s="75"/>
      <c r="H146" s="76" t="n">
        <f t="shared" si="1"/>
        <v>0</v>
      </c>
      <c r="I146" s="76" t="n">
        <f t="shared" si="2"/>
        <v>0</v>
      </c>
      <c r="J146" s="76" t="n">
        <f t="shared" si="3"/>
        <v>0</v>
      </c>
      <c r="K146" s="76" t="n">
        <f t="shared" si="4"/>
        <v>0</v>
      </c>
      <c r="L146" s="75"/>
      <c r="M146" s="75"/>
      <c r="N146" s="75"/>
    </row>
    <row r="147" ht="14.25" customHeight="1">
      <c r="A147" s="62"/>
      <c r="B147" s="62"/>
      <c r="C147" s="75"/>
      <c r="D147" s="75"/>
      <c r="E147" s="75"/>
      <c r="F147" s="75"/>
      <c r="G147" s="75"/>
      <c r="H147" s="76" t="n">
        <f t="shared" si="1"/>
        <v>0</v>
      </c>
      <c r="I147" s="76" t="n">
        <f t="shared" si="2"/>
        <v>0</v>
      </c>
      <c r="J147" s="76" t="n">
        <f t="shared" si="3"/>
        <v>0</v>
      </c>
      <c r="K147" s="76" t="n">
        <f t="shared" si="4"/>
        <v>0</v>
      </c>
      <c r="L147" s="75"/>
      <c r="M147" s="75"/>
      <c r="N147" s="75"/>
    </row>
    <row r="148" ht="14.25" customHeight="1">
      <c r="A148" s="62"/>
      <c r="B148" s="62"/>
      <c r="C148" s="75"/>
      <c r="D148" s="75"/>
      <c r="E148" s="75"/>
      <c r="F148" s="75"/>
      <c r="G148" s="75"/>
      <c r="H148" s="76" t="n">
        <f t="shared" si="1"/>
        <v>0</v>
      </c>
      <c r="I148" s="76" t="n">
        <f t="shared" si="2"/>
        <v>0</v>
      </c>
      <c r="J148" s="76" t="n">
        <f t="shared" si="3"/>
        <v>0</v>
      </c>
      <c r="K148" s="76" t="n">
        <f t="shared" si="4"/>
        <v>0</v>
      </c>
      <c r="L148" s="75"/>
      <c r="M148" s="75"/>
      <c r="N148" s="75"/>
    </row>
    <row r="149" ht="14.25" customHeight="1">
      <c r="A149" s="62"/>
      <c r="B149" s="62"/>
      <c r="C149" s="75"/>
      <c r="D149" s="75"/>
      <c r="E149" s="75"/>
      <c r="F149" s="75"/>
      <c r="G149" s="75"/>
      <c r="H149" s="76" t="n">
        <f t="shared" si="1"/>
        <v>0</v>
      </c>
      <c r="I149" s="76" t="n">
        <f t="shared" si="2"/>
        <v>0</v>
      </c>
      <c r="J149" s="76" t="n">
        <f t="shared" si="3"/>
        <v>0</v>
      </c>
      <c r="K149" s="76" t="n">
        <f t="shared" si="4"/>
        <v>0</v>
      </c>
      <c r="L149" s="75"/>
      <c r="M149" s="75"/>
      <c r="N149" s="75"/>
    </row>
    <row r="150" ht="14.25" customHeight="1">
      <c r="A150" s="62"/>
      <c r="B150" s="62"/>
      <c r="C150" s="75"/>
      <c r="D150" s="75"/>
      <c r="E150" s="75"/>
      <c r="F150" s="75"/>
      <c r="G150" s="75"/>
      <c r="H150" s="76" t="n">
        <f t="shared" si="1"/>
        <v>0</v>
      </c>
      <c r="I150" s="76" t="n">
        <f t="shared" si="2"/>
        <v>0</v>
      </c>
      <c r="J150" s="76" t="n">
        <f t="shared" si="3"/>
        <v>0</v>
      </c>
      <c r="K150" s="76" t="n">
        <f t="shared" si="4"/>
        <v>0</v>
      </c>
      <c r="L150" s="75"/>
      <c r="M150" s="75"/>
      <c r="N150" s="75"/>
    </row>
    <row r="151" ht="14.25" customHeight="1">
      <c r="A151" s="62"/>
      <c r="B151" s="62"/>
      <c r="C151" s="75"/>
      <c r="D151" s="75"/>
      <c r="E151" s="75"/>
      <c r="F151" s="75"/>
      <c r="G151" s="75"/>
      <c r="H151" s="76" t="n">
        <f t="shared" si="1"/>
        <v>0</v>
      </c>
      <c r="I151" s="76" t="n">
        <f t="shared" si="2"/>
        <v>0</v>
      </c>
      <c r="J151" s="76" t="n">
        <f t="shared" si="3"/>
        <v>0</v>
      </c>
      <c r="K151" s="76" t="n">
        <f t="shared" si="4"/>
        <v>0</v>
      </c>
      <c r="L151" s="75"/>
      <c r="M151" s="75"/>
      <c r="N151" s="75"/>
    </row>
    <row r="152" ht="14.25" customHeight="1">
      <c r="A152" s="62"/>
      <c r="B152" s="62"/>
      <c r="C152" s="75"/>
      <c r="D152" s="75"/>
      <c r="E152" s="75"/>
      <c r="F152" s="75"/>
      <c r="G152" s="75"/>
      <c r="H152" s="76" t="n">
        <f t="shared" si="1"/>
        <v>0</v>
      </c>
      <c r="I152" s="76" t="n">
        <f t="shared" si="2"/>
        <v>0</v>
      </c>
      <c r="J152" s="76" t="n">
        <f t="shared" si="3"/>
        <v>0</v>
      </c>
      <c r="K152" s="76" t="n">
        <f t="shared" si="4"/>
        <v>0</v>
      </c>
      <c r="L152" s="75"/>
      <c r="M152" s="75"/>
      <c r="N152" s="75"/>
    </row>
    <row r="153" ht="14.25" customHeight="1">
      <c r="A153" s="62"/>
      <c r="B153" s="62"/>
      <c r="C153" s="75"/>
      <c r="D153" s="75"/>
      <c r="E153" s="75"/>
      <c r="F153" s="75"/>
      <c r="G153" s="75"/>
      <c r="H153" s="76" t="n">
        <f t="shared" si="1"/>
        <v>0</v>
      </c>
      <c r="I153" s="76" t="n">
        <f t="shared" si="2"/>
        <v>0</v>
      </c>
      <c r="J153" s="76" t="n">
        <f t="shared" si="3"/>
        <v>0</v>
      </c>
      <c r="K153" s="76" t="n">
        <f t="shared" si="4"/>
        <v>0</v>
      </c>
      <c r="L153" s="75"/>
      <c r="M153" s="75"/>
      <c r="N153" s="75"/>
    </row>
    <row r="154" ht="14.25" customHeight="1">
      <c r="A154" s="62"/>
      <c r="B154" s="62"/>
      <c r="C154" s="75"/>
      <c r="D154" s="75"/>
      <c r="E154" s="75"/>
      <c r="F154" s="75"/>
      <c r="G154" s="75"/>
      <c r="H154" s="76" t="n">
        <f t="shared" si="1"/>
        <v>0</v>
      </c>
      <c r="I154" s="76" t="n">
        <f t="shared" si="2"/>
        <v>0</v>
      </c>
      <c r="J154" s="76" t="n">
        <f t="shared" si="3"/>
        <v>0</v>
      </c>
      <c r="K154" s="76" t="n">
        <f t="shared" si="4"/>
        <v>0</v>
      </c>
      <c r="L154" s="75"/>
      <c r="M154" s="75"/>
      <c r="N154" s="75"/>
    </row>
    <row r="155" ht="14.25" customHeight="1">
      <c r="A155" s="62"/>
      <c r="B155" s="62"/>
      <c r="C155" s="75"/>
      <c r="D155" s="75"/>
      <c r="E155" s="75"/>
      <c r="F155" s="75"/>
      <c r="G155" s="75"/>
      <c r="H155" s="76" t="n">
        <f t="shared" si="1"/>
        <v>0</v>
      </c>
      <c r="I155" s="76" t="n">
        <f t="shared" si="2"/>
        <v>0</v>
      </c>
      <c r="J155" s="76" t="n">
        <f t="shared" si="3"/>
        <v>0</v>
      </c>
      <c r="K155" s="76" t="n">
        <f t="shared" si="4"/>
        <v>0</v>
      </c>
      <c r="L155" s="75"/>
      <c r="M155" s="75"/>
      <c r="N155" s="75"/>
    </row>
    <row r="156" ht="14.25" customHeight="1">
      <c r="A156" s="62"/>
      <c r="B156" s="62"/>
      <c r="C156" s="75"/>
      <c r="D156" s="75"/>
      <c r="E156" s="75"/>
      <c r="F156" s="75"/>
      <c r="G156" s="75"/>
      <c r="H156" s="76" t="n">
        <f t="shared" si="1"/>
        <v>0</v>
      </c>
      <c r="I156" s="76" t="n">
        <f t="shared" si="2"/>
        <v>0</v>
      </c>
      <c r="J156" s="76" t="n">
        <f t="shared" si="3"/>
        <v>0</v>
      </c>
      <c r="K156" s="76" t="n">
        <f t="shared" si="4"/>
        <v>0</v>
      </c>
      <c r="L156" s="75"/>
      <c r="M156" s="75"/>
      <c r="N156" s="75"/>
    </row>
    <row r="157" ht="14.25" customHeight="1">
      <c r="A157" s="62"/>
      <c r="B157" s="62"/>
      <c r="C157" s="75"/>
      <c r="D157" s="75"/>
      <c r="E157" s="75"/>
      <c r="F157" s="75"/>
      <c r="G157" s="75"/>
      <c r="H157" s="76" t="n">
        <f t="shared" si="1"/>
        <v>0</v>
      </c>
      <c r="I157" s="76" t="n">
        <f t="shared" si="2"/>
        <v>0</v>
      </c>
      <c r="J157" s="76" t="n">
        <f t="shared" si="3"/>
        <v>0</v>
      </c>
      <c r="K157" s="76" t="n">
        <f t="shared" si="4"/>
        <v>0</v>
      </c>
      <c r="L157" s="75"/>
      <c r="M157" s="75"/>
      <c r="N157" s="75"/>
    </row>
    <row r="158" ht="14.25" customHeight="1">
      <c r="A158" s="62"/>
      <c r="B158" s="62"/>
      <c r="C158" s="75"/>
      <c r="D158" s="75"/>
      <c r="E158" s="75"/>
      <c r="F158" s="75"/>
      <c r="G158" s="75"/>
      <c r="H158" s="76" t="n">
        <f t="shared" si="1"/>
        <v>0</v>
      </c>
      <c r="I158" s="76" t="n">
        <f t="shared" si="2"/>
        <v>0</v>
      </c>
      <c r="J158" s="76" t="n">
        <f t="shared" si="3"/>
        <v>0</v>
      </c>
      <c r="K158" s="76" t="n">
        <f t="shared" si="4"/>
        <v>0</v>
      </c>
      <c r="L158" s="75"/>
      <c r="M158" s="75"/>
      <c r="N158" s="75"/>
    </row>
    <row r="159" ht="14.25" customHeight="1">
      <c r="A159" s="62"/>
      <c r="B159" s="62"/>
      <c r="C159" s="75"/>
      <c r="D159" s="75"/>
      <c r="E159" s="75"/>
      <c r="F159" s="75"/>
      <c r="G159" s="75"/>
      <c r="H159" s="76" t="n">
        <f t="shared" si="1"/>
        <v>0</v>
      </c>
      <c r="I159" s="76" t="n">
        <f t="shared" si="2"/>
        <v>0</v>
      </c>
      <c r="J159" s="76" t="n">
        <f t="shared" si="3"/>
        <v>0</v>
      </c>
      <c r="K159" s="76" t="n">
        <f t="shared" si="4"/>
        <v>0</v>
      </c>
      <c r="L159" s="75"/>
      <c r="M159" s="75"/>
      <c r="N159" s="75"/>
    </row>
    <row r="160" ht="14.25" customHeight="1">
      <c r="A160" s="62"/>
      <c r="B160" s="62"/>
      <c r="C160" s="75"/>
      <c r="D160" s="75"/>
      <c r="E160" s="75"/>
      <c r="F160" s="75"/>
      <c r="G160" s="75"/>
      <c r="H160" s="76" t="n">
        <f t="shared" si="1"/>
        <v>0</v>
      </c>
      <c r="I160" s="76" t="n">
        <f t="shared" si="2"/>
        <v>0</v>
      </c>
      <c r="J160" s="76" t="n">
        <f t="shared" si="3"/>
        <v>0</v>
      </c>
      <c r="K160" s="76" t="n">
        <f t="shared" si="4"/>
        <v>0</v>
      </c>
      <c r="L160" s="75"/>
      <c r="M160" s="75"/>
      <c r="N160" s="75"/>
    </row>
    <row r="161" ht="14.25" customHeight="1">
      <c r="A161" s="62"/>
      <c r="B161" s="62"/>
      <c r="C161" s="75"/>
      <c r="D161" s="75"/>
      <c r="E161" s="75"/>
      <c r="F161" s="75"/>
      <c r="G161" s="75"/>
      <c r="H161" s="76" t="n">
        <f t="shared" si="1"/>
        <v>0</v>
      </c>
      <c r="I161" s="76" t="n">
        <f t="shared" si="2"/>
        <v>0</v>
      </c>
      <c r="J161" s="76" t="n">
        <f t="shared" si="3"/>
        <v>0</v>
      </c>
      <c r="K161" s="76" t="n">
        <f t="shared" si="4"/>
        <v>0</v>
      </c>
      <c r="L161" s="75"/>
      <c r="M161" s="75"/>
      <c r="N161" s="75"/>
    </row>
    <row r="162" ht="14.25" customHeight="1">
      <c r="A162" s="62"/>
      <c r="B162" s="62"/>
      <c r="C162" s="75"/>
      <c r="D162" s="75"/>
      <c r="E162" s="75"/>
      <c r="F162" s="75"/>
      <c r="G162" s="75"/>
      <c r="H162" s="76" t="n">
        <f t="shared" si="1"/>
        <v>0</v>
      </c>
      <c r="I162" s="76" t="n">
        <f t="shared" si="2"/>
        <v>0</v>
      </c>
      <c r="J162" s="76" t="n">
        <f t="shared" si="3"/>
        <v>0</v>
      </c>
      <c r="K162" s="76" t="n">
        <f t="shared" si="4"/>
        <v>0</v>
      </c>
      <c r="L162" s="75"/>
      <c r="M162" s="75"/>
      <c r="N162" s="75"/>
    </row>
    <row r="163" ht="14.25" customHeight="1">
      <c r="A163" s="62"/>
      <c r="B163" s="62"/>
      <c r="C163" s="75"/>
      <c r="D163" s="75"/>
      <c r="E163" s="75"/>
      <c r="F163" s="75"/>
      <c r="G163" s="75"/>
      <c r="H163" s="76" t="n">
        <f t="shared" si="1"/>
        <v>0</v>
      </c>
      <c r="I163" s="76" t="n">
        <f t="shared" si="2"/>
        <v>0</v>
      </c>
      <c r="J163" s="76" t="n">
        <f t="shared" si="3"/>
        <v>0</v>
      </c>
      <c r="K163" s="76" t="n">
        <f t="shared" si="4"/>
        <v>0</v>
      </c>
      <c r="L163" s="75"/>
      <c r="M163" s="75"/>
      <c r="N163" s="75"/>
    </row>
    <row r="164" ht="14.25" customHeight="1">
      <c r="A164" s="62"/>
      <c r="B164" s="62"/>
      <c r="C164" s="75"/>
      <c r="D164" s="75"/>
      <c r="E164" s="75"/>
      <c r="F164" s="75"/>
      <c r="G164" s="75"/>
      <c r="H164" s="76" t="n">
        <f t="shared" si="1"/>
        <v>0</v>
      </c>
      <c r="I164" s="76" t="n">
        <f t="shared" si="2"/>
        <v>0</v>
      </c>
      <c r="J164" s="76" t="n">
        <f t="shared" si="3"/>
        <v>0</v>
      </c>
      <c r="K164" s="76" t="n">
        <f t="shared" si="4"/>
        <v>0</v>
      </c>
      <c r="L164" s="75"/>
      <c r="M164" s="75"/>
      <c r="N164" s="75"/>
    </row>
    <row r="165" ht="14.25" customHeight="1">
      <c r="A165" s="62"/>
      <c r="B165" s="62"/>
      <c r="C165" s="75"/>
      <c r="D165" s="75"/>
      <c r="E165" s="75"/>
      <c r="F165" s="75"/>
      <c r="G165" s="75"/>
      <c r="H165" s="76" t="n">
        <f t="shared" si="1"/>
        <v>0</v>
      </c>
      <c r="I165" s="76" t="n">
        <f t="shared" si="2"/>
        <v>0</v>
      </c>
      <c r="J165" s="76" t="n">
        <f t="shared" si="3"/>
        <v>0</v>
      </c>
      <c r="K165" s="76" t="n">
        <f t="shared" si="4"/>
        <v>0</v>
      </c>
      <c r="L165" s="75"/>
      <c r="M165" s="75"/>
      <c r="N165" s="75"/>
    </row>
    <row r="166" ht="14.25" customHeight="1">
      <c r="A166" s="62"/>
      <c r="B166" s="62"/>
      <c r="C166" s="75"/>
      <c r="D166" s="75"/>
      <c r="E166" s="75"/>
      <c r="F166" s="75"/>
      <c r="G166" s="75"/>
      <c r="H166" s="76" t="n">
        <f t="shared" si="1"/>
        <v>0</v>
      </c>
      <c r="I166" s="76" t="n">
        <f t="shared" si="2"/>
        <v>0</v>
      </c>
      <c r="J166" s="76" t="n">
        <f t="shared" si="3"/>
        <v>0</v>
      </c>
      <c r="K166" s="76" t="n">
        <f t="shared" si="4"/>
        <v>0</v>
      </c>
      <c r="L166" s="75"/>
      <c r="M166" s="75"/>
      <c r="N166" s="75"/>
    </row>
    <row r="167" ht="14.25" customHeight="1">
      <c r="A167" s="62"/>
      <c r="B167" s="62"/>
      <c r="C167" s="75"/>
      <c r="D167" s="75"/>
      <c r="E167" s="75"/>
      <c r="F167" s="75"/>
      <c r="G167" s="75"/>
      <c r="H167" s="76" t="n">
        <f t="shared" si="1"/>
        <v>0</v>
      </c>
      <c r="I167" s="76" t="n">
        <f t="shared" si="2"/>
        <v>0</v>
      </c>
      <c r="J167" s="76" t="n">
        <f t="shared" si="3"/>
        <v>0</v>
      </c>
      <c r="K167" s="76" t="n">
        <f t="shared" si="4"/>
        <v>0</v>
      </c>
      <c r="L167" s="75"/>
      <c r="M167" s="75"/>
      <c r="N167" s="75"/>
    </row>
    <row r="168" ht="14.25" customHeight="1">
      <c r="A168" s="62"/>
      <c r="B168" s="62"/>
      <c r="C168" s="75"/>
      <c r="D168" s="75"/>
      <c r="E168" s="75"/>
      <c r="F168" s="75"/>
      <c r="G168" s="75"/>
      <c r="H168" s="76" t="n">
        <f t="shared" si="1"/>
        <v>0</v>
      </c>
      <c r="I168" s="76" t="n">
        <f t="shared" si="2"/>
        <v>0</v>
      </c>
      <c r="J168" s="76" t="n">
        <f t="shared" si="3"/>
        <v>0</v>
      </c>
      <c r="K168" s="76" t="n">
        <f t="shared" si="4"/>
        <v>0</v>
      </c>
      <c r="L168" s="75"/>
      <c r="M168" s="75"/>
      <c r="N168" s="75"/>
    </row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3:O3"/>
    <mergeCell ref="A10:H10"/>
    <mergeCell ref="A16:O17"/>
  </mergeCells>
  <dataValidations count="2">
    <dataValidation type="list" allowBlank="1" showErrorMessage="1" sqref="B19:B168">
      <formula1>'listas de opções'!$E$2:$E$64</formula1>
    </dataValidation>
    <dataValidation type="list" allowBlank="1" showErrorMessage="1" sqref="A19:A168">
      <formula1>'listas de opções'!$C$2:$C$18</formula1>
    </dataValidation>
  </dataValidations>
  <pageMargins bottom="0.787401575" footer="0.0" header="0.0" left="0.511811024" right="0.511811024" top="0.78740157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8D08D"/>
    <pageSetUpPr/>
  </sheetPr>
  <dimension ref="A1"/>
  <sheetViews>
    <sheetView workbookViewId="0"/>
  </sheetViews>
  <sheetFormatPr defaultRowHeight="15.0" baseColWidth="10"/>
  <cols>
    <col min="1" max="1" width="11" hidden="0" customWidth="1"/>
    <col min="2" max="2" width="9.14" hidden="0" customWidth="1"/>
    <col min="3" max="3" width="9.14" hidden="0" customWidth="1"/>
    <col min="4" max="4" width="12.86" hidden="0" customWidth="1"/>
    <col min="5" max="5" width="12.86" hidden="0" customWidth="1"/>
    <col min="6" max="6" width="12.86" hidden="0" customWidth="1"/>
    <col min="7" max="7" width="12" hidden="0" customWidth="1"/>
    <col min="8" max="8" width="8.57" hidden="0" customWidth="1"/>
    <col min="9" max="9" width="8.57" hidden="0" customWidth="1"/>
    <col min="10" max="10" width="8.57" hidden="0" customWidth="1"/>
    <col min="11" max="11" width="8.57" hidden="0" customWidth="1"/>
    <col min="12" max="12" width="8.57" hidden="0" customWidth="1"/>
    <col min="13" max="13" width="8.57" hidden="0" customWidth="1"/>
    <col min="14" max="14" width="8.57" hidden="0" customWidth="1"/>
    <col min="15" max="15" width="8.57" hidden="0" customWidth="1"/>
    <col min="16" max="16" width="9.29" hidden="0" customWidth="1"/>
    <col min="17" max="17" width="12.86" hidden="0" customWidth="1"/>
    <col min="18" max="18" width="9.29" hidden="0" customWidth="1"/>
    <col min="19" max="19" width="8.57" hidden="0" customWidth="1"/>
    <col min="20" max="20" width="12.29" hidden="0" customWidth="1"/>
    <col min="21" max="21" width="8.71" hidden="0" customWidth="1"/>
  </cols>
  <sheetData>
    <row r="1" ht="14.25" customHeight="1"/>
    <row r="2" ht="14.25" customHeight="1"/>
    <row r="3" ht="14.25" customHeight="1">
      <c r="P3" s="77"/>
      <c r="U3" s="77"/>
      <c r="V3" s="77"/>
      <c r="W3" s="77"/>
      <c r="X3" s="77"/>
      <c r="Y3" s="77"/>
      <c r="Z3" s="77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bottom="0.787401575" footer="0.0" header="0.0" left="0.511811024" right="0.511811024" top="0.78740157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1.71" hidden="0" customWidth="1"/>
    <col min="2" max="2" width="21.71" hidden="0" customWidth="1"/>
    <col min="3" max="3" width="25.14" hidden="0" customWidth="1"/>
    <col min="4" max="4" width="13" hidden="0" customWidth="1"/>
    <col min="5" max="5" width="10.14" hidden="0" customWidth="1"/>
    <col min="6" max="6" width="13.57" hidden="0" customWidth="1"/>
    <col min="7" max="7" width="11.57" hidden="0" customWidth="1"/>
    <col min="8" max="8" width="10.86" hidden="0" customWidth="1"/>
    <col min="9" max="9" width="27.43" hidden="0" customWidth="1"/>
    <col min="10" max="10" width="13.57" hidden="0" customWidth="1"/>
    <col min="11" max="11" width="10" hidden="0" customWidth="1"/>
    <col min="12" max="12" width="9.57" hidden="0" customWidth="1"/>
    <col min="13" max="13" width="10.14" hidden="0" customWidth="1"/>
    <col min="14" max="14" width="10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  <col min="19" max="19" width="8.71" hidden="0" customWidth="1"/>
    <col min="20" max="20" width="8.71" hidden="0" customWidth="1"/>
    <col min="21" max="21" width="8.71" hidden="0" customWidth="1"/>
    <col min="22" max="22" width="8.71" hidden="0" customWidth="1"/>
    <col min="23" max="23" width="8.71" hidden="0" customWidth="1"/>
    <col min="24" max="24" width="8.71" hidden="0" customWidth="1"/>
    <col min="25" max="25" width="8.71" hidden="0" customWidth="1"/>
    <col min="26" max="26" width="8.71" hidden="0" customWidth="1"/>
  </cols>
  <sheetData>
    <row r="1" ht="14.25" customHeight="1">
      <c r="A1" s="40" t="s">
        <v>103</v>
      </c>
      <c r="B1" s="66" t="str">
        <f>'Tabela 1 APS - Descr.'!B1</f>
        <v>RRAS 17</v>
      </c>
    </row>
    <row r="2" ht="14.25" customHeight="1"/>
    <row r="3" ht="14.25" customHeight="1">
      <c r="A3" s="126" t="s">
        <v>302</v>
      </c>
    </row>
    <row r="4" ht="14.25" customHeight="1">
      <c r="A4" s="126"/>
    </row>
    <row r="5" ht="15.0" customHeight="1">
      <c r="A5" s="127" t="s">
        <v>303</v>
      </c>
      <c r="B5" s="30"/>
      <c r="C5" s="30"/>
      <c r="D5" s="30"/>
      <c r="E5" s="30"/>
      <c r="F5" s="30"/>
      <c r="G5" s="30"/>
      <c r="H5" s="128"/>
    </row>
    <row r="6" ht="14.25" customHeight="1">
      <c r="A6" s="129" t="s">
        <v>304</v>
      </c>
      <c r="B6" s="3"/>
      <c r="C6" s="3"/>
      <c r="D6" s="3"/>
      <c r="E6" s="3"/>
      <c r="F6" s="3"/>
      <c r="G6" s="3"/>
      <c r="H6" s="4"/>
    </row>
    <row r="7" ht="14.25" customHeight="1">
      <c r="A7" s="130" t="s">
        <v>305</v>
      </c>
      <c r="B7" s="13"/>
      <c r="C7" s="13"/>
      <c r="D7" s="13"/>
      <c r="E7" s="13"/>
      <c r="F7" s="13"/>
      <c r="G7" s="13"/>
      <c r="H7" s="14"/>
    </row>
    <row r="8" ht="14.25" customHeight="1">
      <c r="A8" s="126"/>
    </row>
    <row r="9" ht="14.25" customHeight="1"/>
    <row r="10" ht="14.25" customHeight="1">
      <c r="F10" s="131" t="s">
        <v>306</v>
      </c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4"/>
    </row>
    <row r="11" ht="14.25" customHeight="1"/>
    <row r="12" ht="89.25" customHeight="1">
      <c r="A12" s="132" t="s">
        <v>1</v>
      </c>
      <c r="B12" s="133" t="s">
        <v>290</v>
      </c>
      <c r="C12" s="134" t="s">
        <v>289</v>
      </c>
      <c r="D12" s="134" t="s">
        <v>120</v>
      </c>
      <c r="E12" s="134" t="s">
        <v>258</v>
      </c>
      <c r="F12" s="135" t="s">
        <v>288</v>
      </c>
      <c r="G12" s="136" t="s">
        <v>287</v>
      </c>
      <c r="H12" s="136" t="s">
        <v>307</v>
      </c>
      <c r="I12" s="136" t="s">
        <v>308</v>
      </c>
      <c r="J12" s="136" t="s">
        <v>309</v>
      </c>
      <c r="K12" s="136" t="s">
        <v>310</v>
      </c>
      <c r="L12" s="136" t="s">
        <v>311</v>
      </c>
      <c r="M12" s="136" t="s">
        <v>312</v>
      </c>
      <c r="N12" s="136" t="s">
        <v>313</v>
      </c>
      <c r="O12" s="137" t="s">
        <v>314</v>
      </c>
      <c r="P12" s="137" t="s">
        <v>315</v>
      </c>
      <c r="Q12" s="137" t="s">
        <v>316</v>
      </c>
      <c r="R12" s="137" t="s">
        <v>317</v>
      </c>
      <c r="S12" s="138" t="s">
        <v>318</v>
      </c>
      <c r="T12" s="138" t="s">
        <v>319</v>
      </c>
      <c r="U12" s="138" t="s">
        <v>320</v>
      </c>
      <c r="V12" s="137" t="s">
        <v>321</v>
      </c>
    </row>
    <row r="13" ht="46.5" customHeight="1">
      <c r="A13" s="139" t="s">
        <v>130</v>
      </c>
      <c r="B13" s="139" t="s">
        <v>131</v>
      </c>
      <c r="C13" s="78" t="s">
        <v>135</v>
      </c>
      <c r="D13" s="79" t="s">
        <v>132</v>
      </c>
      <c r="E13" s="79" t="s">
        <v>264</v>
      </c>
      <c r="F13" s="80" t="n">
        <v>10.0</v>
      </c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2"/>
      <c r="S13" s="81"/>
      <c r="T13" s="81"/>
      <c r="U13" s="81"/>
      <c r="V13" s="83"/>
    </row>
    <row r="14" ht="38.25" customHeight="1">
      <c r="A14" s="84"/>
      <c r="B14" s="84"/>
      <c r="C14" s="85" t="s">
        <v>139</v>
      </c>
      <c r="D14" s="79" t="s">
        <v>138</v>
      </c>
      <c r="E14" s="79" t="s">
        <v>264</v>
      </c>
      <c r="F14" s="86" t="n">
        <v>26.0</v>
      </c>
      <c r="G14" s="81"/>
      <c r="H14" s="87" t="n">
        <v>5.0</v>
      </c>
      <c r="I14" s="81"/>
      <c r="J14" s="87" t="n">
        <v>2.0</v>
      </c>
      <c r="K14" s="87" t="n">
        <v>8.0</v>
      </c>
      <c r="L14" s="87"/>
      <c r="M14" s="87" t="n">
        <v>7.0</v>
      </c>
      <c r="N14" s="87" t="n">
        <v>3.0</v>
      </c>
      <c r="O14" s="87"/>
      <c r="P14" s="81"/>
      <c r="Q14" s="81" t="n">
        <v>3.0</v>
      </c>
      <c r="R14" s="82"/>
      <c r="S14" s="81"/>
      <c r="T14" s="81"/>
      <c r="U14" s="81"/>
      <c r="V14" s="83"/>
    </row>
    <row r="15" ht="33.75" customHeight="1">
      <c r="A15" s="79"/>
      <c r="B15" s="79"/>
      <c r="C15" s="88" t="s">
        <v>142</v>
      </c>
      <c r="D15" s="79" t="s">
        <v>134</v>
      </c>
      <c r="E15" s="79" t="s">
        <v>264</v>
      </c>
      <c r="F15" s="80" t="n">
        <v>79.0</v>
      </c>
      <c r="G15" s="81"/>
      <c r="H15" s="81"/>
      <c r="I15" s="81"/>
      <c r="J15" s="87" t="n">
        <v>4.0</v>
      </c>
      <c r="K15" s="87" t="n">
        <v>10.0</v>
      </c>
      <c r="L15" s="87"/>
      <c r="M15" s="87" t="n">
        <v>16.0</v>
      </c>
      <c r="N15" s="81"/>
      <c r="O15" s="81"/>
      <c r="P15" s="81"/>
      <c r="Q15" s="81"/>
      <c r="R15" s="82"/>
      <c r="S15" s="81"/>
      <c r="T15" s="81"/>
      <c r="U15" s="81"/>
      <c r="V15" s="89" t="n">
        <v>1.0</v>
      </c>
    </row>
    <row r="16" ht="43.5" customHeight="1">
      <c r="A16" s="90"/>
      <c r="B16" s="90"/>
      <c r="C16" s="91" t="s">
        <v>322</v>
      </c>
      <c r="D16" s="79" t="s">
        <v>134</v>
      </c>
      <c r="E16" s="79" t="s">
        <v>262</v>
      </c>
      <c r="F16" s="80" t="n">
        <v>5.0</v>
      </c>
      <c r="G16" s="81"/>
      <c r="H16" s="81"/>
      <c r="I16" s="81"/>
      <c r="J16" s="87" t="n">
        <v>2.0</v>
      </c>
      <c r="K16" s="87" t="n">
        <v>12.0</v>
      </c>
      <c r="L16" s="81"/>
      <c r="M16" s="81"/>
      <c r="N16" s="81"/>
      <c r="O16" s="81"/>
      <c r="P16" s="81"/>
      <c r="Q16" s="81"/>
      <c r="R16" s="82"/>
      <c r="S16" s="81"/>
      <c r="T16" s="81"/>
      <c r="U16" s="81"/>
      <c r="V16" s="83"/>
    </row>
    <row r="17" ht="45.0" customHeight="1">
      <c r="A17" s="79" t="s">
        <v>130</v>
      </c>
      <c r="B17" s="79" t="s">
        <v>146</v>
      </c>
      <c r="C17" s="92" t="s">
        <v>323</v>
      </c>
      <c r="D17" s="93" t="s">
        <v>158</v>
      </c>
      <c r="E17" s="79" t="s">
        <v>264</v>
      </c>
      <c r="F17" s="80" t="n">
        <v>4.0</v>
      </c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5"/>
      <c r="S17" s="96"/>
      <c r="T17" s="96"/>
      <c r="U17" s="96"/>
      <c r="V17" s="83"/>
    </row>
    <row r="18" ht="31.5" customHeight="1">
      <c r="A18" s="97"/>
      <c r="B18" s="97"/>
      <c r="C18" s="98" t="s">
        <v>151</v>
      </c>
      <c r="D18" s="99" t="s">
        <v>152</v>
      </c>
      <c r="E18" s="100" t="s">
        <v>264</v>
      </c>
      <c r="F18" s="101" t="n">
        <v>13.0</v>
      </c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96"/>
      <c r="T18" s="96"/>
      <c r="U18" s="96"/>
      <c r="V18" s="83"/>
    </row>
    <row r="19" ht="44.25" customHeight="1">
      <c r="A19" s="79"/>
      <c r="B19" s="103"/>
      <c r="C19" s="98" t="s">
        <v>162</v>
      </c>
      <c r="D19" s="99" t="s">
        <v>160</v>
      </c>
      <c r="E19" s="100" t="s">
        <v>264</v>
      </c>
      <c r="F19" s="104" t="n">
        <v>14.0</v>
      </c>
      <c r="G19" s="102"/>
      <c r="H19" s="102"/>
      <c r="I19" s="102"/>
      <c r="J19" s="105" t="n">
        <v>1.0</v>
      </c>
      <c r="K19" s="102" t="n">
        <v>6.0</v>
      </c>
      <c r="L19" s="102"/>
      <c r="M19" s="102"/>
      <c r="N19" s="102"/>
      <c r="O19" s="102"/>
      <c r="P19" s="102"/>
      <c r="Q19" s="102"/>
      <c r="R19" s="102"/>
      <c r="S19" s="96"/>
      <c r="T19" s="96"/>
      <c r="U19" s="96"/>
      <c r="V19" s="83"/>
    </row>
    <row r="20" ht="44.25" customHeight="1">
      <c r="A20" s="84"/>
      <c r="B20" s="106"/>
      <c r="C20" s="107" t="s">
        <v>324</v>
      </c>
      <c r="D20" s="93" t="s">
        <v>160</v>
      </c>
      <c r="E20" s="79" t="s">
        <v>264</v>
      </c>
      <c r="F20" s="108"/>
      <c r="G20" s="94"/>
      <c r="H20" s="94"/>
      <c r="I20" s="94"/>
      <c r="J20" s="94"/>
      <c r="K20" s="87" t="n">
        <v>6.0</v>
      </c>
      <c r="L20" s="94"/>
      <c r="M20" s="94"/>
      <c r="N20" s="94"/>
      <c r="O20" s="94"/>
      <c r="P20" s="94"/>
      <c r="Q20" s="94"/>
      <c r="R20" s="94"/>
      <c r="S20" s="96"/>
      <c r="T20" s="96"/>
      <c r="U20" s="96"/>
      <c r="V20" s="83"/>
    </row>
    <row r="21" ht="33.0" customHeight="1">
      <c r="A21" s="97"/>
      <c r="B21" s="109"/>
      <c r="C21" s="110" t="s">
        <v>148</v>
      </c>
      <c r="D21" s="100" t="s">
        <v>149</v>
      </c>
      <c r="E21" s="99" t="s">
        <v>264</v>
      </c>
      <c r="F21" s="101" t="n">
        <v>16.0</v>
      </c>
      <c r="G21" s="102"/>
      <c r="H21" s="102"/>
      <c r="I21" s="102"/>
      <c r="J21" s="105" t="n">
        <v>2.0</v>
      </c>
      <c r="K21" s="105" t="n">
        <v>7.0</v>
      </c>
      <c r="L21" s="102"/>
      <c r="M21" s="102"/>
      <c r="N21" s="102"/>
      <c r="O21" s="102"/>
      <c r="P21" s="102"/>
      <c r="Q21" s="102"/>
      <c r="R21" s="102"/>
      <c r="S21" s="96"/>
      <c r="T21" s="96"/>
      <c r="U21" s="96"/>
      <c r="V21" s="83"/>
    </row>
    <row r="22" ht="30.0" customHeight="1">
      <c r="A22" s="79"/>
      <c r="B22" s="103"/>
      <c r="C22" s="107" t="s">
        <v>325</v>
      </c>
      <c r="D22" s="79" t="s">
        <v>154</v>
      </c>
      <c r="E22" s="99" t="s">
        <v>264</v>
      </c>
      <c r="F22" s="104" t="n">
        <v>5.0</v>
      </c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96"/>
      <c r="T22" s="96"/>
      <c r="U22" s="96"/>
      <c r="V22" s="83"/>
    </row>
    <row r="23" ht="33.0" customHeight="1">
      <c r="A23" s="111"/>
      <c r="B23" s="111"/>
      <c r="C23" s="112" t="s">
        <v>326</v>
      </c>
      <c r="D23" s="113" t="s">
        <v>166</v>
      </c>
      <c r="E23" s="100" t="s">
        <v>264</v>
      </c>
      <c r="F23" s="104" t="n">
        <v>3.0</v>
      </c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96"/>
      <c r="T23" s="96"/>
      <c r="U23" s="96"/>
      <c r="V23" s="83"/>
    </row>
    <row r="24" ht="30.0" customHeight="1">
      <c r="A24" s="79" t="s">
        <v>130</v>
      </c>
      <c r="B24" s="103" t="s">
        <v>81</v>
      </c>
      <c r="C24" s="92" t="s">
        <v>172</v>
      </c>
      <c r="D24" s="99" t="s">
        <v>170</v>
      </c>
      <c r="E24" s="100" t="s">
        <v>264</v>
      </c>
      <c r="F24" s="101" t="n">
        <v>27.0</v>
      </c>
      <c r="G24" s="102"/>
      <c r="H24" s="102"/>
      <c r="I24" s="102"/>
      <c r="J24" s="105" t="n">
        <v>2.0</v>
      </c>
      <c r="K24" s="105" t="n">
        <v>10.0</v>
      </c>
      <c r="L24" s="102"/>
      <c r="M24" s="102"/>
      <c r="N24" s="102"/>
      <c r="O24" s="102"/>
      <c r="P24" s="102"/>
      <c r="Q24" s="102"/>
      <c r="R24" s="102"/>
      <c r="S24" s="96"/>
      <c r="T24" s="96"/>
      <c r="U24" s="96"/>
      <c r="V24" s="89" t="n">
        <v>1.0</v>
      </c>
    </row>
    <row r="25" ht="14.25" customHeight="1">
      <c r="A25" s="84"/>
      <c r="B25" s="106"/>
      <c r="C25" s="92" t="s">
        <v>176</v>
      </c>
      <c r="D25" s="114" t="s">
        <v>175</v>
      </c>
      <c r="E25" s="115" t="s">
        <v>264</v>
      </c>
      <c r="F25" s="116" t="n">
        <v>11.0</v>
      </c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83"/>
    </row>
    <row r="26" ht="14.25" customHeight="1">
      <c r="A26" s="115"/>
      <c r="B26" s="117"/>
      <c r="C26" s="98" t="s">
        <v>179</v>
      </c>
      <c r="D26" s="114" t="s">
        <v>177</v>
      </c>
      <c r="E26" s="115" t="s">
        <v>264</v>
      </c>
      <c r="F26" s="116" t="n">
        <v>17.0</v>
      </c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89" t="n">
        <v>1.0</v>
      </c>
    </row>
    <row r="27" ht="14.25" customHeight="1">
      <c r="A27" s="84"/>
      <c r="B27" s="106"/>
      <c r="C27" s="92" t="s">
        <v>182</v>
      </c>
      <c r="D27" s="114" t="s">
        <v>180</v>
      </c>
      <c r="E27" s="115" t="s">
        <v>264</v>
      </c>
      <c r="F27" s="116" t="n">
        <v>20.0</v>
      </c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83"/>
    </row>
    <row r="28" ht="14.25" customHeight="1">
      <c r="A28" s="115" t="s">
        <v>130</v>
      </c>
      <c r="B28" s="117" t="s">
        <v>183</v>
      </c>
      <c r="C28" s="98" t="s">
        <v>186</v>
      </c>
      <c r="D28" s="93" t="s">
        <v>184</v>
      </c>
      <c r="E28" s="115" t="s">
        <v>264</v>
      </c>
      <c r="F28" s="116" t="n">
        <v>14.0</v>
      </c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83"/>
    </row>
    <row r="29" ht="14.25" customHeight="1">
      <c r="A29" s="84"/>
      <c r="B29" s="106"/>
      <c r="C29" s="98" t="s">
        <v>195</v>
      </c>
      <c r="D29" s="99" t="s">
        <v>192</v>
      </c>
      <c r="E29" s="115" t="s">
        <v>264</v>
      </c>
      <c r="F29" s="116" t="n">
        <v>36.0</v>
      </c>
      <c r="G29" s="96"/>
      <c r="H29" s="116" t="n">
        <v>2.0</v>
      </c>
      <c r="I29" s="96"/>
      <c r="J29" s="116" t="n">
        <v>1.0</v>
      </c>
      <c r="K29" s="116" t="n">
        <v>7.0</v>
      </c>
      <c r="L29" s="116"/>
      <c r="M29" s="116" t="n">
        <v>7.0</v>
      </c>
      <c r="N29" s="96"/>
      <c r="O29" s="96"/>
      <c r="P29" s="96"/>
      <c r="Q29" s="96"/>
      <c r="R29" s="96"/>
      <c r="S29" s="96"/>
      <c r="T29" s="96"/>
      <c r="U29" s="96"/>
      <c r="V29" s="83"/>
    </row>
    <row r="30" ht="14.25" customHeight="1">
      <c r="A30" s="115"/>
      <c r="B30" s="117"/>
      <c r="C30" s="92" t="s">
        <v>327</v>
      </c>
      <c r="D30" s="79" t="s">
        <v>199</v>
      </c>
      <c r="E30" s="114" t="s">
        <v>264</v>
      </c>
      <c r="F30" s="116" t="n">
        <v>6.0</v>
      </c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83"/>
    </row>
    <row r="31" ht="14.25" customHeight="1">
      <c r="A31" s="84"/>
      <c r="B31" s="84"/>
      <c r="C31" s="118" t="s">
        <v>157</v>
      </c>
      <c r="D31" s="119" t="s">
        <v>59</v>
      </c>
      <c r="E31" s="115" t="s">
        <v>264</v>
      </c>
      <c r="F31" s="116" t="n">
        <v>30.0</v>
      </c>
      <c r="G31" s="96"/>
      <c r="H31" s="96"/>
      <c r="I31" s="116" t="n">
        <v>6.0</v>
      </c>
      <c r="J31" s="116" t="n">
        <v>3.0</v>
      </c>
      <c r="K31" s="116" t="n">
        <v>10.0</v>
      </c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89" t="n">
        <v>1.0</v>
      </c>
    </row>
    <row r="32" ht="14.25" customHeight="1">
      <c r="A32" s="115"/>
      <c r="B32" s="115"/>
      <c r="C32" s="79" t="s">
        <v>328</v>
      </c>
      <c r="D32" s="79" t="s">
        <v>329</v>
      </c>
      <c r="E32" s="115" t="s">
        <v>264</v>
      </c>
      <c r="F32" s="116" t="n">
        <v>2.0</v>
      </c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83"/>
    </row>
    <row r="33" ht="14.25" customHeight="1">
      <c r="A33" s="84"/>
      <c r="B33" s="84"/>
      <c r="C33" s="115"/>
      <c r="D33" s="115"/>
      <c r="E33" s="115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83"/>
    </row>
    <row r="34" ht="14.25" customHeight="1">
      <c r="A34" s="115"/>
      <c r="B34" s="115"/>
      <c r="C34" s="115"/>
      <c r="D34" s="115"/>
      <c r="E34" s="115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83"/>
    </row>
    <row r="35" ht="14.25" customHeight="1">
      <c r="A35" s="62"/>
      <c r="B35" s="62"/>
      <c r="C35" s="115"/>
      <c r="D35" s="115"/>
      <c r="E35" s="115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83"/>
    </row>
    <row r="36" ht="14.25" customHeight="1">
      <c r="A36" s="62"/>
      <c r="B36" s="62"/>
      <c r="C36" s="115"/>
      <c r="D36" s="115"/>
      <c r="E36" s="115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83"/>
    </row>
    <row r="37" ht="14.25" customHeight="1">
      <c r="A37" s="62"/>
      <c r="B37" s="62"/>
      <c r="C37" s="115"/>
      <c r="D37" s="115"/>
      <c r="E37" s="115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83"/>
    </row>
    <row r="38" ht="14.25" customHeight="1">
      <c r="A38" s="62"/>
      <c r="B38" s="62"/>
      <c r="C38" s="115"/>
      <c r="D38" s="115"/>
      <c r="E38" s="115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83"/>
    </row>
    <row r="39" ht="14.25" customHeight="1">
      <c r="A39" s="62"/>
      <c r="B39" s="62"/>
      <c r="C39" s="115"/>
      <c r="D39" s="115"/>
      <c r="E39" s="115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83"/>
    </row>
    <row r="40" ht="14.25" customHeight="1">
      <c r="A40" s="62"/>
      <c r="B40" s="62"/>
      <c r="C40" s="115"/>
      <c r="D40" s="115"/>
      <c r="E40" s="115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83"/>
    </row>
    <row r="41" ht="14.25" customHeight="1">
      <c r="A41" s="62"/>
      <c r="B41" s="62"/>
      <c r="C41" s="115"/>
      <c r="D41" s="115"/>
      <c r="E41" s="115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83"/>
    </row>
    <row r="42" ht="14.25" customHeight="1">
      <c r="A42" s="62"/>
      <c r="B42" s="62"/>
      <c r="C42" s="120"/>
      <c r="D42" s="120"/>
      <c r="E42" s="120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83"/>
    </row>
    <row r="43" ht="14.25" customHeight="1">
      <c r="A43" s="62"/>
      <c r="B43" s="62"/>
      <c r="C43" s="120"/>
      <c r="D43" s="120"/>
      <c r="E43" s="120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83"/>
    </row>
    <row r="44" ht="14.25" customHeight="1">
      <c r="A44" s="62"/>
      <c r="B44" s="62"/>
      <c r="C44" s="120"/>
      <c r="D44" s="120"/>
      <c r="E44" s="120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83"/>
    </row>
    <row r="45" ht="14.25" customHeight="1">
      <c r="A45" s="62"/>
      <c r="B45" s="62"/>
      <c r="C45" s="120"/>
      <c r="D45" s="120"/>
      <c r="E45" s="120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83"/>
    </row>
    <row r="46" ht="14.25" customHeight="1">
      <c r="A46" s="62"/>
      <c r="B46" s="62"/>
      <c r="C46" s="120"/>
      <c r="D46" s="120"/>
      <c r="E46" s="120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83"/>
    </row>
    <row r="47" ht="14.25" customHeight="1">
      <c r="A47" s="62"/>
      <c r="B47" s="62"/>
      <c r="C47" s="120"/>
      <c r="D47" s="120"/>
      <c r="E47" s="120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83"/>
    </row>
    <row r="48" ht="14.25" customHeight="1">
      <c r="A48" s="62"/>
      <c r="B48" s="62"/>
      <c r="C48" s="120"/>
      <c r="D48" s="120"/>
      <c r="E48" s="120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83"/>
    </row>
    <row r="49" ht="14.25" customHeight="1">
      <c r="A49" s="62"/>
      <c r="B49" s="62"/>
      <c r="C49" s="120"/>
      <c r="D49" s="120"/>
      <c r="E49" s="120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83"/>
    </row>
    <row r="50" ht="14.25" customHeight="1">
      <c r="A50" s="62"/>
      <c r="B50" s="62"/>
      <c r="C50" s="120"/>
      <c r="D50" s="120"/>
      <c r="E50" s="120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83"/>
    </row>
    <row r="51" ht="14.25" customHeight="1">
      <c r="A51" s="62"/>
      <c r="B51" s="62"/>
      <c r="C51" s="120"/>
      <c r="D51" s="120"/>
      <c r="E51" s="120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83"/>
    </row>
    <row r="52" ht="14.25" customHeight="1">
      <c r="A52" s="62"/>
      <c r="B52" s="62"/>
      <c r="C52" s="120"/>
      <c r="D52" s="120"/>
      <c r="E52" s="120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83"/>
    </row>
    <row r="53" ht="14.25" customHeight="1">
      <c r="A53" s="62"/>
      <c r="B53" s="62"/>
      <c r="C53" s="120"/>
      <c r="D53" s="120"/>
      <c r="E53" s="120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83"/>
    </row>
    <row r="54" ht="14.25" customHeight="1">
      <c r="A54" s="62"/>
      <c r="B54" s="62"/>
      <c r="C54" s="120"/>
      <c r="D54" s="120"/>
      <c r="E54" s="120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83"/>
    </row>
    <row r="55" ht="14.25" customHeight="1">
      <c r="A55" s="62"/>
      <c r="B55" s="62"/>
      <c r="C55" s="120"/>
      <c r="D55" s="120"/>
      <c r="E55" s="120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83"/>
    </row>
    <row r="56" ht="14.25" customHeight="1">
      <c r="A56" s="62"/>
      <c r="B56" s="62"/>
      <c r="C56" s="120"/>
      <c r="D56" s="120"/>
      <c r="E56" s="120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83"/>
    </row>
    <row r="57" ht="14.25" customHeight="1">
      <c r="A57" s="62"/>
      <c r="B57" s="62"/>
      <c r="C57" s="120"/>
      <c r="D57" s="120"/>
      <c r="E57" s="120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83"/>
    </row>
    <row r="58" ht="14.25" customHeight="1">
      <c r="A58" s="62"/>
      <c r="B58" s="62"/>
      <c r="C58" s="120"/>
      <c r="D58" s="120"/>
      <c r="E58" s="120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83"/>
    </row>
    <row r="59" ht="14.25" customHeight="1">
      <c r="A59" s="62"/>
      <c r="B59" s="62"/>
      <c r="C59" s="120"/>
      <c r="D59" s="120"/>
      <c r="E59" s="120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83"/>
    </row>
    <row r="60" ht="14.25" customHeight="1">
      <c r="A60" s="62"/>
      <c r="B60" s="62"/>
      <c r="C60" s="120"/>
      <c r="D60" s="120"/>
      <c r="E60" s="120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83"/>
    </row>
    <row r="61" ht="14.25" customHeight="1">
      <c r="A61" s="62"/>
      <c r="B61" s="62"/>
      <c r="C61" s="120"/>
      <c r="D61" s="120"/>
      <c r="E61" s="120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83"/>
    </row>
    <row r="62" ht="14.25" customHeight="1">
      <c r="A62" s="62"/>
      <c r="B62" s="62"/>
      <c r="C62" s="120"/>
      <c r="D62" s="120"/>
      <c r="E62" s="120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83"/>
    </row>
    <row r="63" ht="14.25" customHeight="1">
      <c r="A63" s="62"/>
      <c r="B63" s="62"/>
      <c r="C63" s="120"/>
      <c r="D63" s="120"/>
      <c r="E63" s="120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83"/>
    </row>
    <row r="64" ht="14.25" customHeight="1">
      <c r="A64" s="62"/>
      <c r="B64" s="62"/>
      <c r="C64" s="120"/>
      <c r="D64" s="120"/>
      <c r="E64" s="120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83"/>
    </row>
    <row r="65" ht="14.25" customHeight="1">
      <c r="A65" s="62"/>
      <c r="B65" s="62"/>
      <c r="C65" s="120"/>
      <c r="D65" s="120"/>
      <c r="E65" s="120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83"/>
    </row>
    <row r="66" ht="14.25" customHeight="1">
      <c r="A66" s="62"/>
      <c r="B66" s="62"/>
      <c r="C66" s="120"/>
      <c r="D66" s="120"/>
      <c r="E66" s="120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83"/>
    </row>
    <row r="67" ht="14.25" customHeight="1">
      <c r="A67" s="62"/>
      <c r="B67" s="62"/>
      <c r="C67" s="120"/>
      <c r="D67" s="120"/>
      <c r="E67" s="120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83"/>
    </row>
    <row r="68" ht="14.25" customHeight="1">
      <c r="A68" s="62"/>
      <c r="B68" s="62"/>
      <c r="C68" s="120"/>
      <c r="D68" s="120"/>
      <c r="E68" s="120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83"/>
    </row>
    <row r="69" ht="14.25" customHeight="1">
      <c r="A69" s="62"/>
      <c r="B69" s="62"/>
      <c r="C69" s="120"/>
      <c r="D69" s="120"/>
      <c r="E69" s="120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83"/>
    </row>
    <row r="70" ht="14.25" customHeight="1">
      <c r="A70" s="62"/>
      <c r="B70" s="62"/>
      <c r="C70" s="120"/>
      <c r="D70" s="120"/>
      <c r="E70" s="120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83"/>
    </row>
    <row r="71" ht="14.25" customHeight="1">
      <c r="A71" s="62"/>
      <c r="B71" s="62"/>
      <c r="C71" s="120"/>
      <c r="D71" s="120"/>
      <c r="E71" s="120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83"/>
    </row>
    <row r="72" ht="14.25" customHeight="1">
      <c r="A72" s="62"/>
      <c r="B72" s="62"/>
      <c r="C72" s="120"/>
      <c r="D72" s="120"/>
      <c r="E72" s="120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83"/>
    </row>
    <row r="73" ht="14.25" customHeight="1">
      <c r="A73" s="62"/>
      <c r="B73" s="62"/>
      <c r="C73" s="120"/>
      <c r="D73" s="120"/>
      <c r="E73" s="120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83"/>
    </row>
    <row r="74" ht="14.25" customHeight="1">
      <c r="A74" s="62"/>
      <c r="B74" s="62"/>
      <c r="C74" s="120"/>
      <c r="D74" s="120"/>
      <c r="E74" s="120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83"/>
    </row>
    <row r="75" ht="14.25" customHeight="1">
      <c r="A75" s="62"/>
      <c r="B75" s="62"/>
      <c r="C75" s="120"/>
      <c r="D75" s="120"/>
      <c r="E75" s="120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83"/>
    </row>
    <row r="76" ht="14.25" customHeight="1">
      <c r="A76" s="62"/>
      <c r="B76" s="62"/>
      <c r="C76" s="120"/>
      <c r="D76" s="120"/>
      <c r="E76" s="120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83"/>
    </row>
    <row r="77" ht="14.25" customHeight="1">
      <c r="A77" s="62"/>
      <c r="B77" s="62"/>
      <c r="C77" s="120"/>
      <c r="D77" s="120"/>
      <c r="E77" s="120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83"/>
    </row>
    <row r="78" ht="14.25" customHeight="1">
      <c r="A78" s="62"/>
      <c r="B78" s="62"/>
      <c r="C78" s="120"/>
      <c r="D78" s="120"/>
      <c r="E78" s="120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83"/>
    </row>
    <row r="79" ht="14.25" customHeight="1">
      <c r="A79" s="62"/>
      <c r="B79" s="62"/>
      <c r="C79" s="120"/>
      <c r="D79" s="120"/>
      <c r="E79" s="120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83"/>
    </row>
    <row r="80" ht="14.25" customHeight="1">
      <c r="A80" s="62"/>
      <c r="B80" s="62"/>
      <c r="C80" s="120"/>
      <c r="D80" s="120"/>
      <c r="E80" s="120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83"/>
    </row>
    <row r="81" ht="14.25" customHeight="1">
      <c r="A81" s="62"/>
      <c r="B81" s="62"/>
      <c r="C81" s="120"/>
      <c r="D81" s="120"/>
      <c r="E81" s="120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83"/>
    </row>
    <row r="82" ht="14.25" customHeight="1">
      <c r="A82" s="62"/>
      <c r="B82" s="62"/>
      <c r="C82" s="120"/>
      <c r="D82" s="120"/>
      <c r="E82" s="120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83"/>
    </row>
    <row r="83" ht="14.25" customHeight="1">
      <c r="A83" s="62"/>
      <c r="B83" s="62"/>
      <c r="C83" s="120"/>
      <c r="D83" s="120"/>
      <c r="E83" s="120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83"/>
    </row>
    <row r="84" ht="14.25" customHeight="1">
      <c r="A84" s="62"/>
      <c r="B84" s="62"/>
      <c r="C84" s="120"/>
      <c r="D84" s="120"/>
      <c r="E84" s="120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83"/>
    </row>
    <row r="85" ht="14.25" customHeight="1">
      <c r="A85" s="62"/>
      <c r="B85" s="62"/>
      <c r="C85" s="120"/>
      <c r="D85" s="120"/>
      <c r="E85" s="120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83"/>
    </row>
    <row r="86" ht="14.25" customHeight="1">
      <c r="A86" s="62"/>
      <c r="B86" s="62"/>
      <c r="C86" s="120"/>
      <c r="D86" s="120"/>
      <c r="E86" s="120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83"/>
    </row>
    <row r="87" ht="14.25" customHeight="1">
      <c r="A87" s="62"/>
      <c r="B87" s="62"/>
      <c r="C87" s="120"/>
      <c r="D87" s="120"/>
      <c r="E87" s="120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83"/>
    </row>
    <row r="88" ht="14.25" customHeight="1">
      <c r="A88" s="62"/>
      <c r="B88" s="62"/>
      <c r="C88" s="120"/>
      <c r="D88" s="120"/>
      <c r="E88" s="120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83"/>
    </row>
    <row r="89" ht="14.25" customHeight="1">
      <c r="A89" s="62"/>
      <c r="B89" s="62"/>
      <c r="C89" s="120"/>
      <c r="D89" s="120"/>
      <c r="E89" s="120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83"/>
    </row>
    <row r="90" ht="14.25" customHeight="1">
      <c r="A90" s="62"/>
      <c r="B90" s="62"/>
      <c r="C90" s="120"/>
      <c r="D90" s="120"/>
      <c r="E90" s="120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83"/>
    </row>
    <row r="91" ht="14.25" customHeight="1">
      <c r="A91" s="62"/>
      <c r="B91" s="62"/>
      <c r="C91" s="120"/>
      <c r="D91" s="120"/>
      <c r="E91" s="120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83"/>
    </row>
    <row r="92" ht="14.25" customHeight="1">
      <c r="A92" s="62"/>
      <c r="B92" s="62"/>
      <c r="C92" s="120"/>
      <c r="D92" s="120"/>
      <c r="E92" s="120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83"/>
    </row>
    <row r="93" ht="14.25" customHeight="1">
      <c r="A93" s="62"/>
      <c r="B93" s="62"/>
      <c r="C93" s="120"/>
      <c r="D93" s="120"/>
      <c r="E93" s="120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83"/>
    </row>
    <row r="94" ht="14.25" customHeight="1">
      <c r="A94" s="62"/>
      <c r="B94" s="62"/>
      <c r="C94" s="120"/>
      <c r="D94" s="120"/>
      <c r="E94" s="120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83"/>
    </row>
    <row r="95" ht="14.25" customHeight="1">
      <c r="A95" s="62"/>
      <c r="B95" s="62"/>
      <c r="C95" s="120"/>
      <c r="D95" s="120"/>
      <c r="E95" s="120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83"/>
    </row>
    <row r="96" ht="14.25" customHeight="1">
      <c r="A96" s="62"/>
      <c r="B96" s="62"/>
      <c r="C96" s="120"/>
      <c r="D96" s="120"/>
      <c r="E96" s="120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83"/>
    </row>
    <row r="97" ht="14.25" customHeight="1">
      <c r="A97" s="62"/>
      <c r="B97" s="62"/>
      <c r="C97" s="120"/>
      <c r="D97" s="120"/>
      <c r="E97" s="120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83"/>
    </row>
    <row r="98" ht="14.25" customHeight="1">
      <c r="A98" s="62"/>
      <c r="B98" s="62"/>
      <c r="C98" s="120"/>
      <c r="D98" s="120"/>
      <c r="E98" s="120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83"/>
    </row>
    <row r="99" ht="14.25" customHeight="1">
      <c r="A99" s="62"/>
      <c r="B99" s="62"/>
      <c r="C99" s="120"/>
      <c r="D99" s="120"/>
      <c r="E99" s="120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83"/>
    </row>
    <row r="100" ht="14.25" customHeight="1">
      <c r="A100" s="62"/>
      <c r="B100" s="62"/>
      <c r="C100" s="120"/>
      <c r="D100" s="120"/>
      <c r="E100" s="120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83"/>
    </row>
    <row r="101" ht="14.25" customHeight="1">
      <c r="A101" s="62"/>
      <c r="B101" s="62"/>
      <c r="C101" s="120"/>
      <c r="D101" s="120"/>
      <c r="E101" s="120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83"/>
    </row>
    <row r="102" ht="14.25" customHeight="1">
      <c r="A102" s="62"/>
      <c r="B102" s="62"/>
      <c r="C102" s="120"/>
      <c r="D102" s="120"/>
      <c r="E102" s="120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83"/>
    </row>
    <row r="103" ht="14.25" customHeight="1">
      <c r="A103" s="62"/>
      <c r="B103" s="62"/>
      <c r="C103" s="120"/>
      <c r="D103" s="120"/>
      <c r="E103" s="120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83"/>
    </row>
    <row r="104" ht="14.25" customHeight="1">
      <c r="A104" s="62"/>
      <c r="B104" s="62"/>
      <c r="C104" s="120"/>
      <c r="D104" s="120"/>
      <c r="E104" s="120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83"/>
    </row>
    <row r="105" ht="14.25" customHeight="1">
      <c r="A105" s="62"/>
      <c r="B105" s="62"/>
      <c r="C105" s="120"/>
      <c r="D105" s="120"/>
      <c r="E105" s="120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83"/>
    </row>
    <row r="106" ht="14.25" customHeight="1">
      <c r="A106" s="62"/>
      <c r="B106" s="62"/>
      <c r="C106" s="120"/>
      <c r="D106" s="120"/>
      <c r="E106" s="120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83"/>
    </row>
    <row r="107" ht="14.25" customHeight="1">
      <c r="A107" s="62"/>
      <c r="B107" s="62"/>
      <c r="C107" s="120"/>
      <c r="D107" s="120"/>
      <c r="E107" s="120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83"/>
    </row>
    <row r="108" ht="14.25" customHeight="1">
      <c r="A108" s="62"/>
      <c r="B108" s="62"/>
      <c r="C108" s="120"/>
      <c r="D108" s="120"/>
      <c r="E108" s="120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83"/>
    </row>
    <row r="109" ht="14.25" customHeight="1">
      <c r="A109" s="62"/>
      <c r="B109" s="62"/>
      <c r="C109" s="120"/>
      <c r="D109" s="120"/>
      <c r="E109" s="120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83"/>
    </row>
    <row r="110" ht="14.25" customHeight="1">
      <c r="A110" s="62"/>
      <c r="B110" s="62"/>
      <c r="C110" s="120"/>
      <c r="D110" s="120"/>
      <c r="E110" s="120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83"/>
    </row>
    <row r="111" ht="14.25" customHeight="1">
      <c r="A111" s="62"/>
      <c r="B111" s="62"/>
      <c r="C111" s="120"/>
      <c r="D111" s="120"/>
      <c r="E111" s="120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83"/>
    </row>
    <row r="112" ht="14.25" customHeight="1">
      <c r="A112" s="62"/>
      <c r="B112" s="62"/>
      <c r="C112" s="120"/>
      <c r="D112" s="120"/>
      <c r="E112" s="120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83"/>
    </row>
    <row r="113" ht="14.25" customHeight="1">
      <c r="A113" s="62"/>
      <c r="B113" s="62"/>
      <c r="C113" s="120"/>
      <c r="D113" s="120"/>
      <c r="E113" s="120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83"/>
    </row>
    <row r="114" ht="14.25" customHeight="1">
      <c r="A114" s="62"/>
      <c r="B114" s="62"/>
      <c r="C114" s="120"/>
      <c r="D114" s="120"/>
      <c r="E114" s="120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83"/>
    </row>
    <row r="115" ht="14.25" customHeight="1">
      <c r="A115" s="62"/>
      <c r="B115" s="62"/>
      <c r="C115" s="120"/>
      <c r="D115" s="120"/>
      <c r="E115" s="120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83"/>
    </row>
    <row r="116" ht="14.25" customHeight="1">
      <c r="A116" s="62"/>
      <c r="B116" s="62"/>
      <c r="C116" s="120"/>
      <c r="D116" s="120"/>
      <c r="E116" s="120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83"/>
    </row>
    <row r="117" ht="14.25" customHeight="1">
      <c r="A117" s="62"/>
      <c r="B117" s="62"/>
      <c r="C117" s="120"/>
      <c r="D117" s="120"/>
      <c r="E117" s="120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83"/>
    </row>
    <row r="118" ht="14.25" customHeight="1">
      <c r="A118" s="62"/>
      <c r="B118" s="62"/>
      <c r="C118" s="120"/>
      <c r="D118" s="120"/>
      <c r="E118" s="120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83"/>
    </row>
    <row r="119" ht="14.25" customHeight="1">
      <c r="A119" s="62"/>
      <c r="B119" s="62"/>
      <c r="C119" s="120"/>
      <c r="D119" s="120"/>
      <c r="E119" s="120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83"/>
    </row>
    <row r="120" ht="14.25" customHeight="1">
      <c r="A120" s="62"/>
      <c r="B120" s="62"/>
      <c r="C120" s="120"/>
      <c r="D120" s="120"/>
      <c r="E120" s="120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83"/>
    </row>
    <row r="121" ht="14.25" customHeight="1">
      <c r="A121" s="62"/>
      <c r="B121" s="62"/>
      <c r="C121" s="120"/>
      <c r="D121" s="120"/>
      <c r="E121" s="120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83"/>
    </row>
    <row r="122" ht="14.25" customHeight="1">
      <c r="A122" s="62"/>
      <c r="B122" s="62"/>
      <c r="C122" s="120"/>
      <c r="D122" s="120"/>
      <c r="E122" s="120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83"/>
    </row>
    <row r="123" ht="14.25" customHeight="1">
      <c r="A123" s="62"/>
      <c r="B123" s="62"/>
      <c r="C123" s="120"/>
      <c r="D123" s="120"/>
      <c r="E123" s="120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83"/>
    </row>
    <row r="124" ht="14.25" customHeight="1">
      <c r="A124" s="62"/>
      <c r="B124" s="62"/>
      <c r="C124" s="120"/>
      <c r="D124" s="120"/>
      <c r="E124" s="120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83"/>
    </row>
    <row r="125" ht="14.25" customHeight="1">
      <c r="A125" s="62"/>
      <c r="B125" s="62"/>
      <c r="C125" s="120"/>
      <c r="D125" s="120"/>
      <c r="E125" s="120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83"/>
    </row>
    <row r="126" ht="14.25" customHeight="1">
      <c r="A126" s="62"/>
      <c r="B126" s="62"/>
      <c r="C126" s="120"/>
      <c r="D126" s="120"/>
      <c r="E126" s="120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83"/>
    </row>
    <row r="127" ht="14.25" customHeight="1">
      <c r="A127" s="62"/>
      <c r="B127" s="62"/>
      <c r="C127" s="120"/>
      <c r="D127" s="120"/>
      <c r="E127" s="120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83"/>
    </row>
    <row r="128" ht="14.25" customHeight="1">
      <c r="A128" s="62"/>
      <c r="B128" s="62"/>
      <c r="C128" s="120"/>
      <c r="D128" s="120"/>
      <c r="E128" s="120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83"/>
    </row>
    <row r="129" ht="14.25" customHeight="1">
      <c r="A129" s="62"/>
      <c r="B129" s="62"/>
      <c r="C129" s="120"/>
      <c r="D129" s="120"/>
      <c r="E129" s="120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83"/>
    </row>
    <row r="130" ht="14.25" customHeight="1">
      <c r="A130" s="62"/>
      <c r="B130" s="62"/>
      <c r="C130" s="120"/>
      <c r="D130" s="120"/>
      <c r="E130" s="120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83"/>
    </row>
    <row r="131" ht="14.25" customHeight="1">
      <c r="A131" s="62"/>
      <c r="B131" s="62"/>
      <c r="C131" s="120"/>
      <c r="D131" s="120"/>
      <c r="E131" s="120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83"/>
    </row>
    <row r="132" ht="14.25" customHeight="1">
      <c r="A132" s="62"/>
      <c r="B132" s="62"/>
      <c r="C132" s="120"/>
      <c r="D132" s="120"/>
      <c r="E132" s="120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83"/>
    </row>
    <row r="133" ht="14.25" customHeight="1">
      <c r="A133" s="62"/>
      <c r="B133" s="62"/>
      <c r="C133" s="120"/>
      <c r="D133" s="120"/>
      <c r="E133" s="120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83"/>
    </row>
    <row r="134" ht="14.25" customHeight="1">
      <c r="A134" s="62"/>
      <c r="B134" s="62"/>
      <c r="C134" s="120"/>
      <c r="D134" s="120"/>
      <c r="E134" s="120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83"/>
    </row>
    <row r="135" ht="14.25" customHeight="1">
      <c r="A135" s="62"/>
      <c r="B135" s="62"/>
      <c r="C135" s="120"/>
      <c r="D135" s="120"/>
      <c r="E135" s="120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83"/>
    </row>
    <row r="136" ht="14.25" customHeight="1">
      <c r="A136" s="62"/>
      <c r="B136" s="62"/>
      <c r="C136" s="120"/>
      <c r="D136" s="120"/>
      <c r="E136" s="120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83"/>
    </row>
    <row r="137" ht="14.25" customHeight="1">
      <c r="A137" s="62"/>
      <c r="B137" s="62"/>
      <c r="C137" s="120"/>
      <c r="D137" s="120"/>
      <c r="E137" s="120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83"/>
    </row>
    <row r="138" ht="14.25" customHeight="1">
      <c r="A138" s="62"/>
      <c r="B138" s="62"/>
      <c r="C138" s="120"/>
      <c r="D138" s="120"/>
      <c r="E138" s="120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83"/>
    </row>
    <row r="139" ht="14.25" customHeight="1">
      <c r="A139" s="62"/>
      <c r="B139" s="62"/>
      <c r="C139" s="120"/>
      <c r="D139" s="120"/>
      <c r="E139" s="120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83"/>
    </row>
    <row r="140" ht="14.25" customHeight="1">
      <c r="A140" s="62"/>
      <c r="B140" s="62"/>
      <c r="C140" s="120"/>
      <c r="D140" s="120"/>
      <c r="E140" s="120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83"/>
    </row>
    <row r="141" ht="14.25" customHeight="1">
      <c r="A141" s="62"/>
      <c r="B141" s="62"/>
      <c r="C141" s="120"/>
      <c r="D141" s="120"/>
      <c r="E141" s="120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83"/>
    </row>
    <row r="142" ht="14.25" customHeight="1">
      <c r="A142" s="62"/>
      <c r="B142" s="62"/>
      <c r="C142" s="120"/>
      <c r="D142" s="120"/>
      <c r="E142" s="120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83"/>
    </row>
    <row r="143" ht="14.25" customHeight="1">
      <c r="A143" s="62"/>
      <c r="B143" s="62"/>
      <c r="C143" s="120"/>
      <c r="D143" s="120"/>
      <c r="E143" s="120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83"/>
    </row>
    <row r="144" ht="14.25" customHeight="1">
      <c r="A144" s="62"/>
      <c r="B144" s="62"/>
      <c r="C144" s="120"/>
      <c r="D144" s="120"/>
      <c r="E144" s="120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83"/>
    </row>
    <row r="145" ht="14.25" customHeight="1">
      <c r="A145" s="62"/>
      <c r="B145" s="62"/>
      <c r="C145" s="120"/>
      <c r="D145" s="120"/>
      <c r="E145" s="120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83"/>
    </row>
    <row r="146" ht="14.25" customHeight="1">
      <c r="A146" s="62"/>
      <c r="B146" s="62"/>
      <c r="C146" s="120"/>
      <c r="D146" s="120"/>
      <c r="E146" s="120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83"/>
    </row>
    <row r="147" ht="14.25" customHeight="1">
      <c r="A147" s="62"/>
      <c r="B147" s="62"/>
      <c r="C147" s="120"/>
      <c r="D147" s="120"/>
      <c r="E147" s="120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83"/>
    </row>
    <row r="148" ht="14.25" customHeight="1">
      <c r="A148" s="62"/>
      <c r="B148" s="62"/>
      <c r="C148" s="120"/>
      <c r="D148" s="120"/>
      <c r="E148" s="120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83"/>
    </row>
    <row r="149" ht="14.25" customHeight="1">
      <c r="A149" s="62"/>
      <c r="B149" s="62"/>
      <c r="C149" s="120"/>
      <c r="D149" s="120"/>
      <c r="E149" s="120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83"/>
    </row>
    <row r="150" ht="14.25" customHeight="1">
      <c r="A150" s="62"/>
      <c r="B150" s="62"/>
      <c r="C150" s="120"/>
      <c r="D150" s="120"/>
      <c r="E150" s="120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83"/>
    </row>
    <row r="151" ht="14.25" customHeight="1">
      <c r="A151" s="62"/>
      <c r="B151" s="62"/>
      <c r="C151" s="120"/>
      <c r="D151" s="120"/>
      <c r="E151" s="120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83"/>
    </row>
    <row r="152" ht="14.25" customHeight="1">
      <c r="A152" s="62"/>
      <c r="B152" s="62"/>
      <c r="C152" s="120"/>
      <c r="D152" s="120"/>
      <c r="E152" s="120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83"/>
    </row>
    <row r="153" ht="14.25" customHeight="1">
      <c r="A153" s="62"/>
      <c r="B153" s="62"/>
      <c r="C153" s="120"/>
      <c r="D153" s="120"/>
      <c r="E153" s="120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83"/>
    </row>
    <row r="154" ht="14.25" customHeight="1">
      <c r="A154" s="62"/>
      <c r="B154" s="62"/>
      <c r="C154" s="120"/>
      <c r="D154" s="120"/>
      <c r="E154" s="120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83"/>
    </row>
    <row r="155" ht="14.25" customHeight="1">
      <c r="A155" s="62"/>
      <c r="B155" s="62"/>
      <c r="C155" s="120"/>
      <c r="D155" s="120"/>
      <c r="E155" s="120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83"/>
    </row>
    <row r="156" ht="14.25" customHeight="1">
      <c r="A156" s="62"/>
      <c r="B156" s="62"/>
      <c r="C156" s="120"/>
      <c r="D156" s="120"/>
      <c r="E156" s="120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83"/>
    </row>
    <row r="157" ht="14.25" customHeight="1">
      <c r="A157" s="62"/>
      <c r="B157" s="62"/>
      <c r="C157" s="120"/>
      <c r="D157" s="120"/>
      <c r="E157" s="120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83"/>
    </row>
    <row r="158" ht="14.25" customHeight="1">
      <c r="A158" s="62"/>
      <c r="B158" s="62"/>
      <c r="C158" s="120"/>
      <c r="D158" s="120"/>
      <c r="E158" s="120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83"/>
    </row>
    <row r="159" ht="14.25" customHeight="1">
      <c r="A159" s="62"/>
      <c r="B159" s="62"/>
      <c r="C159" s="120"/>
      <c r="D159" s="120"/>
      <c r="E159" s="120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83"/>
    </row>
    <row r="160" ht="14.25" customHeight="1">
      <c r="A160" s="62"/>
      <c r="B160" s="62"/>
      <c r="C160" s="120"/>
      <c r="D160" s="120"/>
      <c r="E160" s="120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83"/>
    </row>
    <row r="161" ht="14.25" customHeight="1">
      <c r="A161" s="62"/>
      <c r="B161" s="62"/>
      <c r="C161" s="120"/>
      <c r="D161" s="120"/>
      <c r="E161" s="120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83"/>
    </row>
    <row r="162" ht="14.25" customHeight="1">
      <c r="A162" s="62"/>
      <c r="B162" s="62"/>
      <c r="C162" s="120"/>
      <c r="D162" s="120"/>
      <c r="E162" s="120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83"/>
    </row>
    <row r="163" ht="14.25" customHeight="1">
      <c r="A163" s="62"/>
      <c r="B163" s="62"/>
      <c r="C163" s="120"/>
      <c r="D163" s="120"/>
      <c r="E163" s="120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83"/>
    </row>
    <row r="164" ht="14.25" customHeight="1">
      <c r="A164" s="62"/>
      <c r="B164" s="62"/>
      <c r="C164" s="120"/>
      <c r="D164" s="120"/>
      <c r="E164" s="120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83"/>
    </row>
    <row r="165" ht="14.25" customHeight="1">
      <c r="A165" s="62"/>
      <c r="B165" s="62"/>
      <c r="C165" s="120"/>
      <c r="D165" s="120"/>
      <c r="E165" s="120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83"/>
    </row>
    <row r="166" ht="14.25" customHeight="1">
      <c r="A166" s="62"/>
      <c r="B166" s="62"/>
      <c r="C166" s="120"/>
      <c r="D166" s="120"/>
      <c r="E166" s="120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83"/>
    </row>
    <row r="167" ht="14.25" customHeight="1">
      <c r="A167" s="62"/>
      <c r="B167" s="62"/>
      <c r="C167" s="120"/>
      <c r="D167" s="120"/>
      <c r="E167" s="120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83"/>
    </row>
    <row r="168" ht="14.25" customHeight="1">
      <c r="A168" s="62"/>
      <c r="B168" s="62"/>
      <c r="C168" s="120"/>
      <c r="D168" s="120"/>
      <c r="E168" s="120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83"/>
    </row>
    <row r="169" ht="14.25" customHeight="1">
      <c r="A169" s="62"/>
      <c r="B169" s="62"/>
      <c r="C169" s="120"/>
      <c r="D169" s="120"/>
      <c r="E169" s="120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83"/>
    </row>
    <row r="170" ht="14.25" customHeight="1">
      <c r="A170" s="62"/>
      <c r="B170" s="62"/>
      <c r="C170" s="120"/>
      <c r="D170" s="120"/>
      <c r="E170" s="120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83"/>
    </row>
    <row r="171" ht="14.25" customHeight="1">
      <c r="A171" s="62"/>
      <c r="B171" s="62"/>
      <c r="C171" s="120"/>
      <c r="D171" s="120"/>
      <c r="E171" s="120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83"/>
    </row>
    <row r="172" ht="14.25" customHeight="1">
      <c r="A172" s="62"/>
      <c r="B172" s="62"/>
      <c r="C172" s="120"/>
      <c r="D172" s="120"/>
      <c r="E172" s="120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83"/>
    </row>
    <row r="173" ht="14.25" customHeight="1">
      <c r="A173" s="62"/>
      <c r="B173" s="62"/>
      <c r="C173" s="120"/>
      <c r="D173" s="120"/>
      <c r="E173" s="120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83"/>
    </row>
    <row r="174" ht="14.25" customHeight="1">
      <c r="A174" s="62"/>
      <c r="B174" s="62"/>
      <c r="C174" s="120"/>
      <c r="D174" s="120"/>
      <c r="E174" s="120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83"/>
    </row>
    <row r="175" ht="14.25" customHeight="1">
      <c r="A175" s="62"/>
      <c r="B175" s="62"/>
      <c r="C175" s="120"/>
      <c r="D175" s="120"/>
      <c r="E175" s="120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83"/>
    </row>
    <row r="176" ht="14.25" customHeight="1">
      <c r="A176" s="62"/>
      <c r="B176" s="62"/>
      <c r="C176" s="120"/>
      <c r="D176" s="120"/>
      <c r="E176" s="120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83"/>
    </row>
    <row r="177" ht="14.25" customHeight="1">
      <c r="A177" s="62"/>
      <c r="B177" s="62"/>
      <c r="C177" s="120"/>
      <c r="D177" s="120"/>
      <c r="E177" s="120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83"/>
    </row>
    <row r="178" ht="14.25" customHeight="1">
      <c r="A178" s="62"/>
      <c r="B178" s="62"/>
      <c r="C178" s="120"/>
      <c r="D178" s="120"/>
      <c r="E178" s="120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83"/>
    </row>
    <row r="179" ht="14.25" customHeight="1">
      <c r="A179" s="62"/>
      <c r="B179" s="62"/>
      <c r="C179" s="120"/>
      <c r="D179" s="120"/>
      <c r="E179" s="120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83"/>
    </row>
    <row r="180" ht="14.25" customHeight="1">
      <c r="A180" s="62"/>
      <c r="B180" s="62"/>
      <c r="C180" s="120"/>
      <c r="D180" s="120"/>
      <c r="E180" s="120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83"/>
    </row>
    <row r="181" ht="14.25" customHeight="1">
      <c r="A181" s="62"/>
      <c r="B181" s="62"/>
      <c r="C181" s="120"/>
      <c r="D181" s="120"/>
      <c r="E181" s="120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83"/>
    </row>
    <row r="182" ht="14.25" customHeight="1">
      <c r="A182" s="62"/>
      <c r="B182" s="62"/>
      <c r="C182" s="120"/>
      <c r="D182" s="120"/>
      <c r="E182" s="120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83"/>
    </row>
    <row r="183" ht="14.25" customHeight="1">
      <c r="A183" s="62"/>
      <c r="B183" s="62"/>
      <c r="C183" s="120"/>
      <c r="D183" s="120"/>
      <c r="E183" s="120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83"/>
    </row>
    <row r="184" ht="14.25" customHeight="1">
      <c r="A184" s="62"/>
      <c r="B184" s="62"/>
      <c r="C184" s="120"/>
      <c r="D184" s="120"/>
      <c r="E184" s="120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83"/>
    </row>
    <row r="185" ht="14.25" customHeight="1">
      <c r="A185" s="62"/>
      <c r="B185" s="62"/>
      <c r="C185" s="120"/>
      <c r="D185" s="120"/>
      <c r="E185" s="120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83"/>
    </row>
    <row r="186" ht="14.25" customHeight="1">
      <c r="A186" s="62"/>
      <c r="B186" s="62"/>
      <c r="C186" s="120"/>
      <c r="D186" s="120"/>
      <c r="E186" s="120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83"/>
    </row>
    <row r="187" ht="14.25" customHeight="1">
      <c r="A187" s="62"/>
      <c r="B187" s="62"/>
      <c r="C187" s="120"/>
      <c r="D187" s="120"/>
      <c r="E187" s="120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83"/>
    </row>
    <row r="188" ht="14.25" customHeight="1">
      <c r="A188" s="62"/>
      <c r="B188" s="62"/>
      <c r="C188" s="120"/>
      <c r="D188" s="120"/>
      <c r="E188" s="120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83"/>
    </row>
    <row r="189" ht="14.25" customHeight="1">
      <c r="A189" s="62"/>
      <c r="B189" s="62"/>
      <c r="C189" s="120"/>
      <c r="D189" s="120"/>
      <c r="E189" s="120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83"/>
    </row>
    <row r="190" ht="14.25" customHeight="1">
      <c r="A190" s="62"/>
      <c r="B190" s="62"/>
      <c r="C190" s="120"/>
      <c r="D190" s="120"/>
      <c r="E190" s="120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83"/>
    </row>
    <row r="191" ht="14.25" customHeight="1">
      <c r="A191" s="62"/>
      <c r="B191" s="62"/>
      <c r="C191" s="120"/>
      <c r="D191" s="120"/>
      <c r="E191" s="120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83"/>
    </row>
    <row r="192" ht="14.25" customHeight="1">
      <c r="A192" s="62"/>
      <c r="B192" s="62"/>
      <c r="C192" s="120"/>
      <c r="D192" s="120"/>
      <c r="E192" s="120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83"/>
    </row>
    <row r="193" ht="14.25" customHeight="1">
      <c r="A193" s="62"/>
      <c r="B193" s="62"/>
      <c r="C193" s="120"/>
      <c r="D193" s="120"/>
      <c r="E193" s="120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83"/>
    </row>
    <row r="194" ht="14.25" customHeight="1">
      <c r="A194" s="62"/>
      <c r="B194" s="62"/>
      <c r="C194" s="120"/>
      <c r="D194" s="120"/>
      <c r="E194" s="120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83"/>
    </row>
    <row r="195" ht="14.25" customHeight="1">
      <c r="A195" s="62"/>
      <c r="B195" s="62"/>
      <c r="C195" s="120"/>
      <c r="D195" s="120"/>
      <c r="E195" s="120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83"/>
    </row>
    <row r="196" ht="14.25" customHeight="1">
      <c r="A196" s="62"/>
      <c r="B196" s="62"/>
      <c r="C196" s="120"/>
      <c r="D196" s="120"/>
      <c r="E196" s="120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83"/>
    </row>
    <row r="197" ht="14.25" customHeight="1">
      <c r="A197" s="62"/>
      <c r="B197" s="62"/>
      <c r="C197" s="120"/>
      <c r="D197" s="120"/>
      <c r="E197" s="120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83"/>
    </row>
    <row r="198" ht="14.25" customHeight="1">
      <c r="A198" s="62"/>
      <c r="B198" s="62"/>
      <c r="C198" s="120"/>
      <c r="D198" s="120"/>
      <c r="E198" s="120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83"/>
    </row>
    <row r="199" ht="14.25" customHeight="1">
      <c r="A199" s="62"/>
      <c r="B199" s="62"/>
      <c r="C199" s="120"/>
      <c r="D199" s="120"/>
      <c r="E199" s="120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83"/>
    </row>
    <row r="200" ht="14.25" customHeight="1">
      <c r="A200" s="62"/>
      <c r="B200" s="62"/>
      <c r="C200" s="120"/>
      <c r="D200" s="120"/>
      <c r="E200" s="120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83"/>
    </row>
    <row r="201" ht="14.25" customHeight="1">
      <c r="A201" s="62"/>
      <c r="B201" s="62"/>
      <c r="C201" s="120"/>
      <c r="D201" s="120"/>
      <c r="E201" s="120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83"/>
    </row>
    <row r="202" ht="14.25" customHeight="1">
      <c r="A202" s="62"/>
      <c r="B202" s="62"/>
      <c r="C202" s="121"/>
      <c r="D202" s="121"/>
      <c r="E202" s="121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</row>
    <row r="203" ht="14.25" customHeight="1"/>
    <row r="204" ht="14.25" customHeight="1">
      <c r="A204" s="123"/>
      <c r="B204" s="123"/>
      <c r="C204" s="123"/>
      <c r="D204" s="123"/>
      <c r="E204" s="123"/>
      <c r="F204" s="124" t="n">
        <f>SUBTOTAL(109,'tabela 4  leitos existentes'!$F$13:$F$202)</f>
        <v>338</v>
      </c>
      <c r="G204" s="124"/>
      <c r="H204" s="124" t="n">
        <f>SUBTOTAL(109,'tabela 4  leitos existentes'!$H$13:$H$202)</f>
        <v>7</v>
      </c>
      <c r="I204" s="124"/>
      <c r="J204" s="124" t="n">
        <f>SUBTOTAL(109,'tabela 4  leitos existentes'!$J$13:$J$202)</f>
        <v>17</v>
      </c>
      <c r="K204" s="124" t="n">
        <f>SUBTOTAL(109,'tabela 4  leitos existentes'!$K$13:$K$202)</f>
        <v>76</v>
      </c>
      <c r="L204" s="124" t="n">
        <f>SUBTOTAL(109,'tabela 4  leitos existentes'!$L$13:$L$202)</f>
        <v>0</v>
      </c>
      <c r="M204" s="124" t="n">
        <f>SUBTOTAL(109,'tabela 4  leitos existentes'!$M$13:$M$202)</f>
        <v>30</v>
      </c>
      <c r="N204" s="124"/>
      <c r="O204" s="124"/>
      <c r="P204" s="124"/>
      <c r="Q204" s="124"/>
      <c r="R204" s="124"/>
      <c r="S204" s="124"/>
      <c r="T204" s="124"/>
      <c r="U204" s="124"/>
      <c r="V204" s="124"/>
      <c r="W204" s="125"/>
      <c r="X204" s="125"/>
      <c r="Y204" s="125"/>
      <c r="Z204" s="125"/>
    </row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5:H5"/>
    <mergeCell ref="A6:H6"/>
    <mergeCell ref="A7:H7"/>
    <mergeCell ref="F10:V10"/>
  </mergeCells>
  <dataValidations count="2">
    <dataValidation type="list" allowBlank="1" showErrorMessage="1" sqref="B13:B202">
      <formula1>'listas de opções'!$E$2:$E$64</formula1>
    </dataValidation>
    <dataValidation type="list" allowBlank="1" showErrorMessage="1" sqref="A13:A202">
      <formula1>'listas de opções'!$C$2:$C$18</formula1>
    </dataValidation>
  </dataValidations>
  <pageMargins bottom="0.787401575" footer="0.0" header="0.0" left="0.511811024" right="0.511811024" top="0.787401575"/>
  <pageSetup paperSize="9" orientation="portrait"/>
  <tableParts count="1">
    <tablePart r:id="rId8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8.71" hidden="0" customWidth="1"/>
    <col min="2" max="2" width="21.71" hidden="0" customWidth="1"/>
    <col min="3" max="3" width="20.14" hidden="0" customWidth="1"/>
    <col min="4" max="4" width="20.14" hidden="0" customWidth="1"/>
    <col min="5" max="5" width="11.43" hidden="0" customWidth="1"/>
    <col min="6" max="6" width="11.43" hidden="0" customWidth="1"/>
    <col min="7" max="7" width="10.43" hidden="0" customWidth="1"/>
    <col min="8" max="8" width="8.71" hidden="0" customWidth="1"/>
    <col min="9" max="9" width="8.71" hidden="0" customWidth="1"/>
    <col min="10" max="10" width="8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 ht="14.25" customHeight="1">
      <c r="A1" s="40" t="s">
        <v>103</v>
      </c>
      <c r="B1" s="66" t="str">
        <f>'Tabela 1 APS - Descr.'!B1</f>
        <v>RRAS 17</v>
      </c>
    </row>
    <row r="2" ht="14.25" customHeight="1"/>
    <row r="3" ht="14.25" customHeight="1">
      <c r="E3" s="131" t="s">
        <v>330</v>
      </c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4"/>
    </row>
    <row r="4" ht="54.0" customHeight="1">
      <c r="A4" s="99" t="s">
        <v>1</v>
      </c>
      <c r="B4" s="100" t="s">
        <v>290</v>
      </c>
      <c r="C4" s="140" t="s">
        <v>331</v>
      </c>
      <c r="D4" s="140" t="s">
        <v>254</v>
      </c>
      <c r="E4" s="141" t="s">
        <v>288</v>
      </c>
      <c r="F4" s="142" t="s">
        <v>332</v>
      </c>
      <c r="G4" s="142" t="s">
        <v>309</v>
      </c>
      <c r="H4" s="142" t="s">
        <v>333</v>
      </c>
      <c r="I4" s="142" t="s">
        <v>312</v>
      </c>
      <c r="J4" s="142" t="s">
        <v>313</v>
      </c>
      <c r="K4" s="137" t="s">
        <v>334</v>
      </c>
      <c r="L4" s="143"/>
      <c r="M4" s="137" t="s">
        <v>335</v>
      </c>
      <c r="N4" s="143"/>
      <c r="O4" s="137" t="s">
        <v>336</v>
      </c>
      <c r="P4" s="144"/>
      <c r="Q4" s="143"/>
      <c r="R4" s="142" t="s">
        <v>321</v>
      </c>
    </row>
    <row r="5" ht="18.0" customHeight="1">
      <c r="A5" s="143"/>
      <c r="B5" s="145"/>
      <c r="C5" s="145"/>
      <c r="D5" s="145"/>
      <c r="E5" s="145"/>
      <c r="F5" s="145"/>
      <c r="G5" s="145"/>
      <c r="H5" s="145"/>
      <c r="I5" s="145"/>
      <c r="J5" s="145"/>
      <c r="K5" s="146" t="s">
        <v>337</v>
      </c>
      <c r="L5" s="146" t="s">
        <v>338</v>
      </c>
      <c r="M5" s="146" t="s">
        <v>337</v>
      </c>
      <c r="N5" s="138" t="s">
        <v>338</v>
      </c>
      <c r="O5" s="146" t="s">
        <v>339</v>
      </c>
      <c r="P5" s="146" t="s">
        <v>340</v>
      </c>
      <c r="Q5" s="146" t="s">
        <v>341</v>
      </c>
      <c r="R5" s="145"/>
    </row>
    <row r="6" ht="14.25" customHeight="1">
      <c r="A6" s="62" t="s">
        <v>130</v>
      </c>
      <c r="B6" s="62" t="s">
        <v>131</v>
      </c>
      <c r="C6" s="147" t="n">
        <v>7863.0</v>
      </c>
      <c r="D6" s="147" t="n">
        <v>8652.0</v>
      </c>
      <c r="E6" s="148" t="n">
        <f t="shared" ref="E6:E17" si="1">((D6*2.5)/(365*0.7))*1.21</f>
        <v>102.4356164</v>
      </c>
      <c r="F6" s="149" t="n">
        <f t="shared" ref="F6:F17" si="2">E6*15/100</f>
        <v>15.36534247</v>
      </c>
      <c r="G6" s="149" t="n">
        <f t="shared" ref="G6:G17" si="3">(E6*6/100)</f>
        <v>6.146136986</v>
      </c>
      <c r="H6" s="149" t="n">
        <f t="shared" ref="H6:H17" si="4">C6*2/1000</f>
        <v>15.726</v>
      </c>
      <c r="I6" s="149" t="n">
        <f t="shared" ref="I6:I17" si="5">C6*2/1000</f>
        <v>15.726</v>
      </c>
      <c r="J6" s="149" t="n">
        <f t="shared" ref="J6:J17" si="6">C6*1/1000</f>
        <v>7.863</v>
      </c>
      <c r="K6" s="147"/>
      <c r="L6" s="147"/>
      <c r="M6" s="147"/>
      <c r="N6" s="147"/>
      <c r="O6" s="63"/>
      <c r="P6" s="63"/>
      <c r="Q6" s="63"/>
      <c r="R6" s="63"/>
    </row>
    <row r="7" ht="14.25" customHeight="1">
      <c r="A7" s="62" t="s">
        <v>130</v>
      </c>
      <c r="B7" s="62" t="s">
        <v>146</v>
      </c>
      <c r="C7" s="147" t="n">
        <v>4342.0</v>
      </c>
      <c r="D7" s="147" t="n">
        <v>4775.0</v>
      </c>
      <c r="E7" s="148" t="n">
        <f t="shared" si="1"/>
        <v>56.53375734</v>
      </c>
      <c r="F7" s="149" t="n">
        <f t="shared" si="2"/>
        <v>8.480063601</v>
      </c>
      <c r="G7" s="149" t="n">
        <f t="shared" si="3"/>
        <v>3.39202544</v>
      </c>
      <c r="H7" s="149" t="n">
        <f t="shared" si="4"/>
        <v>8.684</v>
      </c>
      <c r="I7" s="149" t="n">
        <f t="shared" si="5"/>
        <v>8.684</v>
      </c>
      <c r="J7" s="149" t="n">
        <f t="shared" si="6"/>
        <v>4.342</v>
      </c>
      <c r="K7" s="147"/>
      <c r="L7" s="147"/>
      <c r="M7" s="147"/>
      <c r="N7" s="147"/>
      <c r="O7" s="63"/>
      <c r="P7" s="63"/>
      <c r="Q7" s="63"/>
      <c r="R7" s="63"/>
    </row>
    <row r="8" ht="14.25" customHeight="1">
      <c r="A8" s="62" t="s">
        <v>130</v>
      </c>
      <c r="B8" s="62" t="s">
        <v>81</v>
      </c>
      <c r="C8" s="147" t="n">
        <v>3960.0</v>
      </c>
      <c r="D8" s="147" t="n">
        <v>4355.0</v>
      </c>
      <c r="E8" s="148" t="n">
        <f t="shared" si="1"/>
        <v>51.5611546</v>
      </c>
      <c r="F8" s="149" t="n">
        <f t="shared" si="2"/>
        <v>7.73417319</v>
      </c>
      <c r="G8" s="149" t="n">
        <f t="shared" si="3"/>
        <v>3.093669276</v>
      </c>
      <c r="H8" s="149" t="n">
        <f t="shared" si="4"/>
        <v>7.92</v>
      </c>
      <c r="I8" s="149" t="n">
        <f t="shared" si="5"/>
        <v>7.92</v>
      </c>
      <c r="J8" s="149" t="n">
        <f t="shared" si="6"/>
        <v>3.96</v>
      </c>
      <c r="K8" s="147"/>
      <c r="L8" s="147"/>
      <c r="M8" s="147"/>
      <c r="N8" s="147"/>
      <c r="O8" s="63"/>
      <c r="P8" s="63"/>
      <c r="Q8" s="63"/>
      <c r="R8" s="63"/>
    </row>
    <row r="9" ht="14.25" customHeight="1">
      <c r="A9" s="62" t="s">
        <v>130</v>
      </c>
      <c r="B9" s="62" t="s">
        <v>183</v>
      </c>
      <c r="C9" s="147" t="n">
        <v>5495.0</v>
      </c>
      <c r="D9" s="147" t="n">
        <v>6046.0</v>
      </c>
      <c r="E9" s="148" t="n">
        <f t="shared" si="1"/>
        <v>71.58180039</v>
      </c>
      <c r="F9" s="149" t="n">
        <f t="shared" si="2"/>
        <v>10.73727006</v>
      </c>
      <c r="G9" s="149" t="n">
        <f t="shared" si="3"/>
        <v>4.294908023</v>
      </c>
      <c r="H9" s="149" t="n">
        <f t="shared" si="4"/>
        <v>10.99</v>
      </c>
      <c r="I9" s="149" t="n">
        <f t="shared" si="5"/>
        <v>10.99</v>
      </c>
      <c r="J9" s="149" t="n">
        <f t="shared" si="6"/>
        <v>5.495</v>
      </c>
      <c r="K9" s="147"/>
      <c r="L9" s="147"/>
      <c r="M9" s="147"/>
      <c r="N9" s="147"/>
      <c r="O9" s="63"/>
      <c r="P9" s="63"/>
      <c r="Q9" s="63"/>
      <c r="R9" s="63"/>
    </row>
    <row r="10" ht="14.25" customHeight="1">
      <c r="A10" s="62"/>
      <c r="B10" s="62"/>
      <c r="C10" s="150"/>
      <c r="D10" s="150"/>
      <c r="E10" s="148" t="n">
        <f t="shared" si="1"/>
        <v>0</v>
      </c>
      <c r="F10" s="149" t="n">
        <f t="shared" si="2"/>
        <v>0</v>
      </c>
      <c r="G10" s="149" t="n">
        <f t="shared" si="3"/>
        <v>0</v>
      </c>
      <c r="H10" s="149" t="n">
        <f t="shared" si="4"/>
        <v>0</v>
      </c>
      <c r="I10" s="149" t="n">
        <f t="shared" si="5"/>
        <v>0</v>
      </c>
      <c r="J10" s="149" t="n">
        <f t="shared" si="6"/>
        <v>0</v>
      </c>
      <c r="K10" s="147"/>
      <c r="L10" s="147"/>
      <c r="M10" s="147"/>
      <c r="N10" s="147"/>
      <c r="O10" s="63"/>
      <c r="P10" s="63"/>
      <c r="Q10" s="63"/>
      <c r="R10" s="63"/>
    </row>
    <row r="11" ht="14.25" customHeight="1">
      <c r="A11" s="62"/>
      <c r="B11" s="62"/>
      <c r="C11" s="150"/>
      <c r="D11" s="150"/>
      <c r="E11" s="148" t="n">
        <f t="shared" si="1"/>
        <v>0</v>
      </c>
      <c r="F11" s="149" t="n">
        <f t="shared" si="2"/>
        <v>0</v>
      </c>
      <c r="G11" s="149" t="n">
        <f t="shared" si="3"/>
        <v>0</v>
      </c>
      <c r="H11" s="149" t="n">
        <f t="shared" si="4"/>
        <v>0</v>
      </c>
      <c r="I11" s="149" t="n">
        <f t="shared" si="5"/>
        <v>0</v>
      </c>
      <c r="J11" s="149" t="n">
        <f t="shared" si="6"/>
        <v>0</v>
      </c>
      <c r="K11" s="147"/>
      <c r="L11" s="147"/>
      <c r="M11" s="147"/>
      <c r="N11" s="147"/>
      <c r="O11" s="63"/>
      <c r="P11" s="63"/>
      <c r="Q11" s="63"/>
      <c r="R11" s="63"/>
    </row>
    <row r="12" ht="14.25" customHeight="1">
      <c r="A12" s="62"/>
      <c r="B12" s="62"/>
      <c r="C12" s="150"/>
      <c r="D12" s="150"/>
      <c r="E12" s="148" t="n">
        <f t="shared" si="1"/>
        <v>0</v>
      </c>
      <c r="F12" s="149" t="n">
        <f t="shared" si="2"/>
        <v>0</v>
      </c>
      <c r="G12" s="149" t="n">
        <f t="shared" si="3"/>
        <v>0</v>
      </c>
      <c r="H12" s="149" t="n">
        <f t="shared" si="4"/>
        <v>0</v>
      </c>
      <c r="I12" s="149" t="n">
        <f t="shared" si="5"/>
        <v>0</v>
      </c>
      <c r="J12" s="149" t="n">
        <f t="shared" si="6"/>
        <v>0</v>
      </c>
      <c r="K12" s="147"/>
      <c r="L12" s="147"/>
      <c r="M12" s="147"/>
      <c r="N12" s="147"/>
      <c r="O12" s="63"/>
      <c r="P12" s="63"/>
      <c r="Q12" s="63"/>
      <c r="R12" s="63"/>
    </row>
    <row r="13" ht="14.25" customHeight="1">
      <c r="A13" s="62"/>
      <c r="B13" s="62"/>
      <c r="C13" s="150"/>
      <c r="D13" s="150"/>
      <c r="E13" s="148" t="n">
        <f t="shared" si="1"/>
        <v>0</v>
      </c>
      <c r="F13" s="149" t="n">
        <f t="shared" si="2"/>
        <v>0</v>
      </c>
      <c r="G13" s="149" t="n">
        <f t="shared" si="3"/>
        <v>0</v>
      </c>
      <c r="H13" s="149" t="n">
        <f t="shared" si="4"/>
        <v>0</v>
      </c>
      <c r="I13" s="149" t="n">
        <f t="shared" si="5"/>
        <v>0</v>
      </c>
      <c r="J13" s="149" t="n">
        <f t="shared" si="6"/>
        <v>0</v>
      </c>
      <c r="K13" s="147"/>
      <c r="L13" s="147"/>
      <c r="M13" s="147"/>
      <c r="N13" s="147"/>
      <c r="O13" s="63"/>
      <c r="P13" s="63"/>
      <c r="Q13" s="63"/>
      <c r="R13" s="63"/>
    </row>
    <row r="14" ht="14.25" customHeight="1">
      <c r="A14" s="62"/>
      <c r="B14" s="62"/>
      <c r="C14" s="150"/>
      <c r="D14" s="150"/>
      <c r="E14" s="148" t="n">
        <f t="shared" si="1"/>
        <v>0</v>
      </c>
      <c r="F14" s="149" t="n">
        <f t="shared" si="2"/>
        <v>0</v>
      </c>
      <c r="G14" s="149" t="n">
        <f t="shared" si="3"/>
        <v>0</v>
      </c>
      <c r="H14" s="149" t="n">
        <f t="shared" si="4"/>
        <v>0</v>
      </c>
      <c r="I14" s="149" t="n">
        <f t="shared" si="5"/>
        <v>0</v>
      </c>
      <c r="J14" s="149" t="n">
        <f t="shared" si="6"/>
        <v>0</v>
      </c>
      <c r="K14" s="147"/>
      <c r="L14" s="147"/>
      <c r="M14" s="147"/>
      <c r="N14" s="147"/>
      <c r="O14" s="63"/>
      <c r="P14" s="63"/>
      <c r="Q14" s="63"/>
      <c r="R14" s="63"/>
    </row>
    <row r="15" ht="14.25" customHeight="1">
      <c r="A15" s="62"/>
      <c r="B15" s="62"/>
      <c r="C15" s="150"/>
      <c r="D15" s="150"/>
      <c r="E15" s="148" t="n">
        <f t="shared" si="1"/>
        <v>0</v>
      </c>
      <c r="F15" s="149" t="n">
        <f t="shared" si="2"/>
        <v>0</v>
      </c>
      <c r="G15" s="149" t="n">
        <f t="shared" si="3"/>
        <v>0</v>
      </c>
      <c r="H15" s="149" t="n">
        <f t="shared" si="4"/>
        <v>0</v>
      </c>
      <c r="I15" s="149" t="n">
        <f t="shared" si="5"/>
        <v>0</v>
      </c>
      <c r="J15" s="149" t="n">
        <f t="shared" si="6"/>
        <v>0</v>
      </c>
      <c r="K15" s="147"/>
      <c r="L15" s="147"/>
      <c r="M15" s="147"/>
      <c r="N15" s="147"/>
      <c r="O15" s="63"/>
      <c r="P15" s="63"/>
      <c r="Q15" s="63"/>
      <c r="R15" s="63"/>
    </row>
    <row r="16" ht="14.25" customHeight="1">
      <c r="A16" s="62"/>
      <c r="B16" s="62"/>
      <c r="C16" s="151"/>
      <c r="D16" s="151"/>
      <c r="E16" s="148" t="n">
        <f t="shared" si="1"/>
        <v>0</v>
      </c>
      <c r="F16" s="149" t="n">
        <f t="shared" si="2"/>
        <v>0</v>
      </c>
      <c r="G16" s="149" t="n">
        <f t="shared" si="3"/>
        <v>0</v>
      </c>
      <c r="H16" s="149" t="n">
        <f t="shared" si="4"/>
        <v>0</v>
      </c>
      <c r="I16" s="149" t="n">
        <f t="shared" si="5"/>
        <v>0</v>
      </c>
      <c r="J16" s="149" t="n">
        <f t="shared" si="6"/>
        <v>0</v>
      </c>
      <c r="K16" s="63"/>
      <c r="L16" s="63"/>
      <c r="M16" s="63"/>
      <c r="N16" s="63"/>
      <c r="O16" s="63"/>
      <c r="P16" s="63"/>
      <c r="Q16" s="63"/>
      <c r="R16" s="63"/>
    </row>
    <row r="17" ht="14.25" customHeight="1">
      <c r="A17" s="62"/>
      <c r="B17" s="62"/>
      <c r="C17" s="152"/>
      <c r="D17" s="152"/>
      <c r="E17" s="153" t="n">
        <f t="shared" si="1"/>
        <v>0</v>
      </c>
      <c r="F17" s="154" t="n">
        <f t="shared" si="2"/>
        <v>0</v>
      </c>
      <c r="G17" s="154" t="n">
        <f t="shared" si="3"/>
        <v>0</v>
      </c>
      <c r="H17" s="154" t="n">
        <f t="shared" si="4"/>
        <v>0</v>
      </c>
      <c r="I17" s="154" t="n">
        <f t="shared" si="5"/>
        <v>0</v>
      </c>
      <c r="J17" s="154" t="n">
        <f t="shared" si="6"/>
        <v>0</v>
      </c>
      <c r="K17" s="155"/>
      <c r="L17" s="155"/>
      <c r="M17" s="155"/>
      <c r="N17" s="155"/>
      <c r="O17" s="155"/>
      <c r="P17" s="155"/>
      <c r="Q17" s="155"/>
      <c r="R17" s="155"/>
    </row>
    <row r="18" ht="15.0" customHeight="1">
      <c r="A18" s="156" t="s">
        <v>342</v>
      </c>
      <c r="B18" s="43"/>
      <c r="C18" s="43"/>
      <c r="D18" s="43"/>
      <c r="E18" s="157" t="n">
        <f t="shared" ref="E18:J18" si="7">ROUNDUP(SUM(E6:E16),0)</f>
        <v>283</v>
      </c>
      <c r="F18" s="157" t="n">
        <f t="shared" si="7"/>
        <v>43</v>
      </c>
      <c r="G18" s="157" t="n">
        <f t="shared" si="7"/>
        <v>17</v>
      </c>
      <c r="H18" s="157" t="n">
        <f t="shared" si="7"/>
        <v>44</v>
      </c>
      <c r="I18" s="157" t="n">
        <f t="shared" si="7"/>
        <v>44</v>
      </c>
      <c r="J18" s="157" t="n">
        <f t="shared" si="7"/>
        <v>22</v>
      </c>
      <c r="K18" s="158"/>
      <c r="L18" s="158"/>
      <c r="M18" s="158"/>
      <c r="N18" s="158"/>
      <c r="O18" s="158"/>
      <c r="P18" s="158"/>
      <c r="Q18" s="158"/>
      <c r="R18" s="159"/>
    </row>
    <row r="19" ht="14.25" customHeight="1">
      <c r="A19" s="69"/>
      <c r="B19" s="69"/>
      <c r="E19" s="160"/>
      <c r="F19" s="160"/>
      <c r="G19" s="160"/>
      <c r="H19" s="160"/>
      <c r="I19" s="160"/>
      <c r="J19" s="160"/>
    </row>
    <row r="20" ht="14.25" customHeight="1">
      <c r="A20" s="69"/>
      <c r="B20" s="69"/>
      <c r="E20" s="160"/>
      <c r="F20" s="160"/>
      <c r="G20" s="160"/>
      <c r="H20" s="160"/>
      <c r="I20" s="160"/>
      <c r="J20" s="160"/>
    </row>
    <row r="21" ht="14.25" customHeight="1"/>
    <row r="22" ht="14.25" customHeight="1">
      <c r="E22" s="131" t="s">
        <v>343</v>
      </c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4"/>
    </row>
    <row r="23" ht="55.5" customHeight="1">
      <c r="A23" s="161" t="s">
        <v>1</v>
      </c>
      <c r="B23" s="161" t="s">
        <v>290</v>
      </c>
      <c r="C23" s="140" t="s">
        <v>331</v>
      </c>
      <c r="D23" s="140" t="s">
        <v>254</v>
      </c>
      <c r="E23" s="141" t="s">
        <v>288</v>
      </c>
      <c r="F23" s="142" t="s">
        <v>332</v>
      </c>
      <c r="G23" s="142" t="s">
        <v>309</v>
      </c>
      <c r="H23" s="142" t="s">
        <v>333</v>
      </c>
      <c r="I23" s="142" t="s">
        <v>312</v>
      </c>
      <c r="J23" s="142" t="s">
        <v>313</v>
      </c>
      <c r="K23" s="137" t="s">
        <v>314</v>
      </c>
      <c r="L23" s="143"/>
      <c r="M23" s="137" t="s">
        <v>335</v>
      </c>
      <c r="N23" s="143"/>
      <c r="O23" s="137" t="s">
        <v>336</v>
      </c>
      <c r="P23" s="144"/>
      <c r="Q23" s="143"/>
      <c r="R23" s="142" t="s">
        <v>321</v>
      </c>
    </row>
    <row r="24" ht="17.25" customHeight="1">
      <c r="A24" s="145"/>
      <c r="B24" s="145"/>
      <c r="C24" s="145"/>
      <c r="D24" s="145"/>
      <c r="E24" s="145"/>
      <c r="F24" s="145"/>
      <c r="G24" s="145"/>
      <c r="H24" s="145"/>
      <c r="I24" s="145"/>
      <c r="J24" s="145"/>
      <c r="K24" s="146" t="s">
        <v>337</v>
      </c>
      <c r="L24" s="146" t="s">
        <v>338</v>
      </c>
      <c r="M24" s="146" t="s">
        <v>337</v>
      </c>
      <c r="N24" s="138" t="s">
        <v>338</v>
      </c>
      <c r="O24" s="146" t="s">
        <v>339</v>
      </c>
      <c r="P24" s="146" t="s">
        <v>340</v>
      </c>
      <c r="Q24" s="146" t="s">
        <v>341</v>
      </c>
      <c r="R24" s="145"/>
    </row>
    <row r="25" ht="14.25" customHeight="1">
      <c r="A25" s="162" t="str">
        <f t="shared" ref="A25:D25" si="8">A6</f>
        <v>Taubate</v>
      </c>
      <c r="B25" s="163" t="str">
        <f t="shared" si="8"/>
        <v>Alto Vale do Paraiba</v>
      </c>
      <c r="C25" s="164" t="n">
        <f t="shared" si="8"/>
        <v>7863</v>
      </c>
      <c r="D25" s="164" t="n">
        <f t="shared" si="8"/>
        <v>8652</v>
      </c>
      <c r="E25" s="165" t="n">
        <v>120.0</v>
      </c>
      <c r="F25" s="166" t="n">
        <v>5.0</v>
      </c>
      <c r="G25" s="166" t="n">
        <v>8.0</v>
      </c>
      <c r="H25" s="167" t="n">
        <v>30.0</v>
      </c>
      <c r="I25" s="167" t="n">
        <v>23.0</v>
      </c>
      <c r="J25" s="167" t="n">
        <v>3.0</v>
      </c>
      <c r="K25" s="147"/>
      <c r="L25" s="147"/>
      <c r="M25" s="147" t="n">
        <v>1.0</v>
      </c>
      <c r="N25" s="168"/>
      <c r="O25" s="63"/>
      <c r="P25" s="63"/>
      <c r="Q25" s="63"/>
      <c r="R25" s="63" t="n">
        <v>1.0</v>
      </c>
    </row>
    <row r="26" ht="14.25" customHeight="1">
      <c r="A26" s="162" t="str">
        <f t="shared" ref="A26:D26" si="9">A7</f>
        <v>Taubate</v>
      </c>
      <c r="B26" s="163" t="str">
        <f t="shared" si="9"/>
        <v>Circ. da Fe-V. Historico</v>
      </c>
      <c r="C26" s="164" t="n">
        <f t="shared" si="9"/>
        <v>4342</v>
      </c>
      <c r="D26" s="164" t="n">
        <f t="shared" si="9"/>
        <v>4775</v>
      </c>
      <c r="E26" s="165" t="n">
        <v>47.0</v>
      </c>
      <c r="F26" s="166" t="n">
        <v>0.0</v>
      </c>
      <c r="G26" s="166" t="n">
        <v>3.0</v>
      </c>
      <c r="H26" s="167" t="n">
        <v>13.0</v>
      </c>
      <c r="I26" s="167"/>
      <c r="J26" s="167"/>
      <c r="K26" s="169"/>
      <c r="L26" s="169"/>
      <c r="M26" s="169"/>
      <c r="N26" s="170"/>
      <c r="O26" s="63"/>
      <c r="P26" s="63"/>
      <c r="Q26" s="63"/>
      <c r="R26" s="63"/>
    </row>
    <row r="27" ht="14.25" customHeight="1">
      <c r="A27" s="162" t="str">
        <f t="shared" ref="A27:D27" si="10">A8</f>
        <v>Taubate</v>
      </c>
      <c r="B27" s="163" t="str">
        <f t="shared" si="10"/>
        <v>Litoral Norte</v>
      </c>
      <c r="C27" s="164" t="n">
        <f t="shared" si="10"/>
        <v>3960</v>
      </c>
      <c r="D27" s="164" t="n">
        <f t="shared" si="10"/>
        <v>4355</v>
      </c>
      <c r="E27" s="165" t="n">
        <v>75.0</v>
      </c>
      <c r="F27" s="166" t="n">
        <v>0.0</v>
      </c>
      <c r="G27" s="166" t="n">
        <v>2.0</v>
      </c>
      <c r="H27" s="167" t="n">
        <v>10.0</v>
      </c>
      <c r="I27" s="167"/>
      <c r="J27" s="167"/>
      <c r="K27" s="169"/>
      <c r="L27" s="169"/>
      <c r="M27" s="169"/>
      <c r="N27" s="170"/>
      <c r="O27" s="63"/>
      <c r="P27" s="63"/>
      <c r="Q27" s="63"/>
      <c r="R27" s="63" t="n">
        <v>2.0</v>
      </c>
    </row>
    <row r="28" ht="14.25" customHeight="1">
      <c r="A28" s="162" t="str">
        <f t="shared" ref="A28:D28" si="11">A9</f>
        <v>Taubate</v>
      </c>
      <c r="B28" s="163" t="str">
        <f t="shared" si="11"/>
        <v>V. Paraiba - R. Serrana</v>
      </c>
      <c r="C28" s="164" t="n">
        <f t="shared" si="11"/>
        <v>5495</v>
      </c>
      <c r="D28" s="164" t="n">
        <f t="shared" si="11"/>
        <v>6046</v>
      </c>
      <c r="E28" s="165" t="n">
        <v>86.0</v>
      </c>
      <c r="F28" s="166" t="n">
        <v>8.0</v>
      </c>
      <c r="G28" s="166" t="n">
        <v>4.0</v>
      </c>
      <c r="H28" s="167" t="n">
        <v>17.0</v>
      </c>
      <c r="I28" s="167" t="n">
        <v>7.0</v>
      </c>
      <c r="J28" s="167"/>
      <c r="K28" s="169"/>
      <c r="L28" s="169"/>
      <c r="M28" s="169"/>
      <c r="N28" s="170"/>
      <c r="O28" s="63"/>
      <c r="P28" s="63"/>
      <c r="Q28" s="63"/>
      <c r="R28" s="63" t="n">
        <v>1.0</v>
      </c>
    </row>
    <row r="29" ht="14.25" customHeight="1">
      <c r="A29" s="162" t="str">
        <f t="shared" ref="A29:D29" si="12">A10</f>
        <v/>
      </c>
      <c r="B29" s="163" t="str">
        <f t="shared" si="12"/>
        <v/>
      </c>
      <c r="C29" s="171" t="str">
        <f t="shared" si="12"/>
        <v/>
      </c>
      <c r="D29" s="171" t="str">
        <f t="shared" si="12"/>
        <v/>
      </c>
      <c r="E29" s="165"/>
      <c r="F29" s="166"/>
      <c r="G29" s="166"/>
      <c r="H29" s="167"/>
      <c r="I29" s="167"/>
      <c r="J29" s="167"/>
      <c r="K29" s="169"/>
      <c r="L29" s="169"/>
      <c r="M29" s="169"/>
      <c r="N29" s="170"/>
      <c r="O29" s="63"/>
      <c r="P29" s="63"/>
      <c r="Q29" s="63"/>
      <c r="R29" s="63"/>
    </row>
    <row r="30" ht="14.25" customHeight="1">
      <c r="A30" s="162" t="str">
        <f t="shared" ref="A30:D30" si="13">A11</f>
        <v/>
      </c>
      <c r="B30" s="163" t="str">
        <f t="shared" si="13"/>
        <v/>
      </c>
      <c r="C30" s="171" t="str">
        <f t="shared" si="13"/>
        <v/>
      </c>
      <c r="D30" s="171" t="str">
        <f t="shared" si="13"/>
        <v/>
      </c>
      <c r="E30" s="165"/>
      <c r="F30" s="166"/>
      <c r="G30" s="166"/>
      <c r="H30" s="167"/>
      <c r="I30" s="167"/>
      <c r="J30" s="167"/>
      <c r="K30" s="169"/>
      <c r="L30" s="169"/>
      <c r="M30" s="169"/>
      <c r="N30" s="170"/>
      <c r="O30" s="63"/>
      <c r="P30" s="63"/>
      <c r="Q30" s="63"/>
      <c r="R30" s="63"/>
    </row>
    <row r="31" ht="14.25" customHeight="1">
      <c r="A31" s="162" t="str">
        <f t="shared" ref="A31:D31" si="14">A12</f>
        <v/>
      </c>
      <c r="B31" s="163" t="str">
        <f t="shared" si="14"/>
        <v/>
      </c>
      <c r="C31" s="171" t="str">
        <f t="shared" si="14"/>
        <v/>
      </c>
      <c r="D31" s="171" t="str">
        <f t="shared" si="14"/>
        <v/>
      </c>
      <c r="E31" s="165"/>
      <c r="F31" s="166"/>
      <c r="G31" s="166"/>
      <c r="H31" s="167"/>
      <c r="I31" s="167"/>
      <c r="J31" s="167"/>
      <c r="K31" s="169"/>
      <c r="L31" s="169"/>
      <c r="M31" s="169"/>
      <c r="N31" s="170"/>
      <c r="O31" s="63"/>
      <c r="P31" s="63"/>
      <c r="Q31" s="63"/>
      <c r="R31" s="63"/>
    </row>
    <row r="32" ht="14.25" customHeight="1">
      <c r="A32" s="162" t="str">
        <f t="shared" ref="A32:D32" si="15">A13</f>
        <v/>
      </c>
      <c r="B32" s="163" t="str">
        <f t="shared" si="15"/>
        <v/>
      </c>
      <c r="C32" s="171" t="str">
        <f t="shared" si="15"/>
        <v/>
      </c>
      <c r="D32" s="171" t="str">
        <f t="shared" si="15"/>
        <v/>
      </c>
      <c r="E32" s="165"/>
      <c r="F32" s="166"/>
      <c r="G32" s="166"/>
      <c r="H32" s="167"/>
      <c r="I32" s="167"/>
      <c r="J32" s="167"/>
      <c r="K32" s="169"/>
      <c r="L32" s="169"/>
      <c r="M32" s="169"/>
      <c r="N32" s="170"/>
      <c r="O32" s="63"/>
      <c r="P32" s="63"/>
      <c r="Q32" s="63"/>
      <c r="R32" s="63"/>
    </row>
    <row r="33" ht="14.25" customHeight="1">
      <c r="A33" s="162" t="str">
        <f t="shared" ref="A33:D33" si="16">A14</f>
        <v/>
      </c>
      <c r="B33" s="163" t="str">
        <f t="shared" si="16"/>
        <v/>
      </c>
      <c r="C33" s="171" t="str">
        <f t="shared" si="16"/>
        <v/>
      </c>
      <c r="D33" s="171" t="str">
        <f t="shared" si="16"/>
        <v/>
      </c>
      <c r="E33" s="165"/>
      <c r="F33" s="166"/>
      <c r="G33" s="166"/>
      <c r="H33" s="167"/>
      <c r="I33" s="167"/>
      <c r="J33" s="167"/>
      <c r="K33" s="169"/>
      <c r="L33" s="169"/>
      <c r="M33" s="169"/>
      <c r="N33" s="170"/>
      <c r="O33" s="63"/>
      <c r="P33" s="63"/>
      <c r="Q33" s="63"/>
      <c r="R33" s="63"/>
    </row>
    <row r="34" ht="14.25" customHeight="1">
      <c r="A34" s="162" t="str">
        <f t="shared" ref="A34:D34" si="17">A15</f>
        <v/>
      </c>
      <c r="B34" s="163" t="str">
        <f t="shared" si="17"/>
        <v/>
      </c>
      <c r="C34" s="171" t="str">
        <f t="shared" si="17"/>
        <v/>
      </c>
      <c r="D34" s="171" t="str">
        <f t="shared" si="17"/>
        <v/>
      </c>
      <c r="E34" s="165"/>
      <c r="F34" s="166"/>
      <c r="G34" s="166"/>
      <c r="H34" s="167"/>
      <c r="I34" s="167"/>
      <c r="J34" s="167"/>
      <c r="K34" s="169"/>
      <c r="L34" s="169"/>
      <c r="M34" s="169"/>
      <c r="N34" s="170"/>
      <c r="O34" s="63"/>
      <c r="P34" s="63"/>
      <c r="Q34" s="63"/>
      <c r="R34" s="63"/>
    </row>
    <row r="35" ht="14.25" customHeight="1">
      <c r="A35" s="162" t="str">
        <f t="shared" ref="A35:D35" si="18">A16</f>
        <v/>
      </c>
      <c r="B35" s="163" t="str">
        <f t="shared" si="18"/>
        <v/>
      </c>
      <c r="C35" s="171" t="str">
        <f t="shared" si="18"/>
        <v/>
      </c>
      <c r="D35" s="171" t="str">
        <f t="shared" si="18"/>
        <v/>
      </c>
      <c r="E35" s="165"/>
      <c r="F35" s="166"/>
      <c r="G35" s="166"/>
      <c r="H35" s="167"/>
      <c r="I35" s="167"/>
      <c r="J35" s="167"/>
      <c r="K35" s="169"/>
      <c r="L35" s="169"/>
      <c r="M35" s="169"/>
      <c r="N35" s="170"/>
      <c r="O35" s="63"/>
      <c r="P35" s="63"/>
      <c r="Q35" s="63"/>
      <c r="R35" s="63"/>
    </row>
    <row r="36" ht="14.25" customHeight="1">
      <c r="A36" s="162" t="str">
        <f t="shared" ref="A36:D36" si="19">A17</f>
        <v/>
      </c>
      <c r="B36" s="163" t="str">
        <f t="shared" si="19"/>
        <v/>
      </c>
      <c r="C36" s="171" t="str">
        <f t="shared" si="19"/>
        <v/>
      </c>
      <c r="D36" s="171" t="str">
        <f t="shared" si="19"/>
        <v/>
      </c>
      <c r="E36" s="172"/>
      <c r="F36" s="173"/>
      <c r="G36" s="173"/>
      <c r="H36" s="174"/>
      <c r="I36" s="174"/>
      <c r="J36" s="174"/>
      <c r="K36" s="155"/>
      <c r="L36" s="155"/>
      <c r="M36" s="155"/>
      <c r="N36" s="175"/>
      <c r="O36" s="155"/>
      <c r="P36" s="155"/>
      <c r="Q36" s="155"/>
      <c r="R36" s="155"/>
    </row>
    <row r="37" ht="14.25" customHeight="1">
      <c r="A37" s="176" t="s">
        <v>344</v>
      </c>
      <c r="B37" s="43"/>
      <c r="C37" s="43"/>
      <c r="D37" s="43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</row>
    <row r="38" ht="14.25" customHeight="1"/>
    <row r="39" ht="14.25" customHeight="1"/>
    <row r="40" ht="14.25" customHeight="1"/>
    <row r="41" ht="14.25" customHeight="1"/>
    <row r="42" ht="14.25" customHeight="1">
      <c r="E42" s="131" t="s">
        <v>345</v>
      </c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4"/>
    </row>
    <row r="43" ht="54.75" customHeight="1">
      <c r="A43" s="100" t="s">
        <v>1</v>
      </c>
      <c r="B43" s="100" t="s">
        <v>290</v>
      </c>
      <c r="C43" s="140" t="s">
        <v>331</v>
      </c>
      <c r="D43" s="140" t="s">
        <v>254</v>
      </c>
      <c r="E43" s="141" t="s">
        <v>288</v>
      </c>
      <c r="F43" s="142" t="s">
        <v>332</v>
      </c>
      <c r="G43" s="142" t="s">
        <v>309</v>
      </c>
      <c r="H43" s="142" t="s">
        <v>333</v>
      </c>
      <c r="I43" s="142" t="s">
        <v>312</v>
      </c>
      <c r="J43" s="142" t="s">
        <v>313</v>
      </c>
      <c r="K43" s="137" t="s">
        <v>334</v>
      </c>
      <c r="L43" s="143"/>
      <c r="M43" s="137" t="s">
        <v>335</v>
      </c>
      <c r="N43" s="143"/>
      <c r="O43" s="137" t="s">
        <v>336</v>
      </c>
      <c r="P43" s="144"/>
      <c r="Q43" s="143"/>
      <c r="R43" s="142" t="s">
        <v>321</v>
      </c>
    </row>
    <row r="44" ht="19.5" customHeight="1">
      <c r="A44" s="145"/>
      <c r="B44" s="145"/>
      <c r="C44" s="145"/>
      <c r="D44" s="145"/>
      <c r="E44" s="145"/>
      <c r="F44" s="145"/>
      <c r="G44" s="145"/>
      <c r="H44" s="145"/>
      <c r="I44" s="145"/>
      <c r="J44" s="145"/>
      <c r="K44" s="146" t="s">
        <v>337</v>
      </c>
      <c r="L44" s="146" t="s">
        <v>338</v>
      </c>
      <c r="M44" s="146" t="s">
        <v>337</v>
      </c>
      <c r="N44" s="138" t="s">
        <v>338</v>
      </c>
      <c r="O44" s="146" t="s">
        <v>339</v>
      </c>
      <c r="P44" s="146" t="s">
        <v>340</v>
      </c>
      <c r="Q44" s="146" t="s">
        <v>341</v>
      </c>
      <c r="R44" s="145"/>
    </row>
    <row r="45" ht="14.25" customHeight="1">
      <c r="A45" s="164" t="str">
        <f t="shared" ref="A45:D45" si="20">A6</f>
        <v>Taubate</v>
      </c>
      <c r="B45" s="164" t="str">
        <f t="shared" si="20"/>
        <v>Alto Vale do Paraiba</v>
      </c>
      <c r="C45" s="164" t="n">
        <f t="shared" si="20"/>
        <v>7863</v>
      </c>
      <c r="D45" s="164" t="n">
        <f t="shared" si="20"/>
        <v>8652</v>
      </c>
      <c r="E45" s="148" t="n">
        <f t="shared" ref="E45:J45" si="21">E25-E6</f>
        <v>17.56438356</v>
      </c>
      <c r="F45" s="148" t="n">
        <f t="shared" si="21"/>
        <v>-10.36534247</v>
      </c>
      <c r="G45" s="148" t="n">
        <f t="shared" si="21"/>
        <v>1.853863014</v>
      </c>
      <c r="H45" s="148" t="n">
        <f t="shared" si="21"/>
        <v>14.274</v>
      </c>
      <c r="I45" s="148" t="n">
        <f t="shared" si="21"/>
        <v>7.274</v>
      </c>
      <c r="J45" s="148" t="n">
        <f t="shared" si="21"/>
        <v>-4.863</v>
      </c>
      <c r="K45" s="147"/>
      <c r="L45" s="147"/>
      <c r="M45" s="147"/>
      <c r="N45" s="168"/>
      <c r="O45" s="63"/>
      <c r="P45" s="63"/>
      <c r="Q45" s="63"/>
      <c r="R45" s="63"/>
    </row>
    <row r="46" ht="14.25" customHeight="1">
      <c r="A46" s="164" t="str">
        <f t="shared" ref="A46:D46" si="22">A7</f>
        <v>Taubate</v>
      </c>
      <c r="B46" s="164" t="str">
        <f t="shared" si="22"/>
        <v>Circ. da Fe-V. Historico</v>
      </c>
      <c r="C46" s="164" t="n">
        <f t="shared" si="22"/>
        <v>4342</v>
      </c>
      <c r="D46" s="164" t="n">
        <f t="shared" si="22"/>
        <v>4775</v>
      </c>
      <c r="E46" s="148" t="n">
        <f t="shared" ref="E46:J46" si="23">E26-E7</f>
        <v>-9.533757339</v>
      </c>
      <c r="F46" s="148" t="n">
        <f t="shared" si="23"/>
        <v>-8.480063601</v>
      </c>
      <c r="G46" s="148" t="n">
        <f t="shared" si="23"/>
        <v>-0.3920254403</v>
      </c>
      <c r="H46" s="148" t="n">
        <f t="shared" si="23"/>
        <v>4.316</v>
      </c>
      <c r="I46" s="148" t="n">
        <f t="shared" si="23"/>
        <v>-8.684</v>
      </c>
      <c r="J46" s="148" t="n">
        <f t="shared" si="23"/>
        <v>-4.342</v>
      </c>
      <c r="K46" s="169"/>
      <c r="L46" s="169"/>
      <c r="M46" s="169"/>
      <c r="N46" s="170"/>
      <c r="O46" s="63"/>
      <c r="P46" s="63"/>
      <c r="Q46" s="63"/>
      <c r="R46" s="63"/>
    </row>
    <row r="47" ht="14.25" customHeight="1">
      <c r="A47" s="164" t="str">
        <f t="shared" ref="A47:D47" si="24">A8</f>
        <v>Taubate</v>
      </c>
      <c r="B47" s="164" t="str">
        <f t="shared" si="24"/>
        <v>Litoral Norte</v>
      </c>
      <c r="C47" s="164" t="n">
        <f t="shared" si="24"/>
        <v>3960</v>
      </c>
      <c r="D47" s="164" t="n">
        <f t="shared" si="24"/>
        <v>4355</v>
      </c>
      <c r="E47" s="148" t="n">
        <f t="shared" ref="E47:J47" si="25">E27-E8</f>
        <v>23.4388454</v>
      </c>
      <c r="F47" s="148" t="n">
        <f t="shared" si="25"/>
        <v>-7.73417319</v>
      </c>
      <c r="G47" s="148" t="n">
        <f t="shared" si="25"/>
        <v>-1.093669276</v>
      </c>
      <c r="H47" s="148" t="n">
        <f t="shared" si="25"/>
        <v>2.08</v>
      </c>
      <c r="I47" s="148" t="n">
        <f t="shared" si="25"/>
        <v>-7.92</v>
      </c>
      <c r="J47" s="148" t="n">
        <f t="shared" si="25"/>
        <v>-3.96</v>
      </c>
      <c r="K47" s="169"/>
      <c r="L47" s="169"/>
      <c r="M47" s="169"/>
      <c r="N47" s="170"/>
      <c r="O47" s="63"/>
      <c r="P47" s="63"/>
      <c r="Q47" s="63"/>
      <c r="R47" s="63"/>
    </row>
    <row r="48" ht="14.25" customHeight="1">
      <c r="A48" s="164" t="str">
        <f t="shared" ref="A48:D48" si="26">A9</f>
        <v>Taubate</v>
      </c>
      <c r="B48" s="164" t="str">
        <f t="shared" si="26"/>
        <v>V. Paraiba - R. Serrana</v>
      </c>
      <c r="C48" s="164" t="n">
        <f t="shared" si="26"/>
        <v>5495</v>
      </c>
      <c r="D48" s="164" t="n">
        <f t="shared" si="26"/>
        <v>6046</v>
      </c>
      <c r="E48" s="148" t="n">
        <f t="shared" ref="E48:J48" si="27">E28-E9</f>
        <v>14.41819961</v>
      </c>
      <c r="F48" s="148" t="n">
        <f t="shared" si="27"/>
        <v>-2.737270059</v>
      </c>
      <c r="G48" s="148" t="n">
        <f t="shared" si="27"/>
        <v>-0.2949080235</v>
      </c>
      <c r="H48" s="148" t="n">
        <f t="shared" si="27"/>
        <v>6.01</v>
      </c>
      <c r="I48" s="148" t="n">
        <f t="shared" si="27"/>
        <v>-3.99</v>
      </c>
      <c r="J48" s="148" t="n">
        <f t="shared" si="27"/>
        <v>-5.495</v>
      </c>
      <c r="K48" s="169"/>
      <c r="L48" s="169"/>
      <c r="M48" s="169"/>
      <c r="N48" s="170"/>
      <c r="O48" s="63"/>
      <c r="P48" s="63"/>
      <c r="Q48" s="63"/>
      <c r="R48" s="63"/>
    </row>
    <row r="49" ht="14.25" customHeight="1">
      <c r="A49" s="164" t="str">
        <f t="shared" ref="A49:D49" si="28">A10</f>
        <v/>
      </c>
      <c r="B49" s="164" t="str">
        <f t="shared" si="28"/>
        <v/>
      </c>
      <c r="C49" s="171" t="str">
        <f t="shared" si="28"/>
        <v/>
      </c>
      <c r="D49" s="171" t="str">
        <f t="shared" si="28"/>
        <v/>
      </c>
      <c r="E49" s="148" t="n">
        <f t="shared" ref="E49:J49" si="29">E29-E10</f>
        <v>0</v>
      </c>
      <c r="F49" s="148" t="n">
        <f t="shared" si="29"/>
        <v>0</v>
      </c>
      <c r="G49" s="148" t="n">
        <f t="shared" si="29"/>
        <v>0</v>
      </c>
      <c r="H49" s="148" t="n">
        <f t="shared" si="29"/>
        <v>0</v>
      </c>
      <c r="I49" s="148" t="n">
        <f t="shared" si="29"/>
        <v>0</v>
      </c>
      <c r="J49" s="148" t="n">
        <f t="shared" si="29"/>
        <v>0</v>
      </c>
      <c r="K49" s="169"/>
      <c r="L49" s="169"/>
      <c r="M49" s="169"/>
      <c r="N49" s="170"/>
      <c r="O49" s="63"/>
      <c r="P49" s="63"/>
      <c r="Q49" s="63"/>
      <c r="R49" s="63"/>
    </row>
    <row r="50" ht="14.25" customHeight="1">
      <c r="A50" s="164" t="str">
        <f t="shared" ref="A50:D50" si="30">A11</f>
        <v/>
      </c>
      <c r="B50" s="164" t="str">
        <f t="shared" si="30"/>
        <v/>
      </c>
      <c r="C50" s="171" t="str">
        <f t="shared" si="30"/>
        <v/>
      </c>
      <c r="D50" s="171" t="str">
        <f t="shared" si="30"/>
        <v/>
      </c>
      <c r="E50" s="148" t="n">
        <f t="shared" ref="E50:J50" si="31">E30-E11</f>
        <v>0</v>
      </c>
      <c r="F50" s="148" t="n">
        <f t="shared" si="31"/>
        <v>0</v>
      </c>
      <c r="G50" s="148" t="n">
        <f t="shared" si="31"/>
        <v>0</v>
      </c>
      <c r="H50" s="148" t="n">
        <f t="shared" si="31"/>
        <v>0</v>
      </c>
      <c r="I50" s="148" t="n">
        <f t="shared" si="31"/>
        <v>0</v>
      </c>
      <c r="J50" s="148" t="n">
        <f t="shared" si="31"/>
        <v>0</v>
      </c>
      <c r="K50" s="169"/>
      <c r="L50" s="169"/>
      <c r="M50" s="169"/>
      <c r="N50" s="170"/>
      <c r="O50" s="63"/>
      <c r="P50" s="63"/>
      <c r="Q50" s="63"/>
      <c r="R50" s="63"/>
    </row>
    <row r="51" ht="14.25" customHeight="1">
      <c r="A51" s="164" t="str">
        <f t="shared" ref="A51:D51" si="32">A12</f>
        <v/>
      </c>
      <c r="B51" s="164" t="str">
        <f t="shared" si="32"/>
        <v/>
      </c>
      <c r="C51" s="171" t="str">
        <f t="shared" si="32"/>
        <v/>
      </c>
      <c r="D51" s="171" t="str">
        <f t="shared" si="32"/>
        <v/>
      </c>
      <c r="E51" s="148" t="n">
        <f t="shared" ref="E51:J51" si="33">E31-E12</f>
        <v>0</v>
      </c>
      <c r="F51" s="148" t="n">
        <f t="shared" si="33"/>
        <v>0</v>
      </c>
      <c r="G51" s="148" t="n">
        <f t="shared" si="33"/>
        <v>0</v>
      </c>
      <c r="H51" s="148" t="n">
        <f t="shared" si="33"/>
        <v>0</v>
      </c>
      <c r="I51" s="148" t="n">
        <f t="shared" si="33"/>
        <v>0</v>
      </c>
      <c r="J51" s="148" t="n">
        <f t="shared" si="33"/>
        <v>0</v>
      </c>
      <c r="K51" s="169"/>
      <c r="L51" s="169"/>
      <c r="M51" s="169"/>
      <c r="N51" s="170"/>
      <c r="O51" s="63"/>
      <c r="P51" s="63"/>
      <c r="Q51" s="63"/>
      <c r="R51" s="63"/>
    </row>
    <row r="52" ht="14.25" customHeight="1">
      <c r="A52" s="164" t="str">
        <f t="shared" ref="A52:D52" si="34">A13</f>
        <v/>
      </c>
      <c r="B52" s="164" t="str">
        <f t="shared" si="34"/>
        <v/>
      </c>
      <c r="C52" s="171" t="str">
        <f t="shared" si="34"/>
        <v/>
      </c>
      <c r="D52" s="171" t="str">
        <f t="shared" si="34"/>
        <v/>
      </c>
      <c r="E52" s="148" t="n">
        <f t="shared" ref="E52:J52" si="35">E32-E13</f>
        <v>0</v>
      </c>
      <c r="F52" s="148" t="n">
        <f t="shared" si="35"/>
        <v>0</v>
      </c>
      <c r="G52" s="148" t="n">
        <f t="shared" si="35"/>
        <v>0</v>
      </c>
      <c r="H52" s="148" t="n">
        <f t="shared" si="35"/>
        <v>0</v>
      </c>
      <c r="I52" s="148" t="n">
        <f t="shared" si="35"/>
        <v>0</v>
      </c>
      <c r="J52" s="148" t="n">
        <f t="shared" si="35"/>
        <v>0</v>
      </c>
      <c r="K52" s="169"/>
      <c r="L52" s="169"/>
      <c r="M52" s="169"/>
      <c r="N52" s="170"/>
      <c r="O52" s="63"/>
      <c r="P52" s="63"/>
      <c r="Q52" s="63"/>
      <c r="R52" s="63"/>
    </row>
    <row r="53" ht="14.25" customHeight="1">
      <c r="A53" s="164" t="str">
        <f t="shared" ref="A53:D53" si="36">A14</f>
        <v/>
      </c>
      <c r="B53" s="164" t="str">
        <f t="shared" si="36"/>
        <v/>
      </c>
      <c r="C53" s="171" t="str">
        <f t="shared" si="36"/>
        <v/>
      </c>
      <c r="D53" s="171" t="str">
        <f t="shared" si="36"/>
        <v/>
      </c>
      <c r="E53" s="148" t="n">
        <f t="shared" ref="E53:J53" si="37">E33-E14</f>
        <v>0</v>
      </c>
      <c r="F53" s="148" t="n">
        <f t="shared" si="37"/>
        <v>0</v>
      </c>
      <c r="G53" s="148" t="n">
        <f t="shared" si="37"/>
        <v>0</v>
      </c>
      <c r="H53" s="148" t="n">
        <f t="shared" si="37"/>
        <v>0</v>
      </c>
      <c r="I53" s="148" t="n">
        <f t="shared" si="37"/>
        <v>0</v>
      </c>
      <c r="J53" s="148" t="n">
        <f t="shared" si="37"/>
        <v>0</v>
      </c>
      <c r="K53" s="169"/>
      <c r="L53" s="169"/>
      <c r="M53" s="169"/>
      <c r="N53" s="170"/>
      <c r="O53" s="63"/>
      <c r="P53" s="63"/>
      <c r="Q53" s="63"/>
      <c r="R53" s="63"/>
    </row>
    <row r="54" ht="14.25" customHeight="1">
      <c r="A54" s="164" t="str">
        <f t="shared" ref="A54:D54" si="38">A15</f>
        <v/>
      </c>
      <c r="B54" s="164" t="str">
        <f t="shared" si="38"/>
        <v/>
      </c>
      <c r="C54" s="171" t="str">
        <f t="shared" si="38"/>
        <v/>
      </c>
      <c r="D54" s="171" t="str">
        <f t="shared" si="38"/>
        <v/>
      </c>
      <c r="E54" s="148" t="n">
        <f t="shared" ref="E54:J54" si="39">E34-E15</f>
        <v>0</v>
      </c>
      <c r="F54" s="148" t="n">
        <f t="shared" si="39"/>
        <v>0</v>
      </c>
      <c r="G54" s="148" t="n">
        <f t="shared" si="39"/>
        <v>0</v>
      </c>
      <c r="H54" s="148" t="n">
        <f t="shared" si="39"/>
        <v>0</v>
      </c>
      <c r="I54" s="148" t="n">
        <f t="shared" si="39"/>
        <v>0</v>
      </c>
      <c r="J54" s="148" t="n">
        <f t="shared" si="39"/>
        <v>0</v>
      </c>
      <c r="K54" s="169"/>
      <c r="L54" s="169"/>
      <c r="M54" s="169"/>
      <c r="N54" s="170"/>
      <c r="O54" s="63"/>
      <c r="P54" s="63"/>
      <c r="Q54" s="63"/>
      <c r="R54" s="63"/>
    </row>
    <row r="55" ht="14.25" customHeight="1">
      <c r="A55" s="177" t="str">
        <f t="shared" ref="A55:D55" si="40">A16</f>
        <v/>
      </c>
      <c r="B55" s="177" t="str">
        <f t="shared" si="40"/>
        <v/>
      </c>
      <c r="C55" s="178" t="str">
        <f t="shared" si="40"/>
        <v/>
      </c>
      <c r="D55" s="178" t="str">
        <f t="shared" si="40"/>
        <v/>
      </c>
      <c r="E55" s="153" t="n">
        <f t="shared" ref="E55:J55" si="41">E36-E16</f>
        <v>0</v>
      </c>
      <c r="F55" s="153" t="n">
        <f t="shared" si="41"/>
        <v>0</v>
      </c>
      <c r="G55" s="153" t="n">
        <f t="shared" si="41"/>
        <v>0</v>
      </c>
      <c r="H55" s="153" t="n">
        <f t="shared" si="41"/>
        <v>0</v>
      </c>
      <c r="I55" s="153" t="n">
        <f t="shared" si="41"/>
        <v>0</v>
      </c>
      <c r="J55" s="153" t="n">
        <f t="shared" si="41"/>
        <v>0</v>
      </c>
      <c r="K55" s="155"/>
      <c r="L55" s="155"/>
      <c r="M55" s="155"/>
      <c r="N55" s="175"/>
      <c r="O55" s="155"/>
      <c r="P55" s="155"/>
      <c r="Q55" s="155"/>
      <c r="R55" s="155"/>
    </row>
    <row r="56" ht="14.25" customHeight="1">
      <c r="A56" s="179" t="s">
        <v>346</v>
      </c>
      <c r="B56" s="43"/>
      <c r="C56" s="43"/>
      <c r="D56" s="43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9"/>
    </row>
    <row r="57" ht="14.25" customHeight="1"/>
    <row r="58" ht="14.25" customHeight="1"/>
    <row r="59" ht="14.25" customHeight="1"/>
    <row r="60" ht="14.25" customHeight="1"/>
    <row r="61" ht="13.5" customHeight="1">
      <c r="A61" s="77"/>
      <c r="B61" s="77"/>
      <c r="C61" s="77"/>
    </row>
    <row r="62" ht="15.0" customHeight="1">
      <c r="A62" s="77"/>
      <c r="B62" s="77"/>
      <c r="C62" s="77"/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>
      <c r="A75" s="180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>
      <c r="A90" s="120"/>
      <c r="B90" s="120"/>
      <c r="C90" s="181" t="s">
        <v>347</v>
      </c>
    </row>
    <row r="91" ht="14.25" customHeight="1">
      <c r="A91" s="120"/>
      <c r="B91" s="120"/>
      <c r="C91" s="120" t="n">
        <v>1.0</v>
      </c>
    </row>
    <row r="92" ht="14.25" customHeight="1">
      <c r="A92" s="120"/>
      <c r="B92" s="120"/>
      <c r="C92" s="120" t="n">
        <v>2.0</v>
      </c>
    </row>
    <row r="93" ht="14.25" customHeight="1">
      <c r="A93" s="120"/>
      <c r="B93" s="120"/>
      <c r="C93" s="120" t="n">
        <v>3.0</v>
      </c>
    </row>
    <row r="94" ht="14.25" customHeight="1">
      <c r="A94" s="120"/>
      <c r="B94" s="120"/>
      <c r="C94" s="120" t="n">
        <v>4.0</v>
      </c>
    </row>
    <row r="95" ht="14.25" customHeight="1">
      <c r="A95" s="120"/>
      <c r="B95" s="120"/>
      <c r="C95" s="120" t="n">
        <v>5.0</v>
      </c>
    </row>
    <row r="96" ht="14.25" customHeight="1">
      <c r="A96" s="120"/>
      <c r="B96" s="120"/>
      <c r="C96" s="120" t="n">
        <v>6.0</v>
      </c>
    </row>
    <row r="97" ht="14.25" customHeight="1">
      <c r="A97" s="182"/>
      <c r="B97" s="183"/>
      <c r="C97" s="184"/>
    </row>
    <row r="98" ht="14.25" customHeight="1">
      <c r="C98" s="185"/>
    </row>
    <row r="99" ht="7.5" customHeight="1">
      <c r="C99" s="185"/>
    </row>
    <row r="100" ht="14.25" customHeight="1">
      <c r="A100" s="144"/>
      <c r="B100" s="144"/>
      <c r="C100" s="143"/>
    </row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0">
    <mergeCell ref="E3:R3"/>
    <mergeCell ref="A4:A5"/>
    <mergeCell ref="B4:B5"/>
    <mergeCell ref="C4:C5"/>
    <mergeCell ref="D4:D5"/>
    <mergeCell ref="E4:E5"/>
    <mergeCell ref="F4:F5"/>
    <mergeCell ref="M23:N23"/>
    <mergeCell ref="O23:Q23"/>
    <mergeCell ref="E42:R42"/>
    <mergeCell ref="G4:G5"/>
    <mergeCell ref="H4:H5"/>
    <mergeCell ref="A18:D18"/>
    <mergeCell ref="E22:R22"/>
    <mergeCell ref="A23:A24"/>
    <mergeCell ref="B23:B24"/>
    <mergeCell ref="R23:R24"/>
    <mergeCell ref="O43:Q43"/>
    <mergeCell ref="R43:R44"/>
    <mergeCell ref="F43:F44"/>
    <mergeCell ref="G43:G44"/>
    <mergeCell ref="H43:H44"/>
    <mergeCell ref="I43:I44"/>
    <mergeCell ref="J43:J44"/>
    <mergeCell ref="K43:L43"/>
    <mergeCell ref="M43:N43"/>
    <mergeCell ref="A56:D56"/>
    <mergeCell ref="A75:C76"/>
    <mergeCell ref="A97:C100"/>
    <mergeCell ref="C23:C24"/>
    <mergeCell ref="A37:D37"/>
    <mergeCell ref="A43:A44"/>
    <mergeCell ref="B43:B44"/>
    <mergeCell ref="C43:C44"/>
    <mergeCell ref="D43:D44"/>
    <mergeCell ref="E43:E44"/>
    <mergeCell ref="I4:I5"/>
    <mergeCell ref="J4:J5"/>
    <mergeCell ref="K4:L4"/>
    <mergeCell ref="M4:N4"/>
    <mergeCell ref="O4:Q4"/>
    <mergeCell ref="R4:R5"/>
    <mergeCell ref="D23:D24"/>
    <mergeCell ref="E23:E24"/>
    <mergeCell ref="F23:F24"/>
    <mergeCell ref="G23:G24"/>
    <mergeCell ref="H23:H24"/>
    <mergeCell ref="I23:I24"/>
    <mergeCell ref="J23:J24"/>
    <mergeCell ref="K23:L23"/>
  </mergeCells>
  <conditionalFormatting sqref="E45:J55">
    <cfRule type="cellIs" dxfId="6" priority="1" operator="lessThan">
      <formula>0</formula>
    </cfRule>
    <cfRule type="cellIs" dxfId="6" priority="2" operator="lessThan">
      <formula>-5</formula>
    </cfRule>
    <cfRule type="cellIs" dxfId="6" priority="3" operator="lessThan">
      <formula>-5</formula>
    </cfRule>
  </conditionalFormatting>
  <dataValidations count="2">
    <dataValidation type="list" allowBlank="1" showErrorMessage="1" sqref="B6:B17">
      <formula1>'listas de opções'!$E$2:$E$64</formula1>
    </dataValidation>
    <dataValidation type="list" allowBlank="1" showErrorMessage="1" sqref="A6:A17">
      <formula1>'listas de opções'!$C$2:$C$18</formula1>
    </dataValidation>
  </dataValidations>
  <pageMargins bottom="0.787401575" footer="0.0" header="0.0" left="0.511811024" right="0.511811024" top="0.78740157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8.86" hidden="0" customWidth="1"/>
    <col min="2" max="2" width="21.71" hidden="0" customWidth="1"/>
    <col min="3" max="3" width="22.71" hidden="0" customWidth="1"/>
    <col min="4" max="4" width="12.29" hidden="0" customWidth="1"/>
    <col min="5" max="5" width="12.29" hidden="0" customWidth="1"/>
    <col min="6" max="6" width="11" hidden="0" customWidth="1"/>
    <col min="7" max="7" width="13" hidden="0" customWidth="1"/>
    <col min="8" max="8" width="9.43" hidden="0" customWidth="1"/>
    <col min="9" max="9" width="9.43" hidden="0" customWidth="1"/>
    <col min="10" max="10" width="9.43" hidden="0" customWidth="1"/>
    <col min="11" max="11" width="9.43" hidden="0" customWidth="1"/>
    <col min="12" max="12" width="9.43" hidden="0" customWidth="1"/>
    <col min="13" max="13" width="9.43" hidden="0" customWidth="1"/>
    <col min="14" max="14" width="9.43" hidden="0" customWidth="1"/>
    <col min="15" max="15" width="9.43" hidden="0" customWidth="1"/>
    <col min="16" max="16" width="9.43" hidden="0" customWidth="1"/>
    <col min="17" max="17" width="9.43" hidden="0" customWidth="1"/>
    <col min="18" max="18" width="9.43" hidden="0" customWidth="1"/>
    <col min="19" max="19" width="9.43" hidden="0" customWidth="1"/>
    <col min="20" max="20" width="11.43" hidden="0" customWidth="1"/>
    <col min="21" max="21" width="11.43" hidden="0" customWidth="1"/>
    <col min="22" max="22" width="11.43" hidden="0" customWidth="1"/>
    <col min="23" max="23" width="11.43" hidden="0" customWidth="1"/>
    <col min="24" max="24" width="11.43" hidden="0" customWidth="1"/>
    <col min="25" max="25" width="11.43" hidden="0" customWidth="1"/>
    <col min="26" max="26" width="11.43" hidden="0" customWidth="1"/>
    <col min="27" max="27" width="11.43" hidden="0" customWidth="1"/>
  </cols>
  <sheetData>
    <row r="1" ht="14.25" customHeight="1">
      <c r="A1" s="40" t="s">
        <v>103</v>
      </c>
      <c r="B1" s="186" t="str">
        <f>'Tabela 1 APS - Descr.'!B1</f>
        <v>RRAS 17</v>
      </c>
    </row>
    <row r="2" ht="14.25" customHeight="1"/>
    <row r="3" ht="14.25" customHeight="1">
      <c r="A3" s="187" t="s">
        <v>348</v>
      </c>
    </row>
    <row r="4" ht="14.25" customHeight="1">
      <c r="A4" s="188" t="s">
        <v>349</v>
      </c>
    </row>
    <row r="5" ht="14.25" customHeight="1"/>
    <row r="6" ht="18.0" customHeight="1">
      <c r="A6" s="189" t="s">
        <v>350</v>
      </c>
    </row>
    <row r="7" ht="18.0" customHeight="1">
      <c r="A7" s="189" t="s">
        <v>351</v>
      </c>
    </row>
    <row r="8" ht="14.25" customHeight="1">
      <c r="A8" s="187" t="s">
        <v>352</v>
      </c>
    </row>
    <row r="9" ht="14.25" customHeight="1">
      <c r="A9" s="187" t="s">
        <v>353</v>
      </c>
    </row>
    <row r="10" ht="14.25" customHeight="1">
      <c r="A10" s="187" t="s">
        <v>354</v>
      </c>
    </row>
    <row r="11" ht="14.25" customHeight="1"/>
    <row r="12" ht="14.25" customHeight="1">
      <c r="A12" s="126" t="s">
        <v>355</v>
      </c>
    </row>
    <row r="13" ht="14.25" customHeight="1">
      <c r="G13" s="131" t="s">
        <v>356</v>
      </c>
      <c r="H13" s="190"/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1"/>
      <c r="U13" s="191"/>
      <c r="V13" s="191"/>
      <c r="W13" s="191"/>
      <c r="X13" s="191"/>
      <c r="Y13" s="191"/>
      <c r="Z13" s="191"/>
      <c r="AA13" s="191"/>
    </row>
    <row r="14" ht="43.5" customHeight="1">
      <c r="A14" s="100" t="s">
        <v>1</v>
      </c>
      <c r="B14" s="100" t="s">
        <v>290</v>
      </c>
      <c r="C14" s="100" t="s">
        <v>289</v>
      </c>
      <c r="D14" s="100" t="s">
        <v>120</v>
      </c>
      <c r="E14" s="100" t="s">
        <v>258</v>
      </c>
      <c r="F14" s="100" t="s">
        <v>357</v>
      </c>
      <c r="G14" s="192" t="s">
        <v>358</v>
      </c>
      <c r="H14" s="193" t="s">
        <v>332</v>
      </c>
      <c r="J14" s="185"/>
      <c r="K14" s="193" t="s">
        <v>359</v>
      </c>
      <c r="M14" s="185"/>
      <c r="N14" s="193" t="s">
        <v>312</v>
      </c>
      <c r="P14" s="185"/>
      <c r="Q14" s="193" t="s">
        <v>313</v>
      </c>
      <c r="S14" s="185"/>
      <c r="T14" s="138" t="s">
        <v>334</v>
      </c>
      <c r="U14" s="194"/>
      <c r="V14" s="138" t="s">
        <v>335</v>
      </c>
      <c r="W14" s="194"/>
      <c r="X14" s="138" t="s">
        <v>336</v>
      </c>
      <c r="Y14" s="195"/>
      <c r="Z14" s="194"/>
      <c r="AA14" s="146" t="s">
        <v>321</v>
      </c>
    </row>
    <row r="15" ht="43.5" customHeight="1">
      <c r="A15" s="184"/>
      <c r="B15" s="184"/>
      <c r="C15" s="184"/>
      <c r="D15" s="184"/>
      <c r="E15" s="184"/>
      <c r="F15" s="184"/>
      <c r="G15" s="196"/>
      <c r="H15" s="197"/>
      <c r="I15" s="144"/>
      <c r="J15" s="143"/>
      <c r="K15" s="197"/>
      <c r="L15" s="144"/>
      <c r="M15" s="143"/>
      <c r="N15" s="197"/>
      <c r="O15" s="144"/>
      <c r="P15" s="143"/>
      <c r="Q15" s="197"/>
      <c r="R15" s="144"/>
      <c r="S15" s="143"/>
      <c r="T15" s="146" t="s">
        <v>337</v>
      </c>
      <c r="U15" s="146" t="s">
        <v>338</v>
      </c>
      <c r="V15" s="146" t="s">
        <v>337</v>
      </c>
      <c r="W15" s="146" t="s">
        <v>338</v>
      </c>
      <c r="X15" s="146" t="s">
        <v>339</v>
      </c>
      <c r="Y15" s="146" t="s">
        <v>340</v>
      </c>
      <c r="Z15" s="146" t="s">
        <v>360</v>
      </c>
      <c r="AA15" s="146"/>
    </row>
    <row r="16" ht="14.25" customHeight="1">
      <c r="A16" s="145"/>
      <c r="B16" s="145"/>
      <c r="C16" s="145"/>
      <c r="D16" s="145"/>
      <c r="E16" s="145"/>
      <c r="F16" s="145"/>
      <c r="G16" s="198" t="s">
        <v>4</v>
      </c>
      <c r="H16" s="199" t="s">
        <v>361</v>
      </c>
      <c r="I16" s="146" t="s">
        <v>362</v>
      </c>
      <c r="J16" s="146" t="s">
        <v>363</v>
      </c>
      <c r="K16" s="199" t="s">
        <v>361</v>
      </c>
      <c r="L16" s="146" t="s">
        <v>362</v>
      </c>
      <c r="M16" s="146" t="s">
        <v>363</v>
      </c>
      <c r="N16" s="199" t="s">
        <v>364</v>
      </c>
      <c r="O16" s="146" t="s">
        <v>362</v>
      </c>
      <c r="P16" s="146" t="s">
        <v>363</v>
      </c>
      <c r="Q16" s="199" t="s">
        <v>364</v>
      </c>
      <c r="R16" s="146" t="s">
        <v>362</v>
      </c>
      <c r="S16" s="146" t="s">
        <v>363</v>
      </c>
      <c r="T16" s="199" t="s">
        <v>3</v>
      </c>
      <c r="U16" s="199" t="s">
        <v>3</v>
      </c>
      <c r="V16" s="199" t="s">
        <v>3</v>
      </c>
      <c r="W16" s="199" t="s">
        <v>3</v>
      </c>
      <c r="X16" s="199" t="s">
        <v>3</v>
      </c>
      <c r="Y16" s="199" t="s">
        <v>3</v>
      </c>
      <c r="Z16" s="199" t="s">
        <v>3</v>
      </c>
      <c r="AA16" s="199" t="s">
        <v>3</v>
      </c>
    </row>
    <row r="17" ht="19.5" customHeight="1">
      <c r="A17" s="62" t="s">
        <v>130</v>
      </c>
      <c r="B17" s="62" t="s">
        <v>131</v>
      </c>
      <c r="C17" s="200" t="s">
        <v>135</v>
      </c>
      <c r="D17" s="200" t="s">
        <v>132</v>
      </c>
      <c r="E17" s="201" t="s">
        <v>264</v>
      </c>
      <c r="F17" s="200" t="n">
        <v>473.0</v>
      </c>
      <c r="G17" s="202" t="s">
        <v>9</v>
      </c>
      <c r="H17" s="203"/>
      <c r="I17" s="204"/>
      <c r="J17" s="205" t="n">
        <f t="shared" ref="J17:J23" si="1">SUM(H17:I17)</f>
        <v>0</v>
      </c>
      <c r="K17" s="203"/>
      <c r="L17" s="204"/>
      <c r="M17" s="205" t="n">
        <f t="shared" ref="M17:M202" si="2">SUM(K17:L17)</f>
        <v>0</v>
      </c>
      <c r="N17" s="203"/>
      <c r="O17" s="204"/>
      <c r="P17" s="205" t="n">
        <f t="shared" ref="P17:P202" si="3">SUM(N17:O17)</f>
        <v>0</v>
      </c>
      <c r="Q17" s="203"/>
      <c r="R17" s="204"/>
      <c r="S17" s="205" t="n">
        <f t="shared" ref="S17:S202" si="4">SUM(Q17:R17)</f>
        <v>0</v>
      </c>
      <c r="T17" s="204"/>
      <c r="U17" s="204"/>
      <c r="V17" s="204"/>
      <c r="W17" s="204"/>
      <c r="X17" s="204"/>
      <c r="Y17" s="204"/>
      <c r="Z17" s="204"/>
      <c r="AA17" s="204"/>
    </row>
    <row r="18" ht="19.5" customHeight="1">
      <c r="A18" s="62"/>
      <c r="B18" s="62"/>
      <c r="C18" s="200" t="s">
        <v>139</v>
      </c>
      <c r="D18" s="200" t="s">
        <v>138</v>
      </c>
      <c r="E18" s="201" t="s">
        <v>264</v>
      </c>
      <c r="F18" s="200" t="n">
        <v>1827.0</v>
      </c>
      <c r="G18" s="202" t="s">
        <v>23</v>
      </c>
      <c r="H18" s="203" t="n">
        <v>5.0</v>
      </c>
      <c r="I18" s="204"/>
      <c r="J18" s="205" t="n">
        <f t="shared" si="1"/>
        <v>5</v>
      </c>
      <c r="K18" s="203" t="n">
        <v>8.0</v>
      </c>
      <c r="L18" s="204"/>
      <c r="M18" s="205" t="n">
        <f t="shared" si="2"/>
        <v>8</v>
      </c>
      <c r="N18" s="203" t="n">
        <v>7.0</v>
      </c>
      <c r="O18" s="204"/>
      <c r="P18" s="205" t="n">
        <f t="shared" si="3"/>
        <v>7</v>
      </c>
      <c r="Q18" s="203" t="n">
        <v>3.0</v>
      </c>
      <c r="R18" s="204"/>
      <c r="S18" s="205" t="n">
        <f t="shared" si="4"/>
        <v>3</v>
      </c>
      <c r="T18" s="204"/>
      <c r="U18" s="204"/>
      <c r="V18" s="204" t="s">
        <v>8</v>
      </c>
      <c r="W18" s="204"/>
      <c r="X18" s="204" t="s">
        <v>13</v>
      </c>
      <c r="Y18" s="204"/>
      <c r="Z18" s="204"/>
      <c r="AA18" s="204"/>
    </row>
    <row r="19" ht="19.5" customHeight="1">
      <c r="A19" s="62"/>
      <c r="B19" s="62"/>
      <c r="C19" s="200" t="s">
        <v>142</v>
      </c>
      <c r="D19" s="200" t="s">
        <v>134</v>
      </c>
      <c r="E19" s="201" t="s">
        <v>264</v>
      </c>
      <c r="F19" s="200" t="n">
        <v>5421.0</v>
      </c>
      <c r="G19" s="202" t="s">
        <v>23</v>
      </c>
      <c r="H19" s="203"/>
      <c r="I19" s="204" t="n">
        <v>13.0</v>
      </c>
      <c r="J19" s="205" t="n">
        <f t="shared" si="1"/>
        <v>13</v>
      </c>
      <c r="K19" s="203" t="n">
        <v>10.0</v>
      </c>
      <c r="L19" s="204"/>
      <c r="M19" s="205" t="n">
        <f t="shared" si="2"/>
        <v>10</v>
      </c>
      <c r="N19" s="203" t="n">
        <v>16.0</v>
      </c>
      <c r="O19" s="204"/>
      <c r="P19" s="205" t="n">
        <f t="shared" si="3"/>
        <v>16</v>
      </c>
      <c r="Q19" s="203"/>
      <c r="R19" s="204" t="n">
        <v>5.0</v>
      </c>
      <c r="S19" s="205" t="n">
        <f t="shared" si="4"/>
        <v>5</v>
      </c>
      <c r="T19" s="204"/>
      <c r="U19" s="204" t="s">
        <v>13</v>
      </c>
      <c r="V19" s="204"/>
      <c r="W19" s="204"/>
      <c r="X19" s="204" t="s">
        <v>18</v>
      </c>
      <c r="Y19" s="204"/>
      <c r="Z19" s="204"/>
      <c r="AA19" s="204" t="s">
        <v>8</v>
      </c>
    </row>
    <row r="20" ht="19.5" customHeight="1">
      <c r="A20" s="62"/>
      <c r="B20" s="62"/>
      <c r="C20" s="200" t="s">
        <v>322</v>
      </c>
      <c r="D20" s="200" t="s">
        <v>134</v>
      </c>
      <c r="E20" s="201" t="s">
        <v>262</v>
      </c>
      <c r="F20" s="200" t="n">
        <v>44.0</v>
      </c>
      <c r="G20" s="202" t="s">
        <v>23</v>
      </c>
      <c r="H20" s="203"/>
      <c r="I20" s="204"/>
      <c r="J20" s="205" t="n">
        <f t="shared" si="1"/>
        <v>0</v>
      </c>
      <c r="K20" s="203" t="n">
        <v>12.0</v>
      </c>
      <c r="L20" s="204"/>
      <c r="M20" s="205" t="n">
        <f t="shared" si="2"/>
        <v>12</v>
      </c>
      <c r="N20" s="203"/>
      <c r="O20" s="204" t="n">
        <v>7.0</v>
      </c>
      <c r="P20" s="205" t="n">
        <f t="shared" si="3"/>
        <v>7</v>
      </c>
      <c r="Q20" s="203"/>
      <c r="R20" s="204" t="n">
        <v>3.0</v>
      </c>
      <c r="S20" s="205" t="n">
        <f t="shared" si="4"/>
        <v>3</v>
      </c>
      <c r="T20" s="204"/>
      <c r="U20" s="204" t="s">
        <v>13</v>
      </c>
      <c r="V20" s="204"/>
      <c r="W20" s="204"/>
      <c r="X20" s="204"/>
      <c r="Y20" s="204"/>
      <c r="Z20" s="204"/>
      <c r="AA20" s="204"/>
    </row>
    <row r="21" ht="19.5" customHeight="1">
      <c r="A21" s="62" t="s">
        <v>130</v>
      </c>
      <c r="B21" s="62" t="s">
        <v>146</v>
      </c>
      <c r="C21" s="200" t="s">
        <v>323</v>
      </c>
      <c r="D21" s="200" t="s">
        <v>158</v>
      </c>
      <c r="E21" s="201" t="s">
        <v>264</v>
      </c>
      <c r="F21" s="200" t="n">
        <v>143.0</v>
      </c>
      <c r="G21" s="202" t="s">
        <v>23</v>
      </c>
      <c r="H21" s="203"/>
      <c r="I21" s="204"/>
      <c r="J21" s="205" t="n">
        <f t="shared" si="1"/>
        <v>0</v>
      </c>
      <c r="K21" s="203"/>
      <c r="L21" s="204"/>
      <c r="M21" s="205" t="n">
        <f t="shared" si="2"/>
        <v>0</v>
      </c>
      <c r="N21" s="203"/>
      <c r="O21" s="204"/>
      <c r="P21" s="205" t="n">
        <f t="shared" si="3"/>
        <v>0</v>
      </c>
      <c r="Q21" s="203"/>
      <c r="R21" s="204"/>
      <c r="S21" s="205" t="n">
        <f t="shared" si="4"/>
        <v>0</v>
      </c>
      <c r="T21" s="204"/>
      <c r="U21" s="204"/>
      <c r="V21" s="204"/>
      <c r="W21" s="204"/>
      <c r="X21" s="204"/>
      <c r="Y21" s="204"/>
      <c r="Z21" s="204"/>
      <c r="AA21" s="204"/>
    </row>
    <row r="22" ht="19.5" customHeight="1">
      <c r="A22" s="62"/>
      <c r="B22" s="62"/>
      <c r="C22" s="200" t="s">
        <v>151</v>
      </c>
      <c r="D22" s="200" t="s">
        <v>152</v>
      </c>
      <c r="E22" s="201" t="s">
        <v>264</v>
      </c>
      <c r="F22" s="200" t="n">
        <v>849.0</v>
      </c>
      <c r="G22" s="202" t="s">
        <v>9</v>
      </c>
      <c r="H22" s="203"/>
      <c r="I22" s="204"/>
      <c r="J22" s="205" t="n">
        <f t="shared" si="1"/>
        <v>0</v>
      </c>
      <c r="K22" s="203"/>
      <c r="L22" s="204"/>
      <c r="M22" s="205" t="n">
        <f t="shared" si="2"/>
        <v>0</v>
      </c>
      <c r="N22" s="203"/>
      <c r="O22" s="204"/>
      <c r="P22" s="205" t="n">
        <f t="shared" si="3"/>
        <v>0</v>
      </c>
      <c r="Q22" s="203"/>
      <c r="R22" s="204"/>
      <c r="S22" s="205" t="n">
        <f t="shared" si="4"/>
        <v>0</v>
      </c>
      <c r="T22" s="204"/>
      <c r="U22" s="204"/>
      <c r="V22" s="204"/>
      <c r="W22" s="204"/>
      <c r="X22" s="204"/>
      <c r="Y22" s="204"/>
      <c r="Z22" s="204"/>
      <c r="AA22" s="204"/>
    </row>
    <row r="23" ht="19.5" customHeight="1">
      <c r="A23" s="62"/>
      <c r="B23" s="62"/>
      <c r="C23" s="200" t="s">
        <v>162</v>
      </c>
      <c r="D23" s="200" t="s">
        <v>160</v>
      </c>
      <c r="E23" s="201" t="s">
        <v>264</v>
      </c>
      <c r="F23" s="200" t="n">
        <v>983.0</v>
      </c>
      <c r="G23" s="202" t="s">
        <v>9</v>
      </c>
      <c r="H23" s="203"/>
      <c r="I23" s="204"/>
      <c r="J23" s="205" t="n">
        <f t="shared" si="1"/>
        <v>0</v>
      </c>
      <c r="K23" s="203" t="n">
        <v>6.0</v>
      </c>
      <c r="L23" s="204"/>
      <c r="M23" s="205" t="n">
        <f t="shared" si="2"/>
        <v>6</v>
      </c>
      <c r="N23" s="203"/>
      <c r="O23" s="204" t="n">
        <v>4.0</v>
      </c>
      <c r="P23" s="205" t="n">
        <f t="shared" si="3"/>
        <v>4</v>
      </c>
      <c r="Q23" s="203"/>
      <c r="R23" s="204" t="n">
        <v>2.0</v>
      </c>
      <c r="S23" s="205" t="n">
        <f t="shared" si="4"/>
        <v>2</v>
      </c>
      <c r="T23" s="204"/>
      <c r="U23" s="204"/>
      <c r="V23" s="204"/>
      <c r="W23" s="204"/>
      <c r="X23" s="204"/>
      <c r="Y23" s="204"/>
      <c r="Z23" s="204"/>
      <c r="AA23" s="204"/>
    </row>
    <row r="24" ht="19.5" customHeight="1">
      <c r="A24" s="62"/>
      <c r="B24" s="62"/>
      <c r="C24" s="201" t="s">
        <v>324</v>
      </c>
      <c r="D24" s="201" t="s">
        <v>160</v>
      </c>
      <c r="E24" s="201" t="s">
        <v>264</v>
      </c>
      <c r="F24" s="200" t="n">
        <v>0.0</v>
      </c>
      <c r="G24" s="201" t="s">
        <v>23</v>
      </c>
      <c r="H24" s="201"/>
      <c r="I24" s="201"/>
      <c r="J24" s="205" t="n">
        <f t="shared" ref="J24:J35" si="5">SUM(H25:I25)</f>
        <v>8</v>
      </c>
      <c r="K24" s="203" t="n">
        <v>6.0</v>
      </c>
      <c r="L24" s="204"/>
      <c r="M24" s="205" t="n">
        <f t="shared" si="2"/>
        <v>6</v>
      </c>
      <c r="N24" s="203"/>
      <c r="O24" s="204"/>
      <c r="P24" s="205" t="n">
        <f t="shared" si="3"/>
        <v>0</v>
      </c>
      <c r="Q24" s="203"/>
      <c r="R24" s="204"/>
      <c r="S24" s="205" t="n">
        <f t="shared" si="4"/>
        <v>0</v>
      </c>
      <c r="T24" s="204"/>
      <c r="U24" s="204"/>
      <c r="V24" s="204"/>
      <c r="W24" s="204"/>
      <c r="X24" s="204"/>
      <c r="Y24" s="204"/>
      <c r="Z24" s="204"/>
      <c r="AA24" s="204"/>
    </row>
    <row r="25" ht="19.5" customHeight="1">
      <c r="A25" s="62"/>
      <c r="B25" s="62"/>
      <c r="C25" s="201" t="s">
        <v>148</v>
      </c>
      <c r="D25" s="201" t="s">
        <v>149</v>
      </c>
      <c r="E25" s="201" t="s">
        <v>264</v>
      </c>
      <c r="F25" s="200" t="n">
        <v>1573.0</v>
      </c>
      <c r="G25" s="202" t="s">
        <v>23</v>
      </c>
      <c r="H25" s="203"/>
      <c r="I25" s="204" t="n">
        <v>8.0</v>
      </c>
      <c r="J25" s="205" t="n">
        <f t="shared" si="5"/>
        <v>0</v>
      </c>
      <c r="K25" s="203" t="n">
        <v>7.0</v>
      </c>
      <c r="L25" s="204"/>
      <c r="M25" s="205" t="n">
        <f t="shared" si="2"/>
        <v>7</v>
      </c>
      <c r="N25" s="203"/>
      <c r="O25" s="204" t="n">
        <v>7.0</v>
      </c>
      <c r="P25" s="205" t="n">
        <f t="shared" si="3"/>
        <v>7</v>
      </c>
      <c r="Q25" s="203"/>
      <c r="R25" s="204" t="n">
        <v>3.0</v>
      </c>
      <c r="S25" s="205" t="n">
        <f t="shared" si="4"/>
        <v>3</v>
      </c>
      <c r="T25" s="204" t="s">
        <v>13</v>
      </c>
      <c r="U25" s="204" t="s">
        <v>18</v>
      </c>
      <c r="V25" s="204"/>
      <c r="W25" s="204"/>
      <c r="X25" s="204" t="s">
        <v>13</v>
      </c>
      <c r="Y25" s="204"/>
      <c r="Z25" s="204"/>
      <c r="AA25" s="204"/>
    </row>
    <row r="26" ht="19.5" customHeight="1">
      <c r="A26" s="62"/>
      <c r="B26" s="62"/>
      <c r="C26" s="200" t="s">
        <v>365</v>
      </c>
      <c r="D26" s="200" t="s">
        <v>154</v>
      </c>
      <c r="E26" s="201" t="s">
        <v>264</v>
      </c>
      <c r="F26" s="200" t="n">
        <v>1.0</v>
      </c>
      <c r="G26" s="202" t="s">
        <v>23</v>
      </c>
      <c r="H26" s="203"/>
      <c r="I26" s="204"/>
      <c r="J26" s="205" t="n">
        <f t="shared" si="5"/>
        <v>0</v>
      </c>
      <c r="K26" s="203"/>
      <c r="L26" s="204"/>
      <c r="M26" s="205" t="n">
        <f t="shared" si="2"/>
        <v>0</v>
      </c>
      <c r="N26" s="203"/>
      <c r="O26" s="204"/>
      <c r="P26" s="205" t="n">
        <f t="shared" si="3"/>
        <v>0</v>
      </c>
      <c r="Q26" s="203"/>
      <c r="R26" s="204"/>
      <c r="S26" s="205" t="n">
        <f t="shared" si="4"/>
        <v>0</v>
      </c>
      <c r="T26" s="204"/>
      <c r="U26" s="204"/>
      <c r="V26" s="204"/>
      <c r="W26" s="204"/>
      <c r="X26" s="204"/>
      <c r="Y26" s="204"/>
      <c r="Z26" s="204"/>
      <c r="AA26" s="204"/>
    </row>
    <row r="27" ht="19.5" customHeight="1">
      <c r="A27" s="62"/>
      <c r="B27" s="62"/>
      <c r="C27" s="200" t="s">
        <v>366</v>
      </c>
      <c r="D27" s="200" t="s">
        <v>166</v>
      </c>
      <c r="E27" s="201" t="s">
        <v>264</v>
      </c>
      <c r="F27" s="200" t="n">
        <v>1.0</v>
      </c>
      <c r="G27" s="202" t="s">
        <v>23</v>
      </c>
      <c r="H27" s="203"/>
      <c r="I27" s="204"/>
      <c r="J27" s="205" t="n">
        <f t="shared" si="5"/>
        <v>8</v>
      </c>
      <c r="K27" s="203"/>
      <c r="L27" s="204"/>
      <c r="M27" s="205" t="n">
        <f t="shared" si="2"/>
        <v>0</v>
      </c>
      <c r="N27" s="203"/>
      <c r="O27" s="204"/>
      <c r="P27" s="205" t="n">
        <f t="shared" si="3"/>
        <v>0</v>
      </c>
      <c r="Q27" s="203"/>
      <c r="R27" s="204"/>
      <c r="S27" s="205" t="n">
        <f t="shared" si="4"/>
        <v>0</v>
      </c>
      <c r="T27" s="204"/>
      <c r="U27" s="204"/>
      <c r="V27" s="204"/>
      <c r="W27" s="204"/>
      <c r="X27" s="204"/>
      <c r="Y27" s="204"/>
      <c r="Z27" s="204"/>
      <c r="AA27" s="204"/>
    </row>
    <row r="28" ht="19.5" customHeight="1">
      <c r="A28" s="62" t="s">
        <v>130</v>
      </c>
      <c r="B28" s="62" t="s">
        <v>81</v>
      </c>
      <c r="C28" s="200" t="s">
        <v>172</v>
      </c>
      <c r="D28" s="200" t="s">
        <v>170</v>
      </c>
      <c r="E28" s="201" t="s">
        <v>264</v>
      </c>
      <c r="F28" s="200" t="n">
        <v>1649.0</v>
      </c>
      <c r="G28" s="202" t="s">
        <v>23</v>
      </c>
      <c r="H28" s="203"/>
      <c r="I28" s="204" t="n">
        <v>8.0</v>
      </c>
      <c r="J28" s="205" t="n">
        <f t="shared" si="5"/>
        <v>0</v>
      </c>
      <c r="K28" s="203" t="n">
        <v>10.0</v>
      </c>
      <c r="L28" s="204"/>
      <c r="M28" s="205" t="n">
        <f t="shared" si="2"/>
        <v>10</v>
      </c>
      <c r="N28" s="203"/>
      <c r="O28" s="204" t="n">
        <v>7.0</v>
      </c>
      <c r="P28" s="205" t="n">
        <f t="shared" si="3"/>
        <v>7</v>
      </c>
      <c r="Q28" s="203"/>
      <c r="R28" s="204" t="n">
        <v>3.0</v>
      </c>
      <c r="S28" s="205" t="n">
        <f t="shared" si="4"/>
        <v>3</v>
      </c>
      <c r="T28" s="204"/>
      <c r="U28" s="204" t="s">
        <v>18</v>
      </c>
      <c r="V28" s="204" t="s">
        <v>13</v>
      </c>
      <c r="W28" s="204"/>
      <c r="X28" s="204" t="s">
        <v>18</v>
      </c>
      <c r="Y28" s="204"/>
      <c r="Z28" s="204"/>
      <c r="AA28" s="204" t="s">
        <v>8</v>
      </c>
    </row>
    <row r="29" ht="19.5" customHeight="1">
      <c r="A29" s="62"/>
      <c r="B29" s="62"/>
      <c r="C29" s="200" t="s">
        <v>176</v>
      </c>
      <c r="D29" s="200" t="s">
        <v>175</v>
      </c>
      <c r="E29" s="201" t="s">
        <v>264</v>
      </c>
      <c r="F29" s="200" t="n">
        <v>460.0</v>
      </c>
      <c r="G29" s="202" t="s">
        <v>9</v>
      </c>
      <c r="H29" s="203"/>
      <c r="I29" s="204"/>
      <c r="J29" s="205" t="n">
        <f t="shared" si="5"/>
        <v>0</v>
      </c>
      <c r="K29" s="203"/>
      <c r="L29" s="204"/>
      <c r="M29" s="205" t="n">
        <f t="shared" si="2"/>
        <v>0</v>
      </c>
      <c r="N29" s="203"/>
      <c r="O29" s="204"/>
      <c r="P29" s="205" t="n">
        <f t="shared" si="3"/>
        <v>0</v>
      </c>
      <c r="Q29" s="203"/>
      <c r="R29" s="204"/>
      <c r="S29" s="205" t="n">
        <f t="shared" si="4"/>
        <v>0</v>
      </c>
      <c r="T29" s="204"/>
      <c r="U29" s="204"/>
      <c r="V29" s="204"/>
      <c r="W29" s="204"/>
      <c r="X29" s="204"/>
      <c r="Y29" s="204"/>
      <c r="Z29" s="204"/>
      <c r="AA29" s="204"/>
    </row>
    <row r="30" ht="19.5" customHeight="1">
      <c r="A30" s="62"/>
      <c r="B30" s="62"/>
      <c r="C30" s="200" t="s">
        <v>179</v>
      </c>
      <c r="D30" s="200" t="s">
        <v>177</v>
      </c>
      <c r="E30" s="201" t="s">
        <v>264</v>
      </c>
      <c r="F30" s="200" t="n">
        <v>941.0</v>
      </c>
      <c r="G30" s="202" t="s">
        <v>9</v>
      </c>
      <c r="H30" s="203"/>
      <c r="I30" s="204"/>
      <c r="J30" s="205" t="n">
        <f t="shared" si="5"/>
        <v>0</v>
      </c>
      <c r="K30" s="203"/>
      <c r="L30" s="204"/>
      <c r="M30" s="205" t="n">
        <f t="shared" si="2"/>
        <v>0</v>
      </c>
      <c r="N30" s="203"/>
      <c r="O30" s="204"/>
      <c r="P30" s="205" t="n">
        <f t="shared" si="3"/>
        <v>0</v>
      </c>
      <c r="Q30" s="203"/>
      <c r="R30" s="204"/>
      <c r="S30" s="205" t="n">
        <f t="shared" si="4"/>
        <v>0</v>
      </c>
      <c r="T30" s="204"/>
      <c r="U30" s="204"/>
      <c r="V30" s="204"/>
      <c r="W30" s="204"/>
      <c r="X30" s="204"/>
      <c r="Y30" s="204"/>
      <c r="Z30" s="204"/>
      <c r="AA30" s="204" t="s">
        <v>8</v>
      </c>
    </row>
    <row r="31" ht="19.5" customHeight="1">
      <c r="A31" s="62"/>
      <c r="B31" s="62"/>
      <c r="C31" s="200" t="s">
        <v>182</v>
      </c>
      <c r="D31" s="200" t="s">
        <v>180</v>
      </c>
      <c r="E31" s="201" t="s">
        <v>264</v>
      </c>
      <c r="F31" s="200" t="n">
        <v>935.0</v>
      </c>
      <c r="G31" s="202" t="s">
        <v>9</v>
      </c>
      <c r="H31" s="203"/>
      <c r="I31" s="204"/>
      <c r="J31" s="205" t="n">
        <f t="shared" si="5"/>
        <v>0</v>
      </c>
      <c r="K31" s="203"/>
      <c r="L31" s="204"/>
      <c r="M31" s="205" t="n">
        <f t="shared" si="2"/>
        <v>0</v>
      </c>
      <c r="N31" s="203"/>
      <c r="O31" s="204"/>
      <c r="P31" s="205" t="n">
        <f t="shared" si="3"/>
        <v>0</v>
      </c>
      <c r="Q31" s="203"/>
      <c r="R31" s="204"/>
      <c r="S31" s="205" t="n">
        <f t="shared" si="4"/>
        <v>0</v>
      </c>
      <c r="T31" s="204"/>
      <c r="U31" s="204"/>
      <c r="V31" s="204"/>
      <c r="W31" s="204"/>
      <c r="X31" s="204"/>
      <c r="Y31" s="204"/>
      <c r="Z31" s="204"/>
      <c r="AA31" s="204"/>
    </row>
    <row r="32" ht="19.5" customHeight="1">
      <c r="A32" s="62" t="s">
        <v>130</v>
      </c>
      <c r="B32" s="62" t="s">
        <v>183</v>
      </c>
      <c r="C32" s="200" t="s">
        <v>186</v>
      </c>
      <c r="D32" s="200" t="s">
        <v>184</v>
      </c>
      <c r="E32" s="201" t="s">
        <v>264</v>
      </c>
      <c r="F32" s="200" t="n">
        <v>644.0</v>
      </c>
      <c r="G32" s="202" t="s">
        <v>9</v>
      </c>
      <c r="H32" s="203"/>
      <c r="I32" s="204"/>
      <c r="J32" s="205" t="n">
        <f t="shared" si="5"/>
        <v>5</v>
      </c>
      <c r="K32" s="203"/>
      <c r="L32" s="204"/>
      <c r="M32" s="205" t="n">
        <f t="shared" si="2"/>
        <v>0</v>
      </c>
      <c r="N32" s="203"/>
      <c r="O32" s="204"/>
      <c r="P32" s="205" t="n">
        <f t="shared" si="3"/>
        <v>0</v>
      </c>
      <c r="Q32" s="203"/>
      <c r="R32" s="204"/>
      <c r="S32" s="205" t="n">
        <f t="shared" si="4"/>
        <v>0</v>
      </c>
      <c r="T32" s="204"/>
      <c r="U32" s="204"/>
      <c r="V32" s="204"/>
      <c r="W32" s="204"/>
      <c r="X32" s="204"/>
      <c r="Y32" s="204"/>
      <c r="Z32" s="204"/>
      <c r="AA32" s="204"/>
    </row>
    <row r="33" ht="19.5" customHeight="1">
      <c r="A33" s="62"/>
      <c r="B33" s="62"/>
      <c r="C33" s="200" t="s">
        <v>195</v>
      </c>
      <c r="D33" s="200" t="s">
        <v>192</v>
      </c>
      <c r="E33" s="201" t="s">
        <v>264</v>
      </c>
      <c r="F33" s="200" t="n">
        <v>2155.0</v>
      </c>
      <c r="G33" s="202" t="s">
        <v>23</v>
      </c>
      <c r="H33" s="203" t="n">
        <v>2.0</v>
      </c>
      <c r="I33" s="204" t="n">
        <v>3.0</v>
      </c>
      <c r="J33" s="205" t="n">
        <f t="shared" si="5"/>
        <v>0</v>
      </c>
      <c r="K33" s="203" t="n">
        <v>7.0</v>
      </c>
      <c r="L33" s="204"/>
      <c r="M33" s="205" t="n">
        <f t="shared" si="2"/>
        <v>7</v>
      </c>
      <c r="N33" s="203" t="n">
        <v>7.0</v>
      </c>
      <c r="O33" s="204"/>
      <c r="P33" s="205" t="n">
        <f t="shared" si="3"/>
        <v>7</v>
      </c>
      <c r="Q33" s="203"/>
      <c r="R33" s="204" t="n">
        <v>3.0</v>
      </c>
      <c r="S33" s="205" t="n">
        <f t="shared" si="4"/>
        <v>3</v>
      </c>
      <c r="T33" s="204"/>
      <c r="U33" s="204" t="s">
        <v>18</v>
      </c>
      <c r="V33" s="204"/>
      <c r="W33" s="204" t="s">
        <v>13</v>
      </c>
      <c r="X33" s="204"/>
      <c r="Y33" s="204"/>
      <c r="Z33" s="204"/>
      <c r="AA33" s="204"/>
    </row>
    <row r="34" ht="19.5" customHeight="1">
      <c r="A34" s="62"/>
      <c r="B34" s="62"/>
      <c r="C34" s="200" t="s">
        <v>327</v>
      </c>
      <c r="D34" s="200" t="s">
        <v>199</v>
      </c>
      <c r="E34" s="201" t="s">
        <v>264</v>
      </c>
      <c r="F34" s="200" t="n">
        <v>78.0</v>
      </c>
      <c r="G34" s="202" t="s">
        <v>23</v>
      </c>
      <c r="H34" s="203"/>
      <c r="I34" s="204"/>
      <c r="J34" s="205" t="n">
        <f t="shared" si="5"/>
        <v>6</v>
      </c>
      <c r="K34" s="203"/>
      <c r="L34" s="204"/>
      <c r="M34" s="205" t="n">
        <f t="shared" si="2"/>
        <v>0</v>
      </c>
      <c r="N34" s="203"/>
      <c r="O34" s="204"/>
      <c r="P34" s="205" t="n">
        <f t="shared" si="3"/>
        <v>0</v>
      </c>
      <c r="Q34" s="203"/>
      <c r="R34" s="204"/>
      <c r="S34" s="205" t="n">
        <f t="shared" si="4"/>
        <v>0</v>
      </c>
      <c r="T34" s="204"/>
      <c r="U34" s="204"/>
      <c r="V34" s="204"/>
      <c r="W34" s="204"/>
      <c r="X34" s="204"/>
      <c r="Y34" s="204"/>
      <c r="Z34" s="204"/>
      <c r="AA34" s="204"/>
    </row>
    <row r="35" ht="19.5" customHeight="1">
      <c r="A35" s="62"/>
      <c r="B35" s="62"/>
      <c r="C35" s="200" t="s">
        <v>157</v>
      </c>
      <c r="D35" s="200" t="s">
        <v>59</v>
      </c>
      <c r="E35" s="201" t="s">
        <v>264</v>
      </c>
      <c r="F35" s="200" t="n">
        <v>2656.0</v>
      </c>
      <c r="G35" s="202" t="s">
        <v>23</v>
      </c>
      <c r="H35" s="203" t="n">
        <v>6.0</v>
      </c>
      <c r="I35" s="204"/>
      <c r="J35" s="205" t="n">
        <f t="shared" si="5"/>
        <v>0</v>
      </c>
      <c r="K35" s="203" t="n">
        <v>10.0</v>
      </c>
      <c r="L35" s="204"/>
      <c r="M35" s="205" t="n">
        <f t="shared" si="2"/>
        <v>10</v>
      </c>
      <c r="N35" s="203"/>
      <c r="O35" s="204" t="n">
        <v>7.0</v>
      </c>
      <c r="P35" s="205" t="n">
        <f t="shared" si="3"/>
        <v>7</v>
      </c>
      <c r="Q35" s="203"/>
      <c r="R35" s="204" t="n">
        <v>3.0</v>
      </c>
      <c r="S35" s="205" t="n">
        <f t="shared" si="4"/>
        <v>3</v>
      </c>
      <c r="T35" s="204" t="s">
        <v>13</v>
      </c>
      <c r="U35" s="204" t="s">
        <v>18</v>
      </c>
      <c r="V35" s="204"/>
      <c r="W35" s="204"/>
      <c r="X35" s="204" t="s">
        <v>18</v>
      </c>
      <c r="Y35" s="204"/>
      <c r="Z35" s="204"/>
      <c r="AA35" s="204" t="s">
        <v>8</v>
      </c>
    </row>
    <row r="36" ht="19.5" customHeight="1">
      <c r="A36" s="62"/>
      <c r="B36" s="62"/>
      <c r="C36" s="200" t="s">
        <v>328</v>
      </c>
      <c r="D36" s="200" t="s">
        <v>201</v>
      </c>
      <c r="E36" s="201" t="s">
        <v>264</v>
      </c>
      <c r="F36" s="200" t="n">
        <v>1.0</v>
      </c>
      <c r="G36" s="202" t="s">
        <v>23</v>
      </c>
      <c r="H36" s="203"/>
      <c r="I36" s="204"/>
      <c r="J36" s="205" t="str">
        <f>SUM(#REF!)</f>
        <v>#REF!</v>
      </c>
      <c r="K36" s="203"/>
      <c r="L36" s="204"/>
      <c r="M36" s="205" t="n">
        <f t="shared" si="2"/>
        <v>0</v>
      </c>
      <c r="N36" s="203"/>
      <c r="O36" s="204"/>
      <c r="P36" s="205" t="n">
        <f t="shared" si="3"/>
        <v>0</v>
      </c>
      <c r="Q36" s="203"/>
      <c r="R36" s="204"/>
      <c r="S36" s="205" t="n">
        <f t="shared" si="4"/>
        <v>0</v>
      </c>
      <c r="T36" s="204"/>
      <c r="U36" s="204"/>
      <c r="V36" s="204"/>
      <c r="W36" s="204"/>
      <c r="X36" s="204"/>
      <c r="Y36" s="204"/>
      <c r="Z36" s="204"/>
      <c r="AA36" s="204"/>
    </row>
    <row r="37" ht="19.5" customHeight="1">
      <c r="A37" s="62"/>
      <c r="B37" s="62"/>
      <c r="C37" s="200"/>
      <c r="D37" s="200"/>
      <c r="E37" s="201"/>
      <c r="F37" s="200"/>
      <c r="G37" s="202"/>
      <c r="H37" s="203"/>
      <c r="I37" s="204"/>
      <c r="J37" s="205" t="n">
        <f t="shared" ref="J37:J202" si="6">SUM(H37:I37)</f>
        <v>0</v>
      </c>
      <c r="K37" s="203"/>
      <c r="L37" s="204"/>
      <c r="M37" s="205" t="n">
        <f t="shared" si="2"/>
        <v>0</v>
      </c>
      <c r="N37" s="203"/>
      <c r="O37" s="204"/>
      <c r="P37" s="205" t="n">
        <f t="shared" si="3"/>
        <v>0</v>
      </c>
      <c r="Q37" s="203"/>
      <c r="R37" s="204"/>
      <c r="S37" s="205" t="n">
        <f t="shared" si="4"/>
        <v>0</v>
      </c>
      <c r="T37" s="204"/>
      <c r="U37" s="204"/>
      <c r="V37" s="204"/>
      <c r="W37" s="204"/>
      <c r="X37" s="204"/>
      <c r="Y37" s="204"/>
      <c r="Z37" s="204"/>
      <c r="AA37" s="204"/>
    </row>
    <row r="38" ht="19.5" customHeight="1">
      <c r="A38" s="62"/>
      <c r="B38" s="62"/>
      <c r="C38" s="200"/>
      <c r="D38" s="200"/>
      <c r="E38" s="201"/>
      <c r="F38" s="200"/>
      <c r="G38" s="202"/>
      <c r="H38" s="203"/>
      <c r="I38" s="204"/>
      <c r="J38" s="205" t="n">
        <f t="shared" si="6"/>
        <v>0</v>
      </c>
      <c r="K38" s="203"/>
      <c r="L38" s="204"/>
      <c r="M38" s="205" t="n">
        <f t="shared" si="2"/>
        <v>0</v>
      </c>
      <c r="N38" s="203"/>
      <c r="O38" s="204"/>
      <c r="P38" s="205" t="n">
        <f t="shared" si="3"/>
        <v>0</v>
      </c>
      <c r="Q38" s="203"/>
      <c r="R38" s="204"/>
      <c r="S38" s="205" t="n">
        <f t="shared" si="4"/>
        <v>0</v>
      </c>
      <c r="T38" s="204"/>
      <c r="U38" s="204"/>
      <c r="V38" s="204"/>
      <c r="W38" s="204"/>
      <c r="X38" s="204"/>
      <c r="Y38" s="204"/>
      <c r="Z38" s="204"/>
      <c r="AA38" s="204"/>
    </row>
    <row r="39" ht="19.5" customHeight="1">
      <c r="A39" s="62"/>
      <c r="B39" s="62"/>
      <c r="C39" s="200"/>
      <c r="D39" s="200"/>
      <c r="E39" s="201"/>
      <c r="F39" s="200"/>
      <c r="G39" s="202"/>
      <c r="H39" s="203"/>
      <c r="I39" s="204"/>
      <c r="J39" s="205" t="n">
        <f t="shared" si="6"/>
        <v>0</v>
      </c>
      <c r="K39" s="203"/>
      <c r="L39" s="204"/>
      <c r="M39" s="205" t="n">
        <f t="shared" si="2"/>
        <v>0</v>
      </c>
      <c r="N39" s="203"/>
      <c r="O39" s="204"/>
      <c r="P39" s="205" t="n">
        <f t="shared" si="3"/>
        <v>0</v>
      </c>
      <c r="Q39" s="203"/>
      <c r="R39" s="204"/>
      <c r="S39" s="205" t="n">
        <f t="shared" si="4"/>
        <v>0</v>
      </c>
      <c r="T39" s="204"/>
      <c r="U39" s="204"/>
      <c r="V39" s="204"/>
      <c r="W39" s="204"/>
      <c r="X39" s="204"/>
      <c r="Y39" s="204"/>
      <c r="Z39" s="204"/>
      <c r="AA39" s="204"/>
    </row>
    <row r="40" ht="19.5" customHeight="1">
      <c r="A40" s="62"/>
      <c r="B40" s="62"/>
      <c r="C40" s="200"/>
      <c r="D40" s="200"/>
      <c r="E40" s="201"/>
      <c r="F40" s="200"/>
      <c r="G40" s="202"/>
      <c r="H40" s="203"/>
      <c r="I40" s="204"/>
      <c r="J40" s="205" t="n">
        <f t="shared" si="6"/>
        <v>0</v>
      </c>
      <c r="K40" s="203"/>
      <c r="L40" s="204"/>
      <c r="M40" s="205" t="n">
        <f t="shared" si="2"/>
        <v>0</v>
      </c>
      <c r="N40" s="203"/>
      <c r="O40" s="204"/>
      <c r="P40" s="205" t="n">
        <f t="shared" si="3"/>
        <v>0</v>
      </c>
      <c r="Q40" s="203"/>
      <c r="R40" s="204"/>
      <c r="S40" s="205" t="n">
        <f t="shared" si="4"/>
        <v>0</v>
      </c>
      <c r="T40" s="204"/>
      <c r="U40" s="204"/>
      <c r="V40" s="204"/>
      <c r="W40" s="204"/>
      <c r="X40" s="204"/>
      <c r="Y40" s="204"/>
      <c r="Z40" s="204"/>
      <c r="AA40" s="204"/>
    </row>
    <row r="41" ht="19.5" customHeight="1">
      <c r="A41" s="62"/>
      <c r="B41" s="62"/>
      <c r="C41" s="200"/>
      <c r="D41" s="200"/>
      <c r="E41" s="201"/>
      <c r="F41" s="200"/>
      <c r="G41" s="202"/>
      <c r="H41" s="203"/>
      <c r="I41" s="204"/>
      <c r="J41" s="205" t="n">
        <f t="shared" si="6"/>
        <v>0</v>
      </c>
      <c r="K41" s="203"/>
      <c r="L41" s="204"/>
      <c r="M41" s="205" t="n">
        <f t="shared" si="2"/>
        <v>0</v>
      </c>
      <c r="N41" s="203"/>
      <c r="O41" s="204"/>
      <c r="P41" s="205" t="n">
        <f t="shared" si="3"/>
        <v>0</v>
      </c>
      <c r="Q41" s="203"/>
      <c r="R41" s="204"/>
      <c r="S41" s="205" t="n">
        <f t="shared" si="4"/>
        <v>0</v>
      </c>
      <c r="T41" s="204"/>
      <c r="U41" s="204"/>
      <c r="V41" s="204"/>
      <c r="W41" s="204"/>
      <c r="X41" s="204"/>
      <c r="Y41" s="204"/>
      <c r="Z41" s="204"/>
      <c r="AA41" s="204"/>
    </row>
    <row r="42" ht="19.5" customHeight="1">
      <c r="A42" s="62"/>
      <c r="B42" s="62"/>
      <c r="C42" s="200"/>
      <c r="D42" s="200"/>
      <c r="E42" s="201"/>
      <c r="F42" s="200"/>
      <c r="G42" s="202"/>
      <c r="H42" s="203"/>
      <c r="I42" s="204"/>
      <c r="J42" s="205" t="n">
        <f t="shared" si="6"/>
        <v>0</v>
      </c>
      <c r="K42" s="203"/>
      <c r="L42" s="204"/>
      <c r="M42" s="205" t="n">
        <f t="shared" si="2"/>
        <v>0</v>
      </c>
      <c r="N42" s="203"/>
      <c r="O42" s="204"/>
      <c r="P42" s="205" t="n">
        <f t="shared" si="3"/>
        <v>0</v>
      </c>
      <c r="Q42" s="203"/>
      <c r="R42" s="204"/>
      <c r="S42" s="205" t="n">
        <f t="shared" si="4"/>
        <v>0</v>
      </c>
      <c r="T42" s="204"/>
      <c r="U42" s="204"/>
      <c r="V42" s="204"/>
      <c r="W42" s="204"/>
      <c r="X42" s="204"/>
      <c r="Y42" s="204"/>
      <c r="Z42" s="204"/>
      <c r="AA42" s="204"/>
    </row>
    <row r="43" ht="19.5" customHeight="1">
      <c r="A43" s="62"/>
      <c r="B43" s="62"/>
      <c r="C43" s="200"/>
      <c r="D43" s="200"/>
      <c r="E43" s="201"/>
      <c r="F43" s="200"/>
      <c r="G43" s="202"/>
      <c r="H43" s="203"/>
      <c r="I43" s="204"/>
      <c r="J43" s="205" t="n">
        <f t="shared" si="6"/>
        <v>0</v>
      </c>
      <c r="K43" s="203"/>
      <c r="L43" s="204"/>
      <c r="M43" s="205" t="n">
        <f t="shared" si="2"/>
        <v>0</v>
      </c>
      <c r="N43" s="203"/>
      <c r="O43" s="204"/>
      <c r="P43" s="205" t="n">
        <f t="shared" si="3"/>
        <v>0</v>
      </c>
      <c r="Q43" s="203"/>
      <c r="R43" s="204"/>
      <c r="S43" s="205" t="n">
        <f t="shared" si="4"/>
        <v>0</v>
      </c>
      <c r="T43" s="204"/>
      <c r="U43" s="204"/>
      <c r="V43" s="204"/>
      <c r="W43" s="204"/>
      <c r="X43" s="204"/>
      <c r="Y43" s="204"/>
      <c r="Z43" s="204"/>
      <c r="AA43" s="204"/>
    </row>
    <row r="44" ht="19.5" customHeight="1">
      <c r="A44" s="62"/>
      <c r="B44" s="62"/>
      <c r="C44" s="200"/>
      <c r="D44" s="200"/>
      <c r="E44" s="201"/>
      <c r="F44" s="200"/>
      <c r="G44" s="202"/>
      <c r="H44" s="203"/>
      <c r="I44" s="204"/>
      <c r="J44" s="205" t="n">
        <f t="shared" si="6"/>
        <v>0</v>
      </c>
      <c r="K44" s="203"/>
      <c r="L44" s="204"/>
      <c r="M44" s="205" t="n">
        <f t="shared" si="2"/>
        <v>0</v>
      </c>
      <c r="N44" s="203"/>
      <c r="O44" s="204"/>
      <c r="P44" s="205" t="n">
        <f t="shared" si="3"/>
        <v>0</v>
      </c>
      <c r="Q44" s="203"/>
      <c r="R44" s="204"/>
      <c r="S44" s="205" t="n">
        <f t="shared" si="4"/>
        <v>0</v>
      </c>
      <c r="T44" s="204"/>
      <c r="U44" s="204"/>
      <c r="V44" s="204"/>
      <c r="W44" s="204"/>
      <c r="X44" s="204"/>
      <c r="Y44" s="204"/>
      <c r="Z44" s="204"/>
      <c r="AA44" s="204"/>
    </row>
    <row r="45" ht="19.5" customHeight="1">
      <c r="A45" s="62"/>
      <c r="B45" s="62"/>
      <c r="C45" s="200"/>
      <c r="D45" s="200"/>
      <c r="E45" s="201"/>
      <c r="F45" s="200"/>
      <c r="G45" s="202"/>
      <c r="H45" s="203"/>
      <c r="I45" s="204"/>
      <c r="J45" s="205" t="n">
        <f t="shared" si="6"/>
        <v>0</v>
      </c>
      <c r="K45" s="203"/>
      <c r="L45" s="204"/>
      <c r="M45" s="205" t="n">
        <f t="shared" si="2"/>
        <v>0</v>
      </c>
      <c r="N45" s="203"/>
      <c r="O45" s="204"/>
      <c r="P45" s="205" t="n">
        <f t="shared" si="3"/>
        <v>0</v>
      </c>
      <c r="Q45" s="203"/>
      <c r="R45" s="204"/>
      <c r="S45" s="205" t="n">
        <f t="shared" si="4"/>
        <v>0</v>
      </c>
      <c r="T45" s="204"/>
      <c r="U45" s="204"/>
      <c r="V45" s="204"/>
      <c r="W45" s="204"/>
      <c r="X45" s="204"/>
      <c r="Y45" s="204"/>
      <c r="Z45" s="204"/>
      <c r="AA45" s="204"/>
    </row>
    <row r="46" ht="19.5" customHeight="1">
      <c r="A46" s="62"/>
      <c r="B46" s="62"/>
      <c r="C46" s="200"/>
      <c r="D46" s="200"/>
      <c r="E46" s="201"/>
      <c r="F46" s="200"/>
      <c r="G46" s="202"/>
      <c r="H46" s="203"/>
      <c r="I46" s="204"/>
      <c r="J46" s="205" t="n">
        <f t="shared" si="6"/>
        <v>0</v>
      </c>
      <c r="K46" s="203"/>
      <c r="L46" s="204"/>
      <c r="M46" s="205" t="n">
        <f t="shared" si="2"/>
        <v>0</v>
      </c>
      <c r="N46" s="203"/>
      <c r="O46" s="204"/>
      <c r="P46" s="205" t="n">
        <f t="shared" si="3"/>
        <v>0</v>
      </c>
      <c r="Q46" s="203"/>
      <c r="R46" s="204"/>
      <c r="S46" s="205" t="n">
        <f t="shared" si="4"/>
        <v>0</v>
      </c>
      <c r="T46" s="204"/>
      <c r="U46" s="204"/>
      <c r="V46" s="204"/>
      <c r="W46" s="204"/>
      <c r="X46" s="204"/>
      <c r="Y46" s="204"/>
      <c r="Z46" s="204"/>
      <c r="AA46" s="204"/>
    </row>
    <row r="47" ht="19.5" customHeight="1">
      <c r="A47" s="62"/>
      <c r="B47" s="62"/>
      <c r="C47" s="200"/>
      <c r="D47" s="200"/>
      <c r="E47" s="201"/>
      <c r="F47" s="200"/>
      <c r="G47" s="202"/>
      <c r="H47" s="203"/>
      <c r="I47" s="204"/>
      <c r="J47" s="205" t="n">
        <f t="shared" si="6"/>
        <v>0</v>
      </c>
      <c r="K47" s="203"/>
      <c r="L47" s="204"/>
      <c r="M47" s="205" t="n">
        <f t="shared" si="2"/>
        <v>0</v>
      </c>
      <c r="N47" s="203"/>
      <c r="O47" s="204"/>
      <c r="P47" s="205" t="n">
        <f t="shared" si="3"/>
        <v>0</v>
      </c>
      <c r="Q47" s="203"/>
      <c r="R47" s="204"/>
      <c r="S47" s="205" t="n">
        <f t="shared" si="4"/>
        <v>0</v>
      </c>
      <c r="T47" s="204"/>
      <c r="U47" s="204"/>
      <c r="V47" s="204"/>
      <c r="W47" s="204"/>
      <c r="X47" s="204"/>
      <c r="Y47" s="204"/>
      <c r="Z47" s="204"/>
      <c r="AA47" s="204"/>
    </row>
    <row r="48" ht="19.5" customHeight="1">
      <c r="A48" s="62"/>
      <c r="B48" s="62"/>
      <c r="C48" s="200"/>
      <c r="D48" s="200"/>
      <c r="E48" s="201"/>
      <c r="F48" s="200"/>
      <c r="G48" s="202"/>
      <c r="H48" s="203"/>
      <c r="I48" s="204"/>
      <c r="J48" s="205" t="n">
        <f t="shared" si="6"/>
        <v>0</v>
      </c>
      <c r="K48" s="203"/>
      <c r="L48" s="204"/>
      <c r="M48" s="205" t="n">
        <f t="shared" si="2"/>
        <v>0</v>
      </c>
      <c r="N48" s="203"/>
      <c r="O48" s="204"/>
      <c r="P48" s="205" t="n">
        <f t="shared" si="3"/>
        <v>0</v>
      </c>
      <c r="Q48" s="203"/>
      <c r="R48" s="204"/>
      <c r="S48" s="205" t="n">
        <f t="shared" si="4"/>
        <v>0</v>
      </c>
      <c r="T48" s="204"/>
      <c r="U48" s="204"/>
      <c r="V48" s="204"/>
      <c r="W48" s="204"/>
      <c r="X48" s="204"/>
      <c r="Y48" s="204"/>
      <c r="Z48" s="204"/>
      <c r="AA48" s="204"/>
    </row>
    <row r="49" ht="19.5" customHeight="1">
      <c r="A49" s="62"/>
      <c r="B49" s="62"/>
      <c r="C49" s="200"/>
      <c r="D49" s="200"/>
      <c r="E49" s="201"/>
      <c r="F49" s="200"/>
      <c r="G49" s="202"/>
      <c r="H49" s="203"/>
      <c r="I49" s="204"/>
      <c r="J49" s="205" t="n">
        <f t="shared" si="6"/>
        <v>0</v>
      </c>
      <c r="K49" s="203"/>
      <c r="L49" s="204"/>
      <c r="M49" s="205" t="n">
        <f t="shared" si="2"/>
        <v>0</v>
      </c>
      <c r="N49" s="203"/>
      <c r="O49" s="204"/>
      <c r="P49" s="205" t="n">
        <f t="shared" si="3"/>
        <v>0</v>
      </c>
      <c r="Q49" s="203"/>
      <c r="R49" s="204"/>
      <c r="S49" s="205" t="n">
        <f t="shared" si="4"/>
        <v>0</v>
      </c>
      <c r="T49" s="204"/>
      <c r="U49" s="204"/>
      <c r="V49" s="204"/>
      <c r="W49" s="204"/>
      <c r="X49" s="204"/>
      <c r="Y49" s="204"/>
      <c r="Z49" s="204"/>
      <c r="AA49" s="204"/>
    </row>
    <row r="50" ht="19.5" customHeight="1">
      <c r="A50" s="62"/>
      <c r="B50" s="62"/>
      <c r="C50" s="200"/>
      <c r="D50" s="200"/>
      <c r="E50" s="201"/>
      <c r="F50" s="200"/>
      <c r="G50" s="202"/>
      <c r="H50" s="203"/>
      <c r="I50" s="204"/>
      <c r="J50" s="205" t="n">
        <f t="shared" si="6"/>
        <v>0</v>
      </c>
      <c r="K50" s="203"/>
      <c r="L50" s="204"/>
      <c r="M50" s="205" t="n">
        <f t="shared" si="2"/>
        <v>0</v>
      </c>
      <c r="N50" s="203"/>
      <c r="O50" s="204"/>
      <c r="P50" s="205" t="n">
        <f t="shared" si="3"/>
        <v>0</v>
      </c>
      <c r="Q50" s="203"/>
      <c r="R50" s="204"/>
      <c r="S50" s="205" t="n">
        <f t="shared" si="4"/>
        <v>0</v>
      </c>
      <c r="T50" s="204"/>
      <c r="U50" s="204"/>
      <c r="V50" s="204"/>
      <c r="W50" s="204"/>
      <c r="X50" s="204"/>
      <c r="Y50" s="204"/>
      <c r="Z50" s="204"/>
      <c r="AA50" s="204"/>
    </row>
    <row r="51" ht="19.5" customHeight="1">
      <c r="A51" s="62"/>
      <c r="B51" s="62"/>
      <c r="C51" s="200"/>
      <c r="D51" s="200"/>
      <c r="E51" s="201"/>
      <c r="F51" s="200"/>
      <c r="G51" s="202"/>
      <c r="H51" s="203"/>
      <c r="I51" s="204"/>
      <c r="J51" s="205" t="n">
        <f t="shared" si="6"/>
        <v>0</v>
      </c>
      <c r="K51" s="203"/>
      <c r="L51" s="204"/>
      <c r="M51" s="205" t="n">
        <f t="shared" si="2"/>
        <v>0</v>
      </c>
      <c r="N51" s="203"/>
      <c r="O51" s="204"/>
      <c r="P51" s="205" t="n">
        <f t="shared" si="3"/>
        <v>0</v>
      </c>
      <c r="Q51" s="203"/>
      <c r="R51" s="204"/>
      <c r="S51" s="205" t="n">
        <f t="shared" si="4"/>
        <v>0</v>
      </c>
      <c r="T51" s="204"/>
      <c r="U51" s="204"/>
      <c r="V51" s="204"/>
      <c r="W51" s="204"/>
      <c r="X51" s="204"/>
      <c r="Y51" s="204"/>
      <c r="Z51" s="204"/>
      <c r="AA51" s="204"/>
    </row>
    <row r="52" ht="19.5" customHeight="1">
      <c r="A52" s="62"/>
      <c r="B52" s="62"/>
      <c r="C52" s="200"/>
      <c r="D52" s="200"/>
      <c r="E52" s="201"/>
      <c r="F52" s="200"/>
      <c r="G52" s="202"/>
      <c r="H52" s="203"/>
      <c r="I52" s="204"/>
      <c r="J52" s="205" t="n">
        <f t="shared" si="6"/>
        <v>0</v>
      </c>
      <c r="K52" s="203"/>
      <c r="L52" s="204"/>
      <c r="M52" s="205" t="n">
        <f t="shared" si="2"/>
        <v>0</v>
      </c>
      <c r="N52" s="203"/>
      <c r="O52" s="204"/>
      <c r="P52" s="205" t="n">
        <f t="shared" si="3"/>
        <v>0</v>
      </c>
      <c r="Q52" s="203"/>
      <c r="R52" s="204"/>
      <c r="S52" s="205" t="n">
        <f t="shared" si="4"/>
        <v>0</v>
      </c>
      <c r="T52" s="204"/>
      <c r="U52" s="204"/>
      <c r="V52" s="204"/>
      <c r="W52" s="204"/>
      <c r="X52" s="204"/>
      <c r="Y52" s="204"/>
      <c r="Z52" s="204"/>
      <c r="AA52" s="204"/>
    </row>
    <row r="53" ht="19.5" customHeight="1">
      <c r="A53" s="62"/>
      <c r="B53" s="62"/>
      <c r="C53" s="200"/>
      <c r="D53" s="200"/>
      <c r="E53" s="201"/>
      <c r="F53" s="200"/>
      <c r="G53" s="202"/>
      <c r="H53" s="203"/>
      <c r="I53" s="204"/>
      <c r="J53" s="205" t="n">
        <f t="shared" si="6"/>
        <v>0</v>
      </c>
      <c r="K53" s="203"/>
      <c r="L53" s="204"/>
      <c r="M53" s="205" t="n">
        <f t="shared" si="2"/>
        <v>0</v>
      </c>
      <c r="N53" s="203"/>
      <c r="O53" s="204"/>
      <c r="P53" s="205" t="n">
        <f t="shared" si="3"/>
        <v>0</v>
      </c>
      <c r="Q53" s="203"/>
      <c r="R53" s="204"/>
      <c r="S53" s="205" t="n">
        <f t="shared" si="4"/>
        <v>0</v>
      </c>
      <c r="T53" s="204"/>
      <c r="U53" s="204"/>
      <c r="V53" s="204"/>
      <c r="W53" s="204"/>
      <c r="X53" s="204"/>
      <c r="Y53" s="204"/>
      <c r="Z53" s="204"/>
      <c r="AA53" s="204"/>
    </row>
    <row r="54" ht="19.5" customHeight="1">
      <c r="A54" s="62"/>
      <c r="B54" s="62"/>
      <c r="C54" s="200"/>
      <c r="D54" s="200"/>
      <c r="E54" s="201"/>
      <c r="F54" s="200"/>
      <c r="G54" s="202"/>
      <c r="H54" s="203"/>
      <c r="I54" s="204"/>
      <c r="J54" s="205" t="n">
        <f t="shared" si="6"/>
        <v>0</v>
      </c>
      <c r="K54" s="203"/>
      <c r="L54" s="204"/>
      <c r="M54" s="205" t="n">
        <f t="shared" si="2"/>
        <v>0</v>
      </c>
      <c r="N54" s="203"/>
      <c r="O54" s="204"/>
      <c r="P54" s="205" t="n">
        <f t="shared" si="3"/>
        <v>0</v>
      </c>
      <c r="Q54" s="203"/>
      <c r="R54" s="204"/>
      <c r="S54" s="205" t="n">
        <f t="shared" si="4"/>
        <v>0</v>
      </c>
      <c r="T54" s="204"/>
      <c r="U54" s="204"/>
      <c r="V54" s="204"/>
      <c r="W54" s="204"/>
      <c r="X54" s="204"/>
      <c r="Y54" s="204"/>
      <c r="Z54" s="204"/>
      <c r="AA54" s="204"/>
    </row>
    <row r="55" ht="19.5" customHeight="1">
      <c r="A55" s="62"/>
      <c r="B55" s="62"/>
      <c r="C55" s="200"/>
      <c r="D55" s="200"/>
      <c r="E55" s="201"/>
      <c r="F55" s="200"/>
      <c r="G55" s="202"/>
      <c r="H55" s="203"/>
      <c r="I55" s="204"/>
      <c r="J55" s="205" t="n">
        <f t="shared" si="6"/>
        <v>0</v>
      </c>
      <c r="K55" s="203"/>
      <c r="L55" s="204"/>
      <c r="M55" s="205" t="n">
        <f t="shared" si="2"/>
        <v>0</v>
      </c>
      <c r="N55" s="203"/>
      <c r="O55" s="204"/>
      <c r="P55" s="205" t="n">
        <f t="shared" si="3"/>
        <v>0</v>
      </c>
      <c r="Q55" s="203"/>
      <c r="R55" s="204"/>
      <c r="S55" s="205" t="n">
        <f t="shared" si="4"/>
        <v>0</v>
      </c>
      <c r="T55" s="204"/>
      <c r="U55" s="204"/>
      <c r="V55" s="204"/>
      <c r="W55" s="204"/>
      <c r="X55" s="204"/>
      <c r="Y55" s="204"/>
      <c r="Z55" s="204"/>
      <c r="AA55" s="204"/>
    </row>
    <row r="56" ht="19.5" customHeight="1">
      <c r="A56" s="62"/>
      <c r="B56" s="62"/>
      <c r="C56" s="200"/>
      <c r="D56" s="200"/>
      <c r="E56" s="201"/>
      <c r="F56" s="200"/>
      <c r="G56" s="202"/>
      <c r="H56" s="203"/>
      <c r="I56" s="204"/>
      <c r="J56" s="205" t="n">
        <f t="shared" si="6"/>
        <v>0</v>
      </c>
      <c r="K56" s="203"/>
      <c r="L56" s="204"/>
      <c r="M56" s="205" t="n">
        <f t="shared" si="2"/>
        <v>0</v>
      </c>
      <c r="N56" s="203"/>
      <c r="O56" s="204"/>
      <c r="P56" s="205" t="n">
        <f t="shared" si="3"/>
        <v>0</v>
      </c>
      <c r="Q56" s="203"/>
      <c r="R56" s="204"/>
      <c r="S56" s="205" t="n">
        <f t="shared" si="4"/>
        <v>0</v>
      </c>
      <c r="T56" s="204"/>
      <c r="U56" s="204"/>
      <c r="V56" s="204"/>
      <c r="W56" s="204"/>
      <c r="X56" s="204"/>
      <c r="Y56" s="204"/>
      <c r="Z56" s="204"/>
      <c r="AA56" s="204"/>
    </row>
    <row r="57" ht="19.5" customHeight="1">
      <c r="A57" s="62"/>
      <c r="B57" s="62"/>
      <c r="C57" s="200"/>
      <c r="D57" s="200"/>
      <c r="E57" s="201"/>
      <c r="F57" s="200"/>
      <c r="G57" s="202"/>
      <c r="H57" s="203"/>
      <c r="I57" s="204"/>
      <c r="J57" s="205" t="n">
        <f t="shared" si="6"/>
        <v>0</v>
      </c>
      <c r="K57" s="203"/>
      <c r="L57" s="204"/>
      <c r="M57" s="205" t="n">
        <f t="shared" si="2"/>
        <v>0</v>
      </c>
      <c r="N57" s="203"/>
      <c r="O57" s="204"/>
      <c r="P57" s="205" t="n">
        <f t="shared" si="3"/>
        <v>0</v>
      </c>
      <c r="Q57" s="203"/>
      <c r="R57" s="204"/>
      <c r="S57" s="205" t="n">
        <f t="shared" si="4"/>
        <v>0</v>
      </c>
      <c r="T57" s="204"/>
      <c r="U57" s="204"/>
      <c r="V57" s="204"/>
      <c r="W57" s="204"/>
      <c r="X57" s="204"/>
      <c r="Y57" s="204"/>
      <c r="Z57" s="204"/>
      <c r="AA57" s="204"/>
    </row>
    <row r="58" ht="19.5" customHeight="1">
      <c r="A58" s="62"/>
      <c r="B58" s="62"/>
      <c r="C58" s="200"/>
      <c r="D58" s="200"/>
      <c r="E58" s="201"/>
      <c r="F58" s="200"/>
      <c r="G58" s="202"/>
      <c r="H58" s="203"/>
      <c r="I58" s="204"/>
      <c r="J58" s="205" t="n">
        <f t="shared" si="6"/>
        <v>0</v>
      </c>
      <c r="K58" s="203"/>
      <c r="L58" s="204"/>
      <c r="M58" s="205" t="n">
        <f t="shared" si="2"/>
        <v>0</v>
      </c>
      <c r="N58" s="203"/>
      <c r="O58" s="204"/>
      <c r="P58" s="205" t="n">
        <f t="shared" si="3"/>
        <v>0</v>
      </c>
      <c r="Q58" s="203"/>
      <c r="R58" s="204"/>
      <c r="S58" s="205" t="n">
        <f t="shared" si="4"/>
        <v>0</v>
      </c>
      <c r="T58" s="204"/>
      <c r="U58" s="204"/>
      <c r="V58" s="204"/>
      <c r="W58" s="204"/>
      <c r="X58" s="204"/>
      <c r="Y58" s="204"/>
      <c r="Z58" s="204"/>
      <c r="AA58" s="204"/>
    </row>
    <row r="59" ht="19.5" customHeight="1">
      <c r="A59" s="62"/>
      <c r="B59" s="62"/>
      <c r="C59" s="200"/>
      <c r="D59" s="200"/>
      <c r="E59" s="201"/>
      <c r="F59" s="200"/>
      <c r="G59" s="202"/>
      <c r="H59" s="203"/>
      <c r="I59" s="204"/>
      <c r="J59" s="205" t="n">
        <f t="shared" si="6"/>
        <v>0</v>
      </c>
      <c r="K59" s="203"/>
      <c r="L59" s="204"/>
      <c r="M59" s="205" t="n">
        <f t="shared" si="2"/>
        <v>0</v>
      </c>
      <c r="N59" s="203"/>
      <c r="O59" s="204"/>
      <c r="P59" s="205" t="n">
        <f t="shared" si="3"/>
        <v>0</v>
      </c>
      <c r="Q59" s="203"/>
      <c r="R59" s="204"/>
      <c r="S59" s="205" t="n">
        <f t="shared" si="4"/>
        <v>0</v>
      </c>
      <c r="T59" s="204"/>
      <c r="U59" s="204"/>
      <c r="V59" s="204"/>
      <c r="W59" s="204"/>
      <c r="X59" s="204"/>
      <c r="Y59" s="204"/>
      <c r="Z59" s="204"/>
      <c r="AA59" s="204"/>
    </row>
    <row r="60" ht="19.5" customHeight="1">
      <c r="A60" s="62"/>
      <c r="B60" s="62"/>
      <c r="C60" s="200"/>
      <c r="D60" s="200"/>
      <c r="E60" s="201"/>
      <c r="F60" s="200"/>
      <c r="G60" s="202"/>
      <c r="H60" s="203"/>
      <c r="I60" s="204"/>
      <c r="J60" s="205" t="n">
        <f t="shared" si="6"/>
        <v>0</v>
      </c>
      <c r="K60" s="203"/>
      <c r="L60" s="204"/>
      <c r="M60" s="205" t="n">
        <f t="shared" si="2"/>
        <v>0</v>
      </c>
      <c r="N60" s="203"/>
      <c r="O60" s="204"/>
      <c r="P60" s="205" t="n">
        <f t="shared" si="3"/>
        <v>0</v>
      </c>
      <c r="Q60" s="203"/>
      <c r="R60" s="204"/>
      <c r="S60" s="205" t="n">
        <f t="shared" si="4"/>
        <v>0</v>
      </c>
      <c r="T60" s="204"/>
      <c r="U60" s="204"/>
      <c r="V60" s="204"/>
      <c r="W60" s="204"/>
      <c r="X60" s="204"/>
      <c r="Y60" s="204"/>
      <c r="Z60" s="204"/>
      <c r="AA60" s="204"/>
    </row>
    <row r="61" ht="19.5" customHeight="1">
      <c r="A61" s="62"/>
      <c r="B61" s="62"/>
      <c r="C61" s="200"/>
      <c r="D61" s="200"/>
      <c r="E61" s="201"/>
      <c r="F61" s="200"/>
      <c r="G61" s="202"/>
      <c r="H61" s="203"/>
      <c r="I61" s="204"/>
      <c r="J61" s="205" t="n">
        <f t="shared" si="6"/>
        <v>0</v>
      </c>
      <c r="K61" s="203"/>
      <c r="L61" s="204"/>
      <c r="M61" s="205" t="n">
        <f t="shared" si="2"/>
        <v>0</v>
      </c>
      <c r="N61" s="203"/>
      <c r="O61" s="204"/>
      <c r="P61" s="205" t="n">
        <f t="shared" si="3"/>
        <v>0</v>
      </c>
      <c r="Q61" s="203"/>
      <c r="R61" s="204"/>
      <c r="S61" s="205" t="n">
        <f t="shared" si="4"/>
        <v>0</v>
      </c>
      <c r="T61" s="204"/>
      <c r="U61" s="204"/>
      <c r="V61" s="204"/>
      <c r="W61" s="204"/>
      <c r="X61" s="204"/>
      <c r="Y61" s="204"/>
      <c r="Z61" s="204"/>
      <c r="AA61" s="204"/>
    </row>
    <row r="62" ht="19.5" customHeight="1">
      <c r="A62" s="62"/>
      <c r="B62" s="62"/>
      <c r="C62" s="200"/>
      <c r="D62" s="200"/>
      <c r="E62" s="201"/>
      <c r="F62" s="200"/>
      <c r="G62" s="202"/>
      <c r="H62" s="203"/>
      <c r="I62" s="204"/>
      <c r="J62" s="205" t="n">
        <f t="shared" si="6"/>
        <v>0</v>
      </c>
      <c r="K62" s="203"/>
      <c r="L62" s="204"/>
      <c r="M62" s="205" t="n">
        <f t="shared" si="2"/>
        <v>0</v>
      </c>
      <c r="N62" s="203"/>
      <c r="O62" s="204"/>
      <c r="P62" s="205" t="n">
        <f t="shared" si="3"/>
        <v>0</v>
      </c>
      <c r="Q62" s="203"/>
      <c r="R62" s="204"/>
      <c r="S62" s="205" t="n">
        <f t="shared" si="4"/>
        <v>0</v>
      </c>
      <c r="T62" s="204"/>
      <c r="U62" s="204"/>
      <c r="V62" s="204"/>
      <c r="W62" s="204"/>
      <c r="X62" s="204"/>
      <c r="Y62" s="204"/>
      <c r="Z62" s="204"/>
      <c r="AA62" s="204"/>
    </row>
    <row r="63" ht="19.5" customHeight="1">
      <c r="A63" s="62"/>
      <c r="B63" s="62"/>
      <c r="C63" s="200"/>
      <c r="D63" s="200"/>
      <c r="E63" s="201"/>
      <c r="F63" s="200"/>
      <c r="G63" s="202"/>
      <c r="H63" s="203"/>
      <c r="I63" s="204"/>
      <c r="J63" s="205" t="n">
        <f t="shared" si="6"/>
        <v>0</v>
      </c>
      <c r="K63" s="203"/>
      <c r="L63" s="204"/>
      <c r="M63" s="205" t="n">
        <f t="shared" si="2"/>
        <v>0</v>
      </c>
      <c r="N63" s="203"/>
      <c r="O63" s="204"/>
      <c r="P63" s="205" t="n">
        <f t="shared" si="3"/>
        <v>0</v>
      </c>
      <c r="Q63" s="203"/>
      <c r="R63" s="204"/>
      <c r="S63" s="205" t="n">
        <f t="shared" si="4"/>
        <v>0</v>
      </c>
      <c r="T63" s="204"/>
      <c r="U63" s="204"/>
      <c r="V63" s="204"/>
      <c r="W63" s="204"/>
      <c r="X63" s="204"/>
      <c r="Y63" s="204"/>
      <c r="Z63" s="204"/>
      <c r="AA63" s="204"/>
    </row>
    <row r="64" ht="19.5" customHeight="1">
      <c r="A64" s="62"/>
      <c r="B64" s="62"/>
      <c r="C64" s="200"/>
      <c r="D64" s="200"/>
      <c r="E64" s="201"/>
      <c r="F64" s="200"/>
      <c r="G64" s="202"/>
      <c r="H64" s="203"/>
      <c r="I64" s="204"/>
      <c r="J64" s="205" t="n">
        <f t="shared" si="6"/>
        <v>0</v>
      </c>
      <c r="K64" s="203"/>
      <c r="L64" s="204"/>
      <c r="M64" s="205" t="n">
        <f t="shared" si="2"/>
        <v>0</v>
      </c>
      <c r="N64" s="203"/>
      <c r="O64" s="204"/>
      <c r="P64" s="205" t="n">
        <f t="shared" si="3"/>
        <v>0</v>
      </c>
      <c r="Q64" s="203"/>
      <c r="R64" s="204"/>
      <c r="S64" s="205" t="n">
        <f t="shared" si="4"/>
        <v>0</v>
      </c>
      <c r="T64" s="204"/>
      <c r="U64" s="204"/>
      <c r="V64" s="204"/>
      <c r="W64" s="204"/>
      <c r="X64" s="204"/>
      <c r="Y64" s="204"/>
      <c r="Z64" s="204"/>
      <c r="AA64" s="204"/>
    </row>
    <row r="65" ht="19.5" customHeight="1">
      <c r="A65" s="62"/>
      <c r="B65" s="62"/>
      <c r="C65" s="200"/>
      <c r="D65" s="200"/>
      <c r="E65" s="201"/>
      <c r="F65" s="200"/>
      <c r="G65" s="202"/>
      <c r="H65" s="203"/>
      <c r="I65" s="204"/>
      <c r="J65" s="205" t="n">
        <f t="shared" si="6"/>
        <v>0</v>
      </c>
      <c r="K65" s="203"/>
      <c r="L65" s="204"/>
      <c r="M65" s="205" t="n">
        <f t="shared" si="2"/>
        <v>0</v>
      </c>
      <c r="N65" s="203"/>
      <c r="O65" s="204"/>
      <c r="P65" s="205" t="n">
        <f t="shared" si="3"/>
        <v>0</v>
      </c>
      <c r="Q65" s="203"/>
      <c r="R65" s="204"/>
      <c r="S65" s="205" t="n">
        <f t="shared" si="4"/>
        <v>0</v>
      </c>
      <c r="T65" s="204"/>
      <c r="U65" s="204"/>
      <c r="V65" s="204"/>
      <c r="W65" s="204"/>
      <c r="X65" s="204"/>
      <c r="Y65" s="204"/>
      <c r="Z65" s="204"/>
      <c r="AA65" s="204"/>
    </row>
    <row r="66" ht="19.5" customHeight="1">
      <c r="A66" s="62"/>
      <c r="B66" s="62"/>
      <c r="C66" s="200"/>
      <c r="D66" s="200"/>
      <c r="E66" s="201"/>
      <c r="F66" s="200"/>
      <c r="G66" s="202"/>
      <c r="H66" s="203"/>
      <c r="I66" s="204"/>
      <c r="J66" s="205" t="n">
        <f t="shared" si="6"/>
        <v>0</v>
      </c>
      <c r="K66" s="203"/>
      <c r="L66" s="204"/>
      <c r="M66" s="205" t="n">
        <f t="shared" si="2"/>
        <v>0</v>
      </c>
      <c r="N66" s="203"/>
      <c r="O66" s="204"/>
      <c r="P66" s="205" t="n">
        <f t="shared" si="3"/>
        <v>0</v>
      </c>
      <c r="Q66" s="203"/>
      <c r="R66" s="204"/>
      <c r="S66" s="205" t="n">
        <f t="shared" si="4"/>
        <v>0</v>
      </c>
      <c r="T66" s="204"/>
      <c r="U66" s="204"/>
      <c r="V66" s="204"/>
      <c r="W66" s="204"/>
      <c r="X66" s="204"/>
      <c r="Y66" s="204"/>
      <c r="Z66" s="204"/>
      <c r="AA66" s="204"/>
    </row>
    <row r="67" ht="19.5" customHeight="1">
      <c r="A67" s="62"/>
      <c r="B67" s="62"/>
      <c r="C67" s="200"/>
      <c r="D67" s="200"/>
      <c r="E67" s="201"/>
      <c r="F67" s="200"/>
      <c r="G67" s="202"/>
      <c r="H67" s="203"/>
      <c r="I67" s="204"/>
      <c r="J67" s="205" t="n">
        <f t="shared" si="6"/>
        <v>0</v>
      </c>
      <c r="K67" s="203"/>
      <c r="L67" s="204"/>
      <c r="M67" s="205" t="n">
        <f t="shared" si="2"/>
        <v>0</v>
      </c>
      <c r="N67" s="203"/>
      <c r="O67" s="204"/>
      <c r="P67" s="205" t="n">
        <f t="shared" si="3"/>
        <v>0</v>
      </c>
      <c r="Q67" s="203"/>
      <c r="R67" s="204"/>
      <c r="S67" s="205" t="n">
        <f t="shared" si="4"/>
        <v>0</v>
      </c>
      <c r="T67" s="204"/>
      <c r="U67" s="204"/>
      <c r="V67" s="204"/>
      <c r="W67" s="204"/>
      <c r="X67" s="204"/>
      <c r="Y67" s="204"/>
      <c r="Z67" s="204"/>
      <c r="AA67" s="204"/>
    </row>
    <row r="68" ht="19.5" customHeight="1">
      <c r="A68" s="62"/>
      <c r="B68" s="62"/>
      <c r="C68" s="200"/>
      <c r="D68" s="200"/>
      <c r="E68" s="201"/>
      <c r="F68" s="200"/>
      <c r="G68" s="202"/>
      <c r="H68" s="203"/>
      <c r="I68" s="204"/>
      <c r="J68" s="205" t="n">
        <f t="shared" si="6"/>
        <v>0</v>
      </c>
      <c r="K68" s="203"/>
      <c r="L68" s="204"/>
      <c r="M68" s="205" t="n">
        <f t="shared" si="2"/>
        <v>0</v>
      </c>
      <c r="N68" s="203"/>
      <c r="O68" s="204"/>
      <c r="P68" s="205" t="n">
        <f t="shared" si="3"/>
        <v>0</v>
      </c>
      <c r="Q68" s="203"/>
      <c r="R68" s="204"/>
      <c r="S68" s="205" t="n">
        <f t="shared" si="4"/>
        <v>0</v>
      </c>
      <c r="T68" s="204"/>
      <c r="U68" s="204"/>
      <c r="V68" s="204"/>
      <c r="W68" s="204"/>
      <c r="X68" s="204"/>
      <c r="Y68" s="204"/>
      <c r="Z68" s="204"/>
      <c r="AA68" s="204"/>
    </row>
    <row r="69" ht="19.5" customHeight="1">
      <c r="A69" s="62"/>
      <c r="B69" s="62"/>
      <c r="C69" s="200"/>
      <c r="D69" s="200"/>
      <c r="E69" s="201"/>
      <c r="F69" s="200"/>
      <c r="G69" s="202"/>
      <c r="H69" s="203"/>
      <c r="I69" s="204"/>
      <c r="J69" s="205" t="n">
        <f t="shared" si="6"/>
        <v>0</v>
      </c>
      <c r="K69" s="203"/>
      <c r="L69" s="204"/>
      <c r="M69" s="205" t="n">
        <f t="shared" si="2"/>
        <v>0</v>
      </c>
      <c r="N69" s="203"/>
      <c r="O69" s="204"/>
      <c r="P69" s="205" t="n">
        <f t="shared" si="3"/>
        <v>0</v>
      </c>
      <c r="Q69" s="203"/>
      <c r="R69" s="204"/>
      <c r="S69" s="205" t="n">
        <f t="shared" si="4"/>
        <v>0</v>
      </c>
      <c r="T69" s="204"/>
      <c r="U69" s="204"/>
      <c r="V69" s="204"/>
      <c r="W69" s="204"/>
      <c r="X69" s="204"/>
      <c r="Y69" s="204"/>
      <c r="Z69" s="204"/>
      <c r="AA69" s="204"/>
    </row>
    <row r="70" ht="19.5" customHeight="1">
      <c r="A70" s="62"/>
      <c r="B70" s="62"/>
      <c r="C70" s="200"/>
      <c r="D70" s="200"/>
      <c r="E70" s="201"/>
      <c r="F70" s="200"/>
      <c r="G70" s="202"/>
      <c r="H70" s="203"/>
      <c r="I70" s="204"/>
      <c r="J70" s="205" t="n">
        <f t="shared" si="6"/>
        <v>0</v>
      </c>
      <c r="K70" s="203"/>
      <c r="L70" s="204"/>
      <c r="M70" s="205" t="n">
        <f t="shared" si="2"/>
        <v>0</v>
      </c>
      <c r="N70" s="203"/>
      <c r="O70" s="204"/>
      <c r="P70" s="205" t="n">
        <f t="shared" si="3"/>
        <v>0</v>
      </c>
      <c r="Q70" s="203"/>
      <c r="R70" s="204"/>
      <c r="S70" s="205" t="n">
        <f t="shared" si="4"/>
        <v>0</v>
      </c>
      <c r="T70" s="204"/>
      <c r="U70" s="204"/>
      <c r="V70" s="204"/>
      <c r="W70" s="204"/>
      <c r="X70" s="204"/>
      <c r="Y70" s="204"/>
      <c r="Z70" s="204"/>
      <c r="AA70" s="204"/>
    </row>
    <row r="71" ht="19.5" customHeight="1">
      <c r="A71" s="62"/>
      <c r="B71" s="62"/>
      <c r="C71" s="200"/>
      <c r="D71" s="200"/>
      <c r="E71" s="201"/>
      <c r="F71" s="200"/>
      <c r="G71" s="202"/>
      <c r="H71" s="203"/>
      <c r="I71" s="204"/>
      <c r="J71" s="205" t="n">
        <f t="shared" si="6"/>
        <v>0</v>
      </c>
      <c r="K71" s="203"/>
      <c r="L71" s="204"/>
      <c r="M71" s="205" t="n">
        <f t="shared" si="2"/>
        <v>0</v>
      </c>
      <c r="N71" s="203"/>
      <c r="O71" s="204"/>
      <c r="P71" s="205" t="n">
        <f t="shared" si="3"/>
        <v>0</v>
      </c>
      <c r="Q71" s="203"/>
      <c r="R71" s="204"/>
      <c r="S71" s="205" t="n">
        <f t="shared" si="4"/>
        <v>0</v>
      </c>
      <c r="T71" s="204"/>
      <c r="U71" s="204"/>
      <c r="V71" s="204"/>
      <c r="W71" s="204"/>
      <c r="X71" s="204"/>
      <c r="Y71" s="204"/>
      <c r="Z71" s="204"/>
      <c r="AA71" s="204"/>
    </row>
    <row r="72" ht="19.5" customHeight="1">
      <c r="A72" s="62"/>
      <c r="B72" s="62"/>
      <c r="C72" s="200"/>
      <c r="D72" s="200"/>
      <c r="E72" s="201"/>
      <c r="F72" s="200"/>
      <c r="G72" s="202"/>
      <c r="H72" s="203"/>
      <c r="I72" s="204"/>
      <c r="J72" s="205" t="n">
        <f t="shared" si="6"/>
        <v>0</v>
      </c>
      <c r="K72" s="203"/>
      <c r="L72" s="204"/>
      <c r="M72" s="205" t="n">
        <f t="shared" si="2"/>
        <v>0</v>
      </c>
      <c r="N72" s="203"/>
      <c r="O72" s="204"/>
      <c r="P72" s="205" t="n">
        <f t="shared" si="3"/>
        <v>0</v>
      </c>
      <c r="Q72" s="203"/>
      <c r="R72" s="204"/>
      <c r="S72" s="205" t="n">
        <f t="shared" si="4"/>
        <v>0</v>
      </c>
      <c r="T72" s="204"/>
      <c r="U72" s="204"/>
      <c r="V72" s="204"/>
      <c r="W72" s="204"/>
      <c r="X72" s="204"/>
      <c r="Y72" s="204"/>
      <c r="Z72" s="204"/>
      <c r="AA72" s="204"/>
    </row>
    <row r="73" ht="21.75" customHeight="1">
      <c r="A73" s="62"/>
      <c r="B73" s="62"/>
      <c r="C73" s="200"/>
      <c r="D73" s="200"/>
      <c r="E73" s="201"/>
      <c r="F73" s="200"/>
      <c r="G73" s="202"/>
      <c r="H73" s="203"/>
      <c r="I73" s="204"/>
      <c r="J73" s="205" t="n">
        <f t="shared" si="6"/>
        <v>0</v>
      </c>
      <c r="K73" s="203"/>
      <c r="L73" s="204"/>
      <c r="M73" s="205" t="n">
        <f t="shared" si="2"/>
        <v>0</v>
      </c>
      <c r="N73" s="203"/>
      <c r="O73" s="204"/>
      <c r="P73" s="205" t="n">
        <f t="shared" si="3"/>
        <v>0</v>
      </c>
      <c r="Q73" s="203"/>
      <c r="R73" s="204"/>
      <c r="S73" s="205" t="n">
        <f t="shared" si="4"/>
        <v>0</v>
      </c>
      <c r="T73" s="204"/>
      <c r="U73" s="204"/>
      <c r="V73" s="204"/>
      <c r="W73" s="204"/>
      <c r="X73" s="204"/>
      <c r="Y73" s="204"/>
      <c r="Z73" s="204"/>
      <c r="AA73" s="204"/>
    </row>
    <row r="74" ht="21.75" customHeight="1">
      <c r="A74" s="62"/>
      <c r="B74" s="62"/>
      <c r="C74" s="200"/>
      <c r="D74" s="200"/>
      <c r="E74" s="201"/>
      <c r="F74" s="200"/>
      <c r="G74" s="202"/>
      <c r="H74" s="203"/>
      <c r="I74" s="204"/>
      <c r="J74" s="205" t="n">
        <f t="shared" si="6"/>
        <v>0</v>
      </c>
      <c r="K74" s="203"/>
      <c r="L74" s="204"/>
      <c r="M74" s="205" t="n">
        <f t="shared" si="2"/>
        <v>0</v>
      </c>
      <c r="N74" s="203"/>
      <c r="O74" s="204"/>
      <c r="P74" s="205" t="n">
        <f t="shared" si="3"/>
        <v>0</v>
      </c>
      <c r="Q74" s="203"/>
      <c r="R74" s="204"/>
      <c r="S74" s="205" t="n">
        <f t="shared" si="4"/>
        <v>0</v>
      </c>
      <c r="T74" s="204"/>
      <c r="U74" s="204"/>
      <c r="V74" s="204"/>
      <c r="W74" s="204"/>
      <c r="X74" s="204"/>
      <c r="Y74" s="204"/>
      <c r="Z74" s="204"/>
      <c r="AA74" s="204"/>
    </row>
    <row r="75" ht="21.75" customHeight="1">
      <c r="A75" s="62"/>
      <c r="B75" s="62"/>
      <c r="C75" s="200"/>
      <c r="D75" s="200"/>
      <c r="E75" s="201"/>
      <c r="F75" s="200"/>
      <c r="G75" s="202"/>
      <c r="H75" s="203"/>
      <c r="I75" s="204"/>
      <c r="J75" s="205" t="n">
        <f t="shared" si="6"/>
        <v>0</v>
      </c>
      <c r="K75" s="203"/>
      <c r="L75" s="204"/>
      <c r="M75" s="205" t="n">
        <f t="shared" si="2"/>
        <v>0</v>
      </c>
      <c r="N75" s="203"/>
      <c r="O75" s="204"/>
      <c r="P75" s="205" t="n">
        <f t="shared" si="3"/>
        <v>0</v>
      </c>
      <c r="Q75" s="203"/>
      <c r="R75" s="204"/>
      <c r="S75" s="205" t="n">
        <f t="shared" si="4"/>
        <v>0</v>
      </c>
      <c r="T75" s="204"/>
      <c r="U75" s="204"/>
      <c r="V75" s="204"/>
      <c r="W75" s="204"/>
      <c r="X75" s="204"/>
      <c r="Y75" s="204"/>
      <c r="Z75" s="204"/>
      <c r="AA75" s="204"/>
    </row>
    <row r="76" ht="14.25" customHeight="1">
      <c r="A76" s="62"/>
      <c r="B76" s="62"/>
      <c r="C76" s="200"/>
      <c r="D76" s="200"/>
      <c r="E76" s="201"/>
      <c r="F76" s="200"/>
      <c r="G76" s="202"/>
      <c r="H76" s="203"/>
      <c r="I76" s="204"/>
      <c r="J76" s="205" t="n">
        <f t="shared" si="6"/>
        <v>0</v>
      </c>
      <c r="K76" s="203"/>
      <c r="L76" s="204"/>
      <c r="M76" s="205" t="n">
        <f t="shared" si="2"/>
        <v>0</v>
      </c>
      <c r="N76" s="203"/>
      <c r="O76" s="204"/>
      <c r="P76" s="205" t="n">
        <f t="shared" si="3"/>
        <v>0</v>
      </c>
      <c r="Q76" s="203"/>
      <c r="R76" s="204"/>
      <c r="S76" s="205" t="n">
        <f t="shared" si="4"/>
        <v>0</v>
      </c>
      <c r="T76" s="204"/>
      <c r="U76" s="204"/>
      <c r="V76" s="204"/>
      <c r="W76" s="204"/>
      <c r="X76" s="204"/>
      <c r="Y76" s="204"/>
      <c r="Z76" s="204"/>
      <c r="AA76" s="204"/>
    </row>
    <row r="77" ht="14.25" customHeight="1">
      <c r="A77" s="62"/>
      <c r="B77" s="62"/>
      <c r="C77" s="200"/>
      <c r="D77" s="200"/>
      <c r="E77" s="201"/>
      <c r="F77" s="200"/>
      <c r="G77" s="202"/>
      <c r="H77" s="203"/>
      <c r="I77" s="204"/>
      <c r="J77" s="205" t="n">
        <f t="shared" si="6"/>
        <v>0</v>
      </c>
      <c r="K77" s="203"/>
      <c r="L77" s="204"/>
      <c r="M77" s="205" t="n">
        <f t="shared" si="2"/>
        <v>0</v>
      </c>
      <c r="N77" s="203"/>
      <c r="O77" s="204"/>
      <c r="P77" s="205" t="n">
        <f t="shared" si="3"/>
        <v>0</v>
      </c>
      <c r="Q77" s="203"/>
      <c r="R77" s="204"/>
      <c r="S77" s="205" t="n">
        <f t="shared" si="4"/>
        <v>0</v>
      </c>
      <c r="T77" s="204"/>
      <c r="U77" s="204"/>
      <c r="V77" s="204"/>
      <c r="W77" s="204"/>
      <c r="X77" s="204"/>
      <c r="Y77" s="204"/>
      <c r="Z77" s="204"/>
      <c r="AA77" s="204"/>
    </row>
    <row r="78" ht="14.25" customHeight="1">
      <c r="A78" s="62"/>
      <c r="B78" s="62"/>
      <c r="C78" s="200"/>
      <c r="D78" s="200"/>
      <c r="E78" s="201"/>
      <c r="F78" s="200"/>
      <c r="G78" s="202"/>
      <c r="H78" s="203"/>
      <c r="I78" s="204"/>
      <c r="J78" s="205" t="n">
        <f t="shared" si="6"/>
        <v>0</v>
      </c>
      <c r="K78" s="203"/>
      <c r="L78" s="204"/>
      <c r="M78" s="205" t="n">
        <f t="shared" si="2"/>
        <v>0</v>
      </c>
      <c r="N78" s="203"/>
      <c r="O78" s="204"/>
      <c r="P78" s="205" t="n">
        <f t="shared" si="3"/>
        <v>0</v>
      </c>
      <c r="Q78" s="203"/>
      <c r="R78" s="204"/>
      <c r="S78" s="205" t="n">
        <f t="shared" si="4"/>
        <v>0</v>
      </c>
      <c r="T78" s="204"/>
      <c r="U78" s="204"/>
      <c r="V78" s="204"/>
      <c r="W78" s="204"/>
      <c r="X78" s="204"/>
      <c r="Y78" s="204"/>
      <c r="Z78" s="204"/>
      <c r="AA78" s="204"/>
    </row>
    <row r="79" ht="14.25" customHeight="1">
      <c r="A79" s="62"/>
      <c r="B79" s="62"/>
      <c r="C79" s="200"/>
      <c r="D79" s="200"/>
      <c r="E79" s="201"/>
      <c r="F79" s="200"/>
      <c r="G79" s="202"/>
      <c r="H79" s="203"/>
      <c r="I79" s="204"/>
      <c r="J79" s="205" t="n">
        <f t="shared" si="6"/>
        <v>0</v>
      </c>
      <c r="K79" s="203"/>
      <c r="L79" s="204"/>
      <c r="M79" s="205" t="n">
        <f t="shared" si="2"/>
        <v>0</v>
      </c>
      <c r="N79" s="203"/>
      <c r="O79" s="204"/>
      <c r="P79" s="205" t="n">
        <f t="shared" si="3"/>
        <v>0</v>
      </c>
      <c r="Q79" s="203"/>
      <c r="R79" s="204"/>
      <c r="S79" s="205" t="n">
        <f t="shared" si="4"/>
        <v>0</v>
      </c>
      <c r="T79" s="204"/>
      <c r="U79" s="204"/>
      <c r="V79" s="204"/>
      <c r="W79" s="204"/>
      <c r="X79" s="204"/>
      <c r="Y79" s="204"/>
      <c r="Z79" s="204"/>
      <c r="AA79" s="204"/>
    </row>
    <row r="80" ht="14.25" customHeight="1">
      <c r="A80" s="62"/>
      <c r="B80" s="62"/>
      <c r="C80" s="200"/>
      <c r="D80" s="200"/>
      <c r="E80" s="201"/>
      <c r="F80" s="200"/>
      <c r="G80" s="202"/>
      <c r="H80" s="203"/>
      <c r="I80" s="204"/>
      <c r="J80" s="205" t="n">
        <f t="shared" si="6"/>
        <v>0</v>
      </c>
      <c r="K80" s="203"/>
      <c r="L80" s="204"/>
      <c r="M80" s="205" t="n">
        <f t="shared" si="2"/>
        <v>0</v>
      </c>
      <c r="N80" s="203"/>
      <c r="O80" s="204"/>
      <c r="P80" s="205" t="n">
        <f t="shared" si="3"/>
        <v>0</v>
      </c>
      <c r="Q80" s="203"/>
      <c r="R80" s="204"/>
      <c r="S80" s="205" t="n">
        <f t="shared" si="4"/>
        <v>0</v>
      </c>
      <c r="T80" s="204"/>
      <c r="U80" s="204"/>
      <c r="V80" s="204"/>
      <c r="W80" s="204"/>
      <c r="X80" s="204"/>
      <c r="Y80" s="204"/>
      <c r="Z80" s="204"/>
      <c r="AA80" s="204"/>
    </row>
    <row r="81" ht="14.25" customHeight="1">
      <c r="A81" s="62"/>
      <c r="B81" s="62"/>
      <c r="C81" s="200"/>
      <c r="D81" s="200"/>
      <c r="E81" s="201"/>
      <c r="F81" s="200"/>
      <c r="G81" s="202"/>
      <c r="H81" s="203"/>
      <c r="I81" s="204"/>
      <c r="J81" s="205" t="n">
        <f t="shared" si="6"/>
        <v>0</v>
      </c>
      <c r="K81" s="203"/>
      <c r="L81" s="204"/>
      <c r="M81" s="205" t="n">
        <f t="shared" si="2"/>
        <v>0</v>
      </c>
      <c r="N81" s="203"/>
      <c r="O81" s="204"/>
      <c r="P81" s="205" t="n">
        <f t="shared" si="3"/>
        <v>0</v>
      </c>
      <c r="Q81" s="203"/>
      <c r="R81" s="204"/>
      <c r="S81" s="205" t="n">
        <f t="shared" si="4"/>
        <v>0</v>
      </c>
      <c r="T81" s="204"/>
      <c r="U81" s="204"/>
      <c r="V81" s="204"/>
      <c r="W81" s="204"/>
      <c r="X81" s="204"/>
      <c r="Y81" s="204"/>
      <c r="Z81" s="204"/>
      <c r="AA81" s="204"/>
    </row>
    <row r="82" ht="14.25" customHeight="1">
      <c r="A82" s="62"/>
      <c r="B82" s="62"/>
      <c r="C82" s="200"/>
      <c r="D82" s="200"/>
      <c r="E82" s="201"/>
      <c r="F82" s="200"/>
      <c r="G82" s="202"/>
      <c r="H82" s="203"/>
      <c r="I82" s="204"/>
      <c r="J82" s="205" t="n">
        <f t="shared" si="6"/>
        <v>0</v>
      </c>
      <c r="K82" s="203"/>
      <c r="L82" s="204"/>
      <c r="M82" s="205" t="n">
        <f t="shared" si="2"/>
        <v>0</v>
      </c>
      <c r="N82" s="203"/>
      <c r="O82" s="204"/>
      <c r="P82" s="205" t="n">
        <f t="shared" si="3"/>
        <v>0</v>
      </c>
      <c r="Q82" s="203"/>
      <c r="R82" s="204"/>
      <c r="S82" s="205" t="n">
        <f t="shared" si="4"/>
        <v>0</v>
      </c>
      <c r="T82" s="204"/>
      <c r="U82" s="204"/>
      <c r="V82" s="204"/>
      <c r="W82" s="204"/>
      <c r="X82" s="204"/>
      <c r="Y82" s="204"/>
      <c r="Z82" s="204"/>
      <c r="AA82" s="204"/>
    </row>
    <row r="83" ht="14.25" customHeight="1">
      <c r="A83" s="62"/>
      <c r="B83" s="62"/>
      <c r="C83" s="200"/>
      <c r="D83" s="200"/>
      <c r="E83" s="201"/>
      <c r="F83" s="200"/>
      <c r="G83" s="202"/>
      <c r="H83" s="203"/>
      <c r="I83" s="204"/>
      <c r="J83" s="205" t="n">
        <f t="shared" si="6"/>
        <v>0</v>
      </c>
      <c r="K83" s="203"/>
      <c r="L83" s="204"/>
      <c r="M83" s="205" t="n">
        <f t="shared" si="2"/>
        <v>0</v>
      </c>
      <c r="N83" s="203"/>
      <c r="O83" s="204"/>
      <c r="P83" s="205" t="n">
        <f t="shared" si="3"/>
        <v>0</v>
      </c>
      <c r="Q83" s="203"/>
      <c r="R83" s="204"/>
      <c r="S83" s="205" t="n">
        <f t="shared" si="4"/>
        <v>0</v>
      </c>
      <c r="T83" s="204"/>
      <c r="U83" s="204"/>
      <c r="V83" s="204"/>
      <c r="W83" s="204"/>
      <c r="X83" s="204"/>
      <c r="Y83" s="204"/>
      <c r="Z83" s="204"/>
      <c r="AA83" s="204"/>
    </row>
    <row r="84" ht="14.25" customHeight="1">
      <c r="A84" s="62"/>
      <c r="B84" s="62"/>
      <c r="C84" s="200"/>
      <c r="D84" s="200"/>
      <c r="E84" s="201"/>
      <c r="F84" s="200"/>
      <c r="G84" s="202"/>
      <c r="H84" s="203"/>
      <c r="I84" s="204"/>
      <c r="J84" s="205" t="n">
        <f t="shared" si="6"/>
        <v>0</v>
      </c>
      <c r="K84" s="203"/>
      <c r="L84" s="204"/>
      <c r="M84" s="205" t="n">
        <f t="shared" si="2"/>
        <v>0</v>
      </c>
      <c r="N84" s="203"/>
      <c r="O84" s="204"/>
      <c r="P84" s="205" t="n">
        <f t="shared" si="3"/>
        <v>0</v>
      </c>
      <c r="Q84" s="203"/>
      <c r="R84" s="204"/>
      <c r="S84" s="205" t="n">
        <f t="shared" si="4"/>
        <v>0</v>
      </c>
      <c r="T84" s="204"/>
      <c r="U84" s="204"/>
      <c r="V84" s="204"/>
      <c r="W84" s="204"/>
      <c r="X84" s="204"/>
      <c r="Y84" s="204"/>
      <c r="Z84" s="204"/>
      <c r="AA84" s="204"/>
    </row>
    <row r="85" ht="14.25" customHeight="1">
      <c r="A85" s="62"/>
      <c r="B85" s="62"/>
      <c r="C85" s="200"/>
      <c r="D85" s="200"/>
      <c r="E85" s="201"/>
      <c r="F85" s="200"/>
      <c r="G85" s="202"/>
      <c r="H85" s="203"/>
      <c r="I85" s="204"/>
      <c r="J85" s="205" t="n">
        <f t="shared" si="6"/>
        <v>0</v>
      </c>
      <c r="K85" s="203"/>
      <c r="L85" s="204"/>
      <c r="M85" s="205" t="n">
        <f t="shared" si="2"/>
        <v>0</v>
      </c>
      <c r="N85" s="203"/>
      <c r="O85" s="204"/>
      <c r="P85" s="205" t="n">
        <f t="shared" si="3"/>
        <v>0</v>
      </c>
      <c r="Q85" s="203"/>
      <c r="R85" s="204"/>
      <c r="S85" s="205" t="n">
        <f t="shared" si="4"/>
        <v>0</v>
      </c>
      <c r="T85" s="204"/>
      <c r="U85" s="204"/>
      <c r="V85" s="204"/>
      <c r="W85" s="204"/>
      <c r="X85" s="204"/>
      <c r="Y85" s="204"/>
      <c r="Z85" s="204"/>
      <c r="AA85" s="204"/>
    </row>
    <row r="86" ht="14.25" customHeight="1">
      <c r="A86" s="62"/>
      <c r="B86" s="62"/>
      <c r="C86" s="200"/>
      <c r="D86" s="200"/>
      <c r="E86" s="201"/>
      <c r="F86" s="200"/>
      <c r="G86" s="202"/>
      <c r="H86" s="203"/>
      <c r="I86" s="204"/>
      <c r="J86" s="205" t="n">
        <f t="shared" si="6"/>
        <v>0</v>
      </c>
      <c r="K86" s="203"/>
      <c r="L86" s="204"/>
      <c r="M86" s="205" t="n">
        <f t="shared" si="2"/>
        <v>0</v>
      </c>
      <c r="N86" s="203"/>
      <c r="O86" s="204"/>
      <c r="P86" s="205" t="n">
        <f t="shared" si="3"/>
        <v>0</v>
      </c>
      <c r="Q86" s="203"/>
      <c r="R86" s="204"/>
      <c r="S86" s="205" t="n">
        <f t="shared" si="4"/>
        <v>0</v>
      </c>
      <c r="T86" s="204"/>
      <c r="U86" s="204"/>
      <c r="V86" s="204"/>
      <c r="W86" s="204"/>
      <c r="X86" s="204"/>
      <c r="Y86" s="204"/>
      <c r="Z86" s="204"/>
      <c r="AA86" s="204"/>
    </row>
    <row r="87" ht="14.25" customHeight="1">
      <c r="A87" s="62"/>
      <c r="B87" s="62"/>
      <c r="C87" s="200"/>
      <c r="D87" s="200"/>
      <c r="E87" s="201"/>
      <c r="F87" s="200"/>
      <c r="G87" s="202"/>
      <c r="H87" s="203"/>
      <c r="I87" s="204"/>
      <c r="J87" s="205" t="n">
        <f t="shared" si="6"/>
        <v>0</v>
      </c>
      <c r="K87" s="203"/>
      <c r="L87" s="204"/>
      <c r="M87" s="205" t="n">
        <f t="shared" si="2"/>
        <v>0</v>
      </c>
      <c r="N87" s="203"/>
      <c r="O87" s="204"/>
      <c r="P87" s="205" t="n">
        <f t="shared" si="3"/>
        <v>0</v>
      </c>
      <c r="Q87" s="203"/>
      <c r="R87" s="204"/>
      <c r="S87" s="205" t="n">
        <f t="shared" si="4"/>
        <v>0</v>
      </c>
      <c r="T87" s="204"/>
      <c r="U87" s="204"/>
      <c r="V87" s="204"/>
      <c r="W87" s="204"/>
      <c r="X87" s="204"/>
      <c r="Y87" s="204"/>
      <c r="Z87" s="204"/>
      <c r="AA87" s="204"/>
    </row>
    <row r="88" ht="14.25" customHeight="1">
      <c r="A88" s="62"/>
      <c r="B88" s="62"/>
      <c r="C88" s="200"/>
      <c r="D88" s="200"/>
      <c r="E88" s="201"/>
      <c r="F88" s="200"/>
      <c r="G88" s="202"/>
      <c r="H88" s="203"/>
      <c r="I88" s="204"/>
      <c r="J88" s="205" t="n">
        <f t="shared" si="6"/>
        <v>0</v>
      </c>
      <c r="K88" s="203"/>
      <c r="L88" s="204"/>
      <c r="M88" s="205" t="n">
        <f t="shared" si="2"/>
        <v>0</v>
      </c>
      <c r="N88" s="203"/>
      <c r="O88" s="204"/>
      <c r="P88" s="205" t="n">
        <f t="shared" si="3"/>
        <v>0</v>
      </c>
      <c r="Q88" s="203"/>
      <c r="R88" s="204"/>
      <c r="S88" s="205" t="n">
        <f t="shared" si="4"/>
        <v>0</v>
      </c>
      <c r="T88" s="204"/>
      <c r="U88" s="204"/>
      <c r="V88" s="204"/>
      <c r="W88" s="204"/>
      <c r="X88" s="204"/>
      <c r="Y88" s="204"/>
      <c r="Z88" s="204"/>
      <c r="AA88" s="204"/>
    </row>
    <row r="89" ht="14.25" customHeight="1">
      <c r="A89" s="62"/>
      <c r="B89" s="62"/>
      <c r="C89" s="200"/>
      <c r="D89" s="200"/>
      <c r="E89" s="201"/>
      <c r="F89" s="200"/>
      <c r="G89" s="202"/>
      <c r="H89" s="203"/>
      <c r="I89" s="204"/>
      <c r="J89" s="205" t="n">
        <f t="shared" si="6"/>
        <v>0</v>
      </c>
      <c r="K89" s="203"/>
      <c r="L89" s="204"/>
      <c r="M89" s="205" t="n">
        <f t="shared" si="2"/>
        <v>0</v>
      </c>
      <c r="N89" s="203"/>
      <c r="O89" s="204"/>
      <c r="P89" s="205" t="n">
        <f t="shared" si="3"/>
        <v>0</v>
      </c>
      <c r="Q89" s="203"/>
      <c r="R89" s="204"/>
      <c r="S89" s="205" t="n">
        <f t="shared" si="4"/>
        <v>0</v>
      </c>
      <c r="T89" s="204"/>
      <c r="U89" s="204"/>
      <c r="V89" s="204"/>
      <c r="W89" s="204"/>
      <c r="X89" s="204"/>
      <c r="Y89" s="204"/>
      <c r="Z89" s="204"/>
      <c r="AA89" s="204"/>
    </row>
    <row r="90" ht="14.25" customHeight="1">
      <c r="A90" s="62"/>
      <c r="B90" s="62"/>
      <c r="C90" s="200"/>
      <c r="D90" s="200"/>
      <c r="E90" s="201"/>
      <c r="F90" s="200"/>
      <c r="G90" s="202"/>
      <c r="H90" s="203"/>
      <c r="I90" s="204"/>
      <c r="J90" s="205" t="n">
        <f t="shared" si="6"/>
        <v>0</v>
      </c>
      <c r="K90" s="203"/>
      <c r="L90" s="204"/>
      <c r="M90" s="205" t="n">
        <f t="shared" si="2"/>
        <v>0</v>
      </c>
      <c r="N90" s="203"/>
      <c r="O90" s="204"/>
      <c r="P90" s="205" t="n">
        <f t="shared" si="3"/>
        <v>0</v>
      </c>
      <c r="Q90" s="203"/>
      <c r="R90" s="204"/>
      <c r="S90" s="205" t="n">
        <f t="shared" si="4"/>
        <v>0</v>
      </c>
      <c r="T90" s="204"/>
      <c r="U90" s="204"/>
      <c r="V90" s="204"/>
      <c r="W90" s="204"/>
      <c r="X90" s="204"/>
      <c r="Y90" s="204"/>
      <c r="Z90" s="204"/>
      <c r="AA90" s="204"/>
    </row>
    <row r="91" ht="14.25" customHeight="1">
      <c r="A91" s="62"/>
      <c r="B91" s="62"/>
      <c r="C91" s="200"/>
      <c r="D91" s="200"/>
      <c r="E91" s="201"/>
      <c r="F91" s="200"/>
      <c r="G91" s="202"/>
      <c r="H91" s="203"/>
      <c r="I91" s="204"/>
      <c r="J91" s="205" t="n">
        <f t="shared" si="6"/>
        <v>0</v>
      </c>
      <c r="K91" s="203"/>
      <c r="L91" s="204"/>
      <c r="M91" s="205" t="n">
        <f t="shared" si="2"/>
        <v>0</v>
      </c>
      <c r="N91" s="203"/>
      <c r="O91" s="204"/>
      <c r="P91" s="205" t="n">
        <f t="shared" si="3"/>
        <v>0</v>
      </c>
      <c r="Q91" s="203"/>
      <c r="R91" s="204"/>
      <c r="S91" s="205" t="n">
        <f t="shared" si="4"/>
        <v>0</v>
      </c>
      <c r="T91" s="204"/>
      <c r="U91" s="204"/>
      <c r="V91" s="204"/>
      <c r="W91" s="204"/>
      <c r="X91" s="204"/>
      <c r="Y91" s="204"/>
      <c r="Z91" s="204"/>
      <c r="AA91" s="204"/>
    </row>
    <row r="92" ht="14.25" customHeight="1">
      <c r="A92" s="62"/>
      <c r="B92" s="62"/>
      <c r="C92" s="200"/>
      <c r="D92" s="200"/>
      <c r="E92" s="201"/>
      <c r="F92" s="200"/>
      <c r="G92" s="202"/>
      <c r="H92" s="203"/>
      <c r="I92" s="204"/>
      <c r="J92" s="205" t="n">
        <f t="shared" si="6"/>
        <v>0</v>
      </c>
      <c r="K92" s="203"/>
      <c r="L92" s="204"/>
      <c r="M92" s="205" t="n">
        <f t="shared" si="2"/>
        <v>0</v>
      </c>
      <c r="N92" s="203"/>
      <c r="O92" s="204"/>
      <c r="P92" s="205" t="n">
        <f t="shared" si="3"/>
        <v>0</v>
      </c>
      <c r="Q92" s="203"/>
      <c r="R92" s="204"/>
      <c r="S92" s="205" t="n">
        <f t="shared" si="4"/>
        <v>0</v>
      </c>
      <c r="T92" s="204"/>
      <c r="U92" s="204"/>
      <c r="V92" s="204"/>
      <c r="W92" s="204"/>
      <c r="X92" s="204"/>
      <c r="Y92" s="204"/>
      <c r="Z92" s="204"/>
      <c r="AA92" s="204"/>
    </row>
    <row r="93" ht="14.25" customHeight="1">
      <c r="A93" s="62"/>
      <c r="B93" s="62"/>
      <c r="C93" s="200"/>
      <c r="D93" s="200"/>
      <c r="E93" s="201"/>
      <c r="F93" s="200"/>
      <c r="G93" s="202"/>
      <c r="H93" s="203"/>
      <c r="I93" s="204"/>
      <c r="J93" s="205" t="n">
        <f t="shared" si="6"/>
        <v>0</v>
      </c>
      <c r="K93" s="203"/>
      <c r="L93" s="204"/>
      <c r="M93" s="205" t="n">
        <f t="shared" si="2"/>
        <v>0</v>
      </c>
      <c r="N93" s="203"/>
      <c r="O93" s="204"/>
      <c r="P93" s="205" t="n">
        <f t="shared" si="3"/>
        <v>0</v>
      </c>
      <c r="Q93" s="203"/>
      <c r="R93" s="204"/>
      <c r="S93" s="205" t="n">
        <f t="shared" si="4"/>
        <v>0</v>
      </c>
      <c r="T93" s="204"/>
      <c r="U93" s="204"/>
      <c r="V93" s="204"/>
      <c r="W93" s="204"/>
      <c r="X93" s="204"/>
      <c r="Y93" s="204"/>
      <c r="Z93" s="204"/>
      <c r="AA93" s="204"/>
    </row>
    <row r="94" ht="14.25" customHeight="1">
      <c r="A94" s="62"/>
      <c r="B94" s="62"/>
      <c r="C94" s="200"/>
      <c r="D94" s="200"/>
      <c r="E94" s="201"/>
      <c r="F94" s="200"/>
      <c r="G94" s="202"/>
      <c r="H94" s="203"/>
      <c r="I94" s="204"/>
      <c r="J94" s="205" t="n">
        <f t="shared" si="6"/>
        <v>0</v>
      </c>
      <c r="K94" s="203"/>
      <c r="L94" s="204"/>
      <c r="M94" s="205" t="n">
        <f t="shared" si="2"/>
        <v>0</v>
      </c>
      <c r="N94" s="203"/>
      <c r="O94" s="204"/>
      <c r="P94" s="205" t="n">
        <f t="shared" si="3"/>
        <v>0</v>
      </c>
      <c r="Q94" s="203"/>
      <c r="R94" s="204"/>
      <c r="S94" s="205" t="n">
        <f t="shared" si="4"/>
        <v>0</v>
      </c>
      <c r="T94" s="204"/>
      <c r="U94" s="204"/>
      <c r="V94" s="204"/>
      <c r="W94" s="204"/>
      <c r="X94" s="204"/>
      <c r="Y94" s="204"/>
      <c r="Z94" s="204"/>
      <c r="AA94" s="204"/>
    </row>
    <row r="95" ht="14.25" customHeight="1">
      <c r="A95" s="62"/>
      <c r="B95" s="62"/>
      <c r="C95" s="200"/>
      <c r="D95" s="200"/>
      <c r="E95" s="201"/>
      <c r="F95" s="200"/>
      <c r="G95" s="202"/>
      <c r="H95" s="203"/>
      <c r="I95" s="204"/>
      <c r="J95" s="205" t="n">
        <f t="shared" si="6"/>
        <v>0</v>
      </c>
      <c r="K95" s="203"/>
      <c r="L95" s="204"/>
      <c r="M95" s="205" t="n">
        <f t="shared" si="2"/>
        <v>0</v>
      </c>
      <c r="N95" s="203"/>
      <c r="O95" s="204"/>
      <c r="P95" s="205" t="n">
        <f t="shared" si="3"/>
        <v>0</v>
      </c>
      <c r="Q95" s="203"/>
      <c r="R95" s="204"/>
      <c r="S95" s="205" t="n">
        <f t="shared" si="4"/>
        <v>0</v>
      </c>
      <c r="T95" s="204"/>
      <c r="U95" s="204"/>
      <c r="V95" s="204"/>
      <c r="W95" s="204"/>
      <c r="X95" s="204"/>
      <c r="Y95" s="204"/>
      <c r="Z95" s="204"/>
      <c r="AA95" s="204"/>
    </row>
    <row r="96" ht="14.25" customHeight="1">
      <c r="A96" s="62"/>
      <c r="B96" s="62"/>
      <c r="C96" s="200"/>
      <c r="D96" s="200"/>
      <c r="E96" s="201"/>
      <c r="F96" s="200"/>
      <c r="G96" s="202"/>
      <c r="H96" s="203"/>
      <c r="I96" s="204"/>
      <c r="J96" s="205" t="n">
        <f t="shared" si="6"/>
        <v>0</v>
      </c>
      <c r="K96" s="203"/>
      <c r="L96" s="204"/>
      <c r="M96" s="205" t="n">
        <f t="shared" si="2"/>
        <v>0</v>
      </c>
      <c r="N96" s="203"/>
      <c r="O96" s="204"/>
      <c r="P96" s="205" t="n">
        <f t="shared" si="3"/>
        <v>0</v>
      </c>
      <c r="Q96" s="203"/>
      <c r="R96" s="204"/>
      <c r="S96" s="205" t="n">
        <f t="shared" si="4"/>
        <v>0</v>
      </c>
      <c r="T96" s="204"/>
      <c r="U96" s="204"/>
      <c r="V96" s="204"/>
      <c r="W96" s="204"/>
      <c r="X96" s="204"/>
      <c r="Y96" s="204"/>
      <c r="Z96" s="204"/>
      <c r="AA96" s="204"/>
    </row>
    <row r="97" ht="14.25" customHeight="1">
      <c r="A97" s="62"/>
      <c r="B97" s="62"/>
      <c r="C97" s="200"/>
      <c r="D97" s="200"/>
      <c r="E97" s="201"/>
      <c r="F97" s="200"/>
      <c r="G97" s="202"/>
      <c r="H97" s="203"/>
      <c r="I97" s="204"/>
      <c r="J97" s="205" t="n">
        <f t="shared" si="6"/>
        <v>0</v>
      </c>
      <c r="K97" s="203"/>
      <c r="L97" s="204"/>
      <c r="M97" s="205" t="n">
        <f t="shared" si="2"/>
        <v>0</v>
      </c>
      <c r="N97" s="203"/>
      <c r="O97" s="204"/>
      <c r="P97" s="205" t="n">
        <f t="shared" si="3"/>
        <v>0</v>
      </c>
      <c r="Q97" s="203"/>
      <c r="R97" s="204"/>
      <c r="S97" s="205" t="n">
        <f t="shared" si="4"/>
        <v>0</v>
      </c>
      <c r="T97" s="204"/>
      <c r="U97" s="204"/>
      <c r="V97" s="204"/>
      <c r="W97" s="204"/>
      <c r="X97" s="204"/>
      <c r="Y97" s="204"/>
      <c r="Z97" s="204"/>
      <c r="AA97" s="204"/>
    </row>
    <row r="98" ht="14.25" customHeight="1">
      <c r="A98" s="62"/>
      <c r="B98" s="62"/>
      <c r="C98" s="200"/>
      <c r="D98" s="200"/>
      <c r="E98" s="201"/>
      <c r="F98" s="200"/>
      <c r="G98" s="202"/>
      <c r="H98" s="203"/>
      <c r="I98" s="204"/>
      <c r="J98" s="205" t="n">
        <f t="shared" si="6"/>
        <v>0</v>
      </c>
      <c r="K98" s="203"/>
      <c r="L98" s="204"/>
      <c r="M98" s="205" t="n">
        <f t="shared" si="2"/>
        <v>0</v>
      </c>
      <c r="N98" s="203"/>
      <c r="O98" s="204"/>
      <c r="P98" s="205" t="n">
        <f t="shared" si="3"/>
        <v>0</v>
      </c>
      <c r="Q98" s="203"/>
      <c r="R98" s="204"/>
      <c r="S98" s="205" t="n">
        <f t="shared" si="4"/>
        <v>0</v>
      </c>
      <c r="T98" s="204"/>
      <c r="U98" s="204"/>
      <c r="V98" s="204"/>
      <c r="W98" s="204"/>
      <c r="X98" s="204"/>
      <c r="Y98" s="204"/>
      <c r="Z98" s="204"/>
      <c r="AA98" s="204"/>
    </row>
    <row r="99" ht="14.25" customHeight="1">
      <c r="A99" s="62"/>
      <c r="B99" s="62"/>
      <c r="C99" s="200"/>
      <c r="D99" s="200"/>
      <c r="E99" s="201"/>
      <c r="F99" s="200"/>
      <c r="G99" s="202"/>
      <c r="H99" s="203"/>
      <c r="I99" s="204"/>
      <c r="J99" s="205" t="n">
        <f t="shared" si="6"/>
        <v>0</v>
      </c>
      <c r="K99" s="203"/>
      <c r="L99" s="204"/>
      <c r="M99" s="205" t="n">
        <f t="shared" si="2"/>
        <v>0</v>
      </c>
      <c r="N99" s="203"/>
      <c r="O99" s="204"/>
      <c r="P99" s="205" t="n">
        <f t="shared" si="3"/>
        <v>0</v>
      </c>
      <c r="Q99" s="203"/>
      <c r="R99" s="204"/>
      <c r="S99" s="205" t="n">
        <f t="shared" si="4"/>
        <v>0</v>
      </c>
      <c r="T99" s="204"/>
      <c r="U99" s="204"/>
      <c r="V99" s="204"/>
      <c r="W99" s="204"/>
      <c r="X99" s="204"/>
      <c r="Y99" s="204"/>
      <c r="Z99" s="204"/>
      <c r="AA99" s="204"/>
    </row>
    <row r="100" ht="14.25" customHeight="1">
      <c r="A100" s="62"/>
      <c r="B100" s="62"/>
      <c r="C100" s="200"/>
      <c r="D100" s="200"/>
      <c r="E100" s="201"/>
      <c r="F100" s="200"/>
      <c r="G100" s="202"/>
      <c r="H100" s="203"/>
      <c r="I100" s="204"/>
      <c r="J100" s="205" t="n">
        <f t="shared" si="6"/>
        <v>0</v>
      </c>
      <c r="K100" s="203"/>
      <c r="L100" s="204"/>
      <c r="M100" s="205" t="n">
        <f t="shared" si="2"/>
        <v>0</v>
      </c>
      <c r="N100" s="203"/>
      <c r="O100" s="204"/>
      <c r="P100" s="205" t="n">
        <f t="shared" si="3"/>
        <v>0</v>
      </c>
      <c r="Q100" s="203"/>
      <c r="R100" s="204"/>
      <c r="S100" s="205" t="n">
        <f t="shared" si="4"/>
        <v>0</v>
      </c>
      <c r="T100" s="204"/>
      <c r="U100" s="204"/>
      <c r="V100" s="204"/>
      <c r="W100" s="204"/>
      <c r="X100" s="204"/>
      <c r="Y100" s="204"/>
      <c r="Z100" s="204"/>
      <c r="AA100" s="204"/>
    </row>
    <row r="101" ht="14.25" customHeight="1">
      <c r="A101" s="62"/>
      <c r="B101" s="62"/>
      <c r="C101" s="200"/>
      <c r="D101" s="200"/>
      <c r="E101" s="201"/>
      <c r="F101" s="200"/>
      <c r="G101" s="202"/>
      <c r="H101" s="203"/>
      <c r="I101" s="204"/>
      <c r="J101" s="205" t="n">
        <f t="shared" si="6"/>
        <v>0</v>
      </c>
      <c r="K101" s="203"/>
      <c r="L101" s="204"/>
      <c r="M101" s="205" t="n">
        <f t="shared" si="2"/>
        <v>0</v>
      </c>
      <c r="N101" s="203"/>
      <c r="O101" s="204"/>
      <c r="P101" s="205" t="n">
        <f t="shared" si="3"/>
        <v>0</v>
      </c>
      <c r="Q101" s="203"/>
      <c r="R101" s="204"/>
      <c r="S101" s="205" t="n">
        <f t="shared" si="4"/>
        <v>0</v>
      </c>
      <c r="T101" s="204"/>
      <c r="U101" s="204"/>
      <c r="V101" s="204"/>
      <c r="W101" s="204"/>
      <c r="X101" s="204"/>
      <c r="Y101" s="204"/>
      <c r="Z101" s="204"/>
      <c r="AA101" s="204"/>
    </row>
    <row r="102" ht="14.25" customHeight="1">
      <c r="A102" s="62"/>
      <c r="B102" s="62"/>
      <c r="C102" s="200"/>
      <c r="D102" s="200"/>
      <c r="E102" s="201"/>
      <c r="F102" s="200"/>
      <c r="G102" s="202"/>
      <c r="H102" s="203"/>
      <c r="I102" s="204"/>
      <c r="J102" s="205" t="n">
        <f t="shared" si="6"/>
        <v>0</v>
      </c>
      <c r="K102" s="203"/>
      <c r="L102" s="204"/>
      <c r="M102" s="205" t="n">
        <f t="shared" si="2"/>
        <v>0</v>
      </c>
      <c r="N102" s="203"/>
      <c r="O102" s="204"/>
      <c r="P102" s="205" t="n">
        <f t="shared" si="3"/>
        <v>0</v>
      </c>
      <c r="Q102" s="203"/>
      <c r="R102" s="204"/>
      <c r="S102" s="205" t="n">
        <f t="shared" si="4"/>
        <v>0</v>
      </c>
      <c r="T102" s="204"/>
      <c r="U102" s="204"/>
      <c r="V102" s="204"/>
      <c r="W102" s="204"/>
      <c r="X102" s="204"/>
      <c r="Y102" s="204"/>
      <c r="Z102" s="204"/>
      <c r="AA102" s="204"/>
    </row>
    <row r="103" ht="14.25" customHeight="1">
      <c r="A103" s="62"/>
      <c r="B103" s="62"/>
      <c r="C103" s="200"/>
      <c r="D103" s="200"/>
      <c r="E103" s="201"/>
      <c r="F103" s="200"/>
      <c r="G103" s="202"/>
      <c r="H103" s="203"/>
      <c r="I103" s="204"/>
      <c r="J103" s="205" t="n">
        <f t="shared" si="6"/>
        <v>0</v>
      </c>
      <c r="K103" s="203"/>
      <c r="L103" s="204"/>
      <c r="M103" s="205" t="n">
        <f t="shared" si="2"/>
        <v>0</v>
      </c>
      <c r="N103" s="203"/>
      <c r="O103" s="204"/>
      <c r="P103" s="205" t="n">
        <f t="shared" si="3"/>
        <v>0</v>
      </c>
      <c r="Q103" s="203"/>
      <c r="R103" s="204"/>
      <c r="S103" s="205" t="n">
        <f t="shared" si="4"/>
        <v>0</v>
      </c>
      <c r="T103" s="204"/>
      <c r="U103" s="204"/>
      <c r="V103" s="204"/>
      <c r="W103" s="204"/>
      <c r="X103" s="204"/>
      <c r="Y103" s="204"/>
      <c r="Z103" s="204"/>
      <c r="AA103" s="204"/>
    </row>
    <row r="104" ht="14.25" customHeight="1">
      <c r="A104" s="62"/>
      <c r="B104" s="62"/>
      <c r="C104" s="200"/>
      <c r="D104" s="200"/>
      <c r="E104" s="201"/>
      <c r="F104" s="200"/>
      <c r="G104" s="202"/>
      <c r="H104" s="203"/>
      <c r="I104" s="204"/>
      <c r="J104" s="205" t="n">
        <f t="shared" si="6"/>
        <v>0</v>
      </c>
      <c r="K104" s="203"/>
      <c r="L104" s="204"/>
      <c r="M104" s="205" t="n">
        <f t="shared" si="2"/>
        <v>0</v>
      </c>
      <c r="N104" s="203"/>
      <c r="O104" s="204"/>
      <c r="P104" s="205" t="n">
        <f t="shared" si="3"/>
        <v>0</v>
      </c>
      <c r="Q104" s="203"/>
      <c r="R104" s="204"/>
      <c r="S104" s="205" t="n">
        <f t="shared" si="4"/>
        <v>0</v>
      </c>
      <c r="T104" s="204"/>
      <c r="U104" s="204"/>
      <c r="V104" s="204"/>
      <c r="W104" s="204"/>
      <c r="X104" s="204"/>
      <c r="Y104" s="204"/>
      <c r="Z104" s="204"/>
      <c r="AA104" s="204"/>
    </row>
    <row r="105" ht="14.25" customHeight="1">
      <c r="A105" s="62"/>
      <c r="B105" s="62"/>
      <c r="C105" s="200"/>
      <c r="D105" s="200"/>
      <c r="E105" s="201"/>
      <c r="F105" s="200"/>
      <c r="G105" s="202"/>
      <c r="H105" s="203"/>
      <c r="I105" s="204"/>
      <c r="J105" s="205" t="n">
        <f t="shared" si="6"/>
        <v>0</v>
      </c>
      <c r="K105" s="203"/>
      <c r="L105" s="204"/>
      <c r="M105" s="205" t="n">
        <f t="shared" si="2"/>
        <v>0</v>
      </c>
      <c r="N105" s="203"/>
      <c r="O105" s="204"/>
      <c r="P105" s="205" t="n">
        <f t="shared" si="3"/>
        <v>0</v>
      </c>
      <c r="Q105" s="203"/>
      <c r="R105" s="204"/>
      <c r="S105" s="205" t="n">
        <f t="shared" si="4"/>
        <v>0</v>
      </c>
      <c r="T105" s="204"/>
      <c r="U105" s="204"/>
      <c r="V105" s="204"/>
      <c r="W105" s="204"/>
      <c r="X105" s="204"/>
      <c r="Y105" s="204"/>
      <c r="Z105" s="204"/>
      <c r="AA105" s="204"/>
    </row>
    <row r="106" ht="14.25" customHeight="1">
      <c r="A106" s="62"/>
      <c r="B106" s="62"/>
      <c r="C106" s="200"/>
      <c r="D106" s="200"/>
      <c r="E106" s="201"/>
      <c r="F106" s="200"/>
      <c r="G106" s="202"/>
      <c r="H106" s="203"/>
      <c r="I106" s="204"/>
      <c r="J106" s="205" t="n">
        <f t="shared" si="6"/>
        <v>0</v>
      </c>
      <c r="K106" s="203"/>
      <c r="L106" s="204"/>
      <c r="M106" s="205" t="n">
        <f t="shared" si="2"/>
        <v>0</v>
      </c>
      <c r="N106" s="203"/>
      <c r="O106" s="204"/>
      <c r="P106" s="205" t="n">
        <f t="shared" si="3"/>
        <v>0</v>
      </c>
      <c r="Q106" s="203"/>
      <c r="R106" s="204"/>
      <c r="S106" s="205" t="n">
        <f t="shared" si="4"/>
        <v>0</v>
      </c>
      <c r="T106" s="204"/>
      <c r="U106" s="204"/>
      <c r="V106" s="204"/>
      <c r="W106" s="204"/>
      <c r="X106" s="204"/>
      <c r="Y106" s="204"/>
      <c r="Z106" s="204"/>
      <c r="AA106" s="204"/>
    </row>
    <row r="107" ht="14.25" customHeight="1">
      <c r="A107" s="62"/>
      <c r="B107" s="62"/>
      <c r="C107" s="200"/>
      <c r="D107" s="200"/>
      <c r="E107" s="201"/>
      <c r="F107" s="200"/>
      <c r="G107" s="202"/>
      <c r="H107" s="203"/>
      <c r="I107" s="204"/>
      <c r="J107" s="205" t="n">
        <f t="shared" si="6"/>
        <v>0</v>
      </c>
      <c r="K107" s="203"/>
      <c r="L107" s="204"/>
      <c r="M107" s="205" t="n">
        <f t="shared" si="2"/>
        <v>0</v>
      </c>
      <c r="N107" s="203"/>
      <c r="O107" s="204"/>
      <c r="P107" s="205" t="n">
        <f t="shared" si="3"/>
        <v>0</v>
      </c>
      <c r="Q107" s="203"/>
      <c r="R107" s="204"/>
      <c r="S107" s="205" t="n">
        <f t="shared" si="4"/>
        <v>0</v>
      </c>
      <c r="T107" s="204"/>
      <c r="U107" s="204"/>
      <c r="V107" s="204"/>
      <c r="W107" s="204"/>
      <c r="X107" s="204"/>
      <c r="Y107" s="204"/>
      <c r="Z107" s="204"/>
      <c r="AA107" s="204"/>
    </row>
    <row r="108" ht="14.25" customHeight="1">
      <c r="A108" s="62"/>
      <c r="B108" s="62"/>
      <c r="C108" s="200"/>
      <c r="D108" s="200"/>
      <c r="E108" s="201"/>
      <c r="F108" s="200"/>
      <c r="G108" s="202"/>
      <c r="H108" s="203"/>
      <c r="I108" s="204"/>
      <c r="J108" s="205" t="n">
        <f t="shared" si="6"/>
        <v>0</v>
      </c>
      <c r="K108" s="203"/>
      <c r="L108" s="204"/>
      <c r="M108" s="205" t="n">
        <f t="shared" si="2"/>
        <v>0</v>
      </c>
      <c r="N108" s="203"/>
      <c r="O108" s="204"/>
      <c r="P108" s="205" t="n">
        <f t="shared" si="3"/>
        <v>0</v>
      </c>
      <c r="Q108" s="203"/>
      <c r="R108" s="204"/>
      <c r="S108" s="205" t="n">
        <f t="shared" si="4"/>
        <v>0</v>
      </c>
      <c r="T108" s="204"/>
      <c r="U108" s="204"/>
      <c r="V108" s="204"/>
      <c r="W108" s="204"/>
      <c r="X108" s="204"/>
      <c r="Y108" s="204"/>
      <c r="Z108" s="204"/>
      <c r="AA108" s="204"/>
    </row>
    <row r="109" ht="14.25" customHeight="1">
      <c r="A109" s="62"/>
      <c r="B109" s="62"/>
      <c r="C109" s="200"/>
      <c r="D109" s="200"/>
      <c r="E109" s="201"/>
      <c r="F109" s="200"/>
      <c r="G109" s="202"/>
      <c r="H109" s="203"/>
      <c r="I109" s="204"/>
      <c r="J109" s="205" t="n">
        <f t="shared" si="6"/>
        <v>0</v>
      </c>
      <c r="K109" s="203"/>
      <c r="L109" s="204"/>
      <c r="M109" s="205" t="n">
        <f t="shared" si="2"/>
        <v>0</v>
      </c>
      <c r="N109" s="203"/>
      <c r="O109" s="204"/>
      <c r="P109" s="205" t="n">
        <f t="shared" si="3"/>
        <v>0</v>
      </c>
      <c r="Q109" s="203"/>
      <c r="R109" s="204"/>
      <c r="S109" s="205" t="n">
        <f t="shared" si="4"/>
        <v>0</v>
      </c>
      <c r="T109" s="204"/>
      <c r="U109" s="204"/>
      <c r="V109" s="204"/>
      <c r="W109" s="204"/>
      <c r="X109" s="204"/>
      <c r="Y109" s="204"/>
      <c r="Z109" s="204"/>
      <c r="AA109" s="204"/>
    </row>
    <row r="110" ht="14.25" customHeight="1">
      <c r="A110" s="62"/>
      <c r="B110" s="62"/>
      <c r="C110" s="200"/>
      <c r="D110" s="200"/>
      <c r="E110" s="201"/>
      <c r="F110" s="200"/>
      <c r="G110" s="202"/>
      <c r="H110" s="203"/>
      <c r="I110" s="204"/>
      <c r="J110" s="205" t="n">
        <f t="shared" si="6"/>
        <v>0</v>
      </c>
      <c r="K110" s="203"/>
      <c r="L110" s="204"/>
      <c r="M110" s="205" t="n">
        <f t="shared" si="2"/>
        <v>0</v>
      </c>
      <c r="N110" s="203"/>
      <c r="O110" s="204"/>
      <c r="P110" s="205" t="n">
        <f t="shared" si="3"/>
        <v>0</v>
      </c>
      <c r="Q110" s="203"/>
      <c r="R110" s="204"/>
      <c r="S110" s="205" t="n">
        <f t="shared" si="4"/>
        <v>0</v>
      </c>
      <c r="T110" s="204"/>
      <c r="U110" s="204"/>
      <c r="V110" s="204"/>
      <c r="W110" s="204"/>
      <c r="X110" s="204"/>
      <c r="Y110" s="204"/>
      <c r="Z110" s="204"/>
      <c r="AA110" s="204"/>
    </row>
    <row r="111" ht="14.25" customHeight="1">
      <c r="A111" s="62"/>
      <c r="B111" s="62"/>
      <c r="C111" s="200"/>
      <c r="D111" s="200"/>
      <c r="E111" s="201"/>
      <c r="F111" s="200"/>
      <c r="G111" s="202"/>
      <c r="H111" s="203"/>
      <c r="I111" s="204"/>
      <c r="J111" s="205" t="n">
        <f t="shared" si="6"/>
        <v>0</v>
      </c>
      <c r="K111" s="203"/>
      <c r="L111" s="204"/>
      <c r="M111" s="205" t="n">
        <f t="shared" si="2"/>
        <v>0</v>
      </c>
      <c r="N111" s="203"/>
      <c r="O111" s="204"/>
      <c r="P111" s="205" t="n">
        <f t="shared" si="3"/>
        <v>0</v>
      </c>
      <c r="Q111" s="203"/>
      <c r="R111" s="204"/>
      <c r="S111" s="205" t="n">
        <f t="shared" si="4"/>
        <v>0</v>
      </c>
      <c r="T111" s="204"/>
      <c r="U111" s="204"/>
      <c r="V111" s="204"/>
      <c r="W111" s="204"/>
      <c r="X111" s="204"/>
      <c r="Y111" s="204"/>
      <c r="Z111" s="204"/>
      <c r="AA111" s="204"/>
    </row>
    <row r="112" ht="14.25" customHeight="1">
      <c r="A112" s="62"/>
      <c r="B112" s="62"/>
      <c r="C112" s="200"/>
      <c r="D112" s="200"/>
      <c r="E112" s="201"/>
      <c r="F112" s="200"/>
      <c r="G112" s="202"/>
      <c r="H112" s="203"/>
      <c r="I112" s="204"/>
      <c r="J112" s="205" t="n">
        <f t="shared" si="6"/>
        <v>0</v>
      </c>
      <c r="K112" s="203"/>
      <c r="L112" s="204"/>
      <c r="M112" s="205" t="n">
        <f t="shared" si="2"/>
        <v>0</v>
      </c>
      <c r="N112" s="203"/>
      <c r="O112" s="204"/>
      <c r="P112" s="205" t="n">
        <f t="shared" si="3"/>
        <v>0</v>
      </c>
      <c r="Q112" s="203"/>
      <c r="R112" s="204"/>
      <c r="S112" s="205" t="n">
        <f t="shared" si="4"/>
        <v>0</v>
      </c>
      <c r="T112" s="204"/>
      <c r="U112" s="204"/>
      <c r="V112" s="204"/>
      <c r="W112" s="204"/>
      <c r="X112" s="204"/>
      <c r="Y112" s="204"/>
      <c r="Z112" s="204"/>
      <c r="AA112" s="204"/>
    </row>
    <row r="113" ht="14.25" customHeight="1">
      <c r="A113" s="62"/>
      <c r="B113" s="62"/>
      <c r="C113" s="200"/>
      <c r="D113" s="200"/>
      <c r="E113" s="201"/>
      <c r="F113" s="200"/>
      <c r="G113" s="202"/>
      <c r="H113" s="203"/>
      <c r="I113" s="204"/>
      <c r="J113" s="205" t="n">
        <f t="shared" si="6"/>
        <v>0</v>
      </c>
      <c r="K113" s="203"/>
      <c r="L113" s="204"/>
      <c r="M113" s="205" t="n">
        <f t="shared" si="2"/>
        <v>0</v>
      </c>
      <c r="N113" s="203"/>
      <c r="O113" s="204"/>
      <c r="P113" s="205" t="n">
        <f t="shared" si="3"/>
        <v>0</v>
      </c>
      <c r="Q113" s="203"/>
      <c r="R113" s="204"/>
      <c r="S113" s="205" t="n">
        <f t="shared" si="4"/>
        <v>0</v>
      </c>
      <c r="T113" s="204"/>
      <c r="U113" s="204"/>
      <c r="V113" s="204"/>
      <c r="W113" s="204"/>
      <c r="X113" s="204"/>
      <c r="Y113" s="204"/>
      <c r="Z113" s="204"/>
      <c r="AA113" s="204"/>
    </row>
    <row r="114" ht="14.25" customHeight="1">
      <c r="A114" s="62"/>
      <c r="B114" s="62"/>
      <c r="C114" s="200"/>
      <c r="D114" s="200"/>
      <c r="E114" s="201"/>
      <c r="F114" s="200"/>
      <c r="G114" s="202"/>
      <c r="H114" s="203"/>
      <c r="I114" s="204"/>
      <c r="J114" s="205" t="n">
        <f t="shared" si="6"/>
        <v>0</v>
      </c>
      <c r="K114" s="203"/>
      <c r="L114" s="204"/>
      <c r="M114" s="205" t="n">
        <f t="shared" si="2"/>
        <v>0</v>
      </c>
      <c r="N114" s="203"/>
      <c r="O114" s="204"/>
      <c r="P114" s="205" t="n">
        <f t="shared" si="3"/>
        <v>0</v>
      </c>
      <c r="Q114" s="203"/>
      <c r="R114" s="204"/>
      <c r="S114" s="205" t="n">
        <f t="shared" si="4"/>
        <v>0</v>
      </c>
      <c r="T114" s="204"/>
      <c r="U114" s="204"/>
      <c r="V114" s="204"/>
      <c r="W114" s="204"/>
      <c r="X114" s="204"/>
      <c r="Y114" s="204"/>
      <c r="Z114" s="204"/>
      <c r="AA114" s="204"/>
    </row>
    <row r="115" ht="14.25" customHeight="1">
      <c r="A115" s="62"/>
      <c r="B115" s="62"/>
      <c r="C115" s="200"/>
      <c r="D115" s="200"/>
      <c r="E115" s="201"/>
      <c r="F115" s="200"/>
      <c r="G115" s="202"/>
      <c r="H115" s="203"/>
      <c r="I115" s="204"/>
      <c r="J115" s="205" t="n">
        <f t="shared" si="6"/>
        <v>0</v>
      </c>
      <c r="K115" s="203"/>
      <c r="L115" s="204"/>
      <c r="M115" s="205" t="n">
        <f t="shared" si="2"/>
        <v>0</v>
      </c>
      <c r="N115" s="203"/>
      <c r="O115" s="204"/>
      <c r="P115" s="205" t="n">
        <f t="shared" si="3"/>
        <v>0</v>
      </c>
      <c r="Q115" s="203"/>
      <c r="R115" s="204"/>
      <c r="S115" s="205" t="n">
        <f t="shared" si="4"/>
        <v>0</v>
      </c>
      <c r="T115" s="204"/>
      <c r="U115" s="204"/>
      <c r="V115" s="204"/>
      <c r="W115" s="204"/>
      <c r="X115" s="204"/>
      <c r="Y115" s="204"/>
      <c r="Z115" s="204"/>
      <c r="AA115" s="204"/>
    </row>
    <row r="116" ht="14.25" customHeight="1">
      <c r="A116" s="62"/>
      <c r="B116" s="62"/>
      <c r="C116" s="200"/>
      <c r="D116" s="200"/>
      <c r="E116" s="201"/>
      <c r="F116" s="200"/>
      <c r="G116" s="202"/>
      <c r="H116" s="203"/>
      <c r="I116" s="204"/>
      <c r="J116" s="205" t="n">
        <f t="shared" si="6"/>
        <v>0</v>
      </c>
      <c r="K116" s="203"/>
      <c r="L116" s="204"/>
      <c r="M116" s="205" t="n">
        <f t="shared" si="2"/>
        <v>0</v>
      </c>
      <c r="N116" s="203"/>
      <c r="O116" s="204"/>
      <c r="P116" s="205" t="n">
        <f t="shared" si="3"/>
        <v>0</v>
      </c>
      <c r="Q116" s="203"/>
      <c r="R116" s="204"/>
      <c r="S116" s="205" t="n">
        <f t="shared" si="4"/>
        <v>0</v>
      </c>
      <c r="T116" s="204"/>
      <c r="U116" s="204"/>
      <c r="V116" s="204"/>
      <c r="W116" s="204"/>
      <c r="X116" s="204"/>
      <c r="Y116" s="204"/>
      <c r="Z116" s="204"/>
      <c r="AA116" s="204"/>
    </row>
    <row r="117" ht="14.25" customHeight="1">
      <c r="A117" s="62"/>
      <c r="B117" s="62"/>
      <c r="C117" s="200"/>
      <c r="D117" s="200"/>
      <c r="E117" s="201"/>
      <c r="F117" s="200"/>
      <c r="G117" s="202"/>
      <c r="H117" s="203"/>
      <c r="I117" s="204"/>
      <c r="J117" s="205" t="n">
        <f t="shared" si="6"/>
        <v>0</v>
      </c>
      <c r="K117" s="203"/>
      <c r="L117" s="204"/>
      <c r="M117" s="205" t="n">
        <f t="shared" si="2"/>
        <v>0</v>
      </c>
      <c r="N117" s="203"/>
      <c r="O117" s="204"/>
      <c r="P117" s="205" t="n">
        <f t="shared" si="3"/>
        <v>0</v>
      </c>
      <c r="Q117" s="203"/>
      <c r="R117" s="204"/>
      <c r="S117" s="205" t="n">
        <f t="shared" si="4"/>
        <v>0</v>
      </c>
      <c r="T117" s="204"/>
      <c r="U117" s="204"/>
      <c r="V117" s="204"/>
      <c r="W117" s="204"/>
      <c r="X117" s="204"/>
      <c r="Y117" s="204"/>
      <c r="Z117" s="204"/>
      <c r="AA117" s="204"/>
    </row>
    <row r="118" ht="14.25" customHeight="1">
      <c r="A118" s="62"/>
      <c r="B118" s="62"/>
      <c r="C118" s="200"/>
      <c r="D118" s="200"/>
      <c r="E118" s="201"/>
      <c r="F118" s="200"/>
      <c r="G118" s="202"/>
      <c r="H118" s="203"/>
      <c r="I118" s="204"/>
      <c r="J118" s="205" t="n">
        <f t="shared" si="6"/>
        <v>0</v>
      </c>
      <c r="K118" s="203"/>
      <c r="L118" s="204"/>
      <c r="M118" s="205" t="n">
        <f t="shared" si="2"/>
        <v>0</v>
      </c>
      <c r="N118" s="203"/>
      <c r="O118" s="204"/>
      <c r="P118" s="205" t="n">
        <f t="shared" si="3"/>
        <v>0</v>
      </c>
      <c r="Q118" s="203"/>
      <c r="R118" s="204"/>
      <c r="S118" s="205" t="n">
        <f t="shared" si="4"/>
        <v>0</v>
      </c>
      <c r="T118" s="204"/>
      <c r="U118" s="204"/>
      <c r="V118" s="204"/>
      <c r="W118" s="204"/>
      <c r="X118" s="204"/>
      <c r="Y118" s="204"/>
      <c r="Z118" s="204"/>
      <c r="AA118" s="204"/>
    </row>
    <row r="119" ht="14.25" customHeight="1">
      <c r="A119" s="62"/>
      <c r="B119" s="62"/>
      <c r="C119" s="200"/>
      <c r="D119" s="200"/>
      <c r="E119" s="201"/>
      <c r="F119" s="200"/>
      <c r="G119" s="202"/>
      <c r="H119" s="203"/>
      <c r="I119" s="204"/>
      <c r="J119" s="205" t="n">
        <f t="shared" si="6"/>
        <v>0</v>
      </c>
      <c r="K119" s="203"/>
      <c r="L119" s="204"/>
      <c r="M119" s="205" t="n">
        <f t="shared" si="2"/>
        <v>0</v>
      </c>
      <c r="N119" s="203"/>
      <c r="O119" s="204"/>
      <c r="P119" s="205" t="n">
        <f t="shared" si="3"/>
        <v>0</v>
      </c>
      <c r="Q119" s="203"/>
      <c r="R119" s="204"/>
      <c r="S119" s="205" t="n">
        <f t="shared" si="4"/>
        <v>0</v>
      </c>
      <c r="T119" s="204"/>
      <c r="U119" s="204"/>
      <c r="V119" s="204"/>
      <c r="W119" s="204"/>
      <c r="X119" s="204"/>
      <c r="Y119" s="204"/>
      <c r="Z119" s="204"/>
      <c r="AA119" s="204"/>
    </row>
    <row r="120" ht="14.25" customHeight="1">
      <c r="A120" s="62"/>
      <c r="B120" s="62"/>
      <c r="C120" s="200"/>
      <c r="D120" s="200"/>
      <c r="E120" s="201"/>
      <c r="F120" s="200"/>
      <c r="G120" s="202"/>
      <c r="H120" s="203"/>
      <c r="I120" s="204"/>
      <c r="J120" s="205" t="n">
        <f t="shared" si="6"/>
        <v>0</v>
      </c>
      <c r="K120" s="203"/>
      <c r="L120" s="204"/>
      <c r="M120" s="205" t="n">
        <f t="shared" si="2"/>
        <v>0</v>
      </c>
      <c r="N120" s="203"/>
      <c r="O120" s="204"/>
      <c r="P120" s="205" t="n">
        <f t="shared" si="3"/>
        <v>0</v>
      </c>
      <c r="Q120" s="203"/>
      <c r="R120" s="204"/>
      <c r="S120" s="205" t="n">
        <f t="shared" si="4"/>
        <v>0</v>
      </c>
      <c r="T120" s="204"/>
      <c r="U120" s="204"/>
      <c r="V120" s="204"/>
      <c r="W120" s="204"/>
      <c r="X120" s="204"/>
      <c r="Y120" s="204"/>
      <c r="Z120" s="204"/>
      <c r="AA120" s="204"/>
    </row>
    <row r="121" ht="14.25" customHeight="1">
      <c r="A121" s="62"/>
      <c r="B121" s="62"/>
      <c r="C121" s="200"/>
      <c r="D121" s="200"/>
      <c r="E121" s="201"/>
      <c r="F121" s="200"/>
      <c r="G121" s="202"/>
      <c r="H121" s="203"/>
      <c r="I121" s="204"/>
      <c r="J121" s="205" t="n">
        <f t="shared" si="6"/>
        <v>0</v>
      </c>
      <c r="K121" s="203"/>
      <c r="L121" s="204"/>
      <c r="M121" s="205" t="n">
        <f t="shared" si="2"/>
        <v>0</v>
      </c>
      <c r="N121" s="203"/>
      <c r="O121" s="204"/>
      <c r="P121" s="205" t="n">
        <f t="shared" si="3"/>
        <v>0</v>
      </c>
      <c r="Q121" s="203"/>
      <c r="R121" s="204"/>
      <c r="S121" s="205" t="n">
        <f t="shared" si="4"/>
        <v>0</v>
      </c>
      <c r="T121" s="204"/>
      <c r="U121" s="204"/>
      <c r="V121" s="204"/>
      <c r="W121" s="204"/>
      <c r="X121" s="204"/>
      <c r="Y121" s="204"/>
      <c r="Z121" s="204"/>
      <c r="AA121" s="204"/>
    </row>
    <row r="122" ht="14.25" customHeight="1">
      <c r="A122" s="62"/>
      <c r="B122" s="62"/>
      <c r="C122" s="200"/>
      <c r="D122" s="200"/>
      <c r="E122" s="201"/>
      <c r="F122" s="200"/>
      <c r="G122" s="202"/>
      <c r="H122" s="203"/>
      <c r="I122" s="204"/>
      <c r="J122" s="205" t="n">
        <f t="shared" si="6"/>
        <v>0</v>
      </c>
      <c r="K122" s="203"/>
      <c r="L122" s="204"/>
      <c r="M122" s="205" t="n">
        <f t="shared" si="2"/>
        <v>0</v>
      </c>
      <c r="N122" s="203"/>
      <c r="O122" s="204"/>
      <c r="P122" s="205" t="n">
        <f t="shared" si="3"/>
        <v>0</v>
      </c>
      <c r="Q122" s="203"/>
      <c r="R122" s="204"/>
      <c r="S122" s="205" t="n">
        <f t="shared" si="4"/>
        <v>0</v>
      </c>
      <c r="T122" s="204"/>
      <c r="U122" s="204"/>
      <c r="V122" s="204"/>
      <c r="W122" s="204"/>
      <c r="X122" s="204"/>
      <c r="Y122" s="204"/>
      <c r="Z122" s="204"/>
      <c r="AA122" s="204"/>
    </row>
    <row r="123" ht="14.25" customHeight="1">
      <c r="A123" s="62"/>
      <c r="B123" s="62"/>
      <c r="C123" s="200"/>
      <c r="D123" s="200"/>
      <c r="E123" s="201"/>
      <c r="F123" s="200"/>
      <c r="G123" s="202"/>
      <c r="H123" s="203"/>
      <c r="I123" s="204"/>
      <c r="J123" s="205" t="n">
        <f t="shared" si="6"/>
        <v>0</v>
      </c>
      <c r="K123" s="203"/>
      <c r="L123" s="204"/>
      <c r="M123" s="205" t="n">
        <f t="shared" si="2"/>
        <v>0</v>
      </c>
      <c r="N123" s="203"/>
      <c r="O123" s="204"/>
      <c r="P123" s="205" t="n">
        <f t="shared" si="3"/>
        <v>0</v>
      </c>
      <c r="Q123" s="203"/>
      <c r="R123" s="204"/>
      <c r="S123" s="205" t="n">
        <f t="shared" si="4"/>
        <v>0</v>
      </c>
      <c r="T123" s="204"/>
      <c r="U123" s="204"/>
      <c r="V123" s="204"/>
      <c r="W123" s="204"/>
      <c r="X123" s="204"/>
      <c r="Y123" s="204"/>
      <c r="Z123" s="204"/>
      <c r="AA123" s="204"/>
    </row>
    <row r="124" ht="14.25" customHeight="1">
      <c r="A124" s="62"/>
      <c r="B124" s="62"/>
      <c r="C124" s="200"/>
      <c r="D124" s="200"/>
      <c r="E124" s="201"/>
      <c r="F124" s="200"/>
      <c r="G124" s="202"/>
      <c r="H124" s="203"/>
      <c r="I124" s="204"/>
      <c r="J124" s="205" t="n">
        <f t="shared" si="6"/>
        <v>0</v>
      </c>
      <c r="K124" s="203"/>
      <c r="L124" s="204"/>
      <c r="M124" s="205" t="n">
        <f t="shared" si="2"/>
        <v>0</v>
      </c>
      <c r="N124" s="203"/>
      <c r="O124" s="204"/>
      <c r="P124" s="205" t="n">
        <f t="shared" si="3"/>
        <v>0</v>
      </c>
      <c r="Q124" s="203"/>
      <c r="R124" s="204"/>
      <c r="S124" s="205" t="n">
        <f t="shared" si="4"/>
        <v>0</v>
      </c>
      <c r="T124" s="204"/>
      <c r="U124" s="204"/>
      <c r="V124" s="204"/>
      <c r="W124" s="204"/>
      <c r="X124" s="204"/>
      <c r="Y124" s="204"/>
      <c r="Z124" s="204"/>
      <c r="AA124" s="204"/>
    </row>
    <row r="125" ht="14.25" customHeight="1">
      <c r="A125" s="62"/>
      <c r="B125" s="62"/>
      <c r="C125" s="200"/>
      <c r="D125" s="200"/>
      <c r="E125" s="201"/>
      <c r="F125" s="200"/>
      <c r="G125" s="202"/>
      <c r="H125" s="203"/>
      <c r="I125" s="204"/>
      <c r="J125" s="205" t="n">
        <f t="shared" si="6"/>
        <v>0</v>
      </c>
      <c r="K125" s="203"/>
      <c r="L125" s="204"/>
      <c r="M125" s="205" t="n">
        <f t="shared" si="2"/>
        <v>0</v>
      </c>
      <c r="N125" s="203"/>
      <c r="O125" s="204"/>
      <c r="P125" s="205" t="n">
        <f t="shared" si="3"/>
        <v>0</v>
      </c>
      <c r="Q125" s="203"/>
      <c r="R125" s="204"/>
      <c r="S125" s="205" t="n">
        <f t="shared" si="4"/>
        <v>0</v>
      </c>
      <c r="T125" s="204"/>
      <c r="U125" s="204"/>
      <c r="V125" s="204"/>
      <c r="W125" s="204"/>
      <c r="X125" s="204"/>
      <c r="Y125" s="204"/>
      <c r="Z125" s="204"/>
      <c r="AA125" s="204"/>
    </row>
    <row r="126" ht="14.25" customHeight="1">
      <c r="A126" s="62"/>
      <c r="B126" s="62"/>
      <c r="C126" s="200"/>
      <c r="D126" s="200"/>
      <c r="E126" s="201"/>
      <c r="F126" s="200"/>
      <c r="G126" s="202"/>
      <c r="H126" s="203"/>
      <c r="I126" s="204"/>
      <c r="J126" s="205" t="n">
        <f t="shared" si="6"/>
        <v>0</v>
      </c>
      <c r="K126" s="203"/>
      <c r="L126" s="204"/>
      <c r="M126" s="205" t="n">
        <f t="shared" si="2"/>
        <v>0</v>
      </c>
      <c r="N126" s="203"/>
      <c r="O126" s="204"/>
      <c r="P126" s="205" t="n">
        <f t="shared" si="3"/>
        <v>0</v>
      </c>
      <c r="Q126" s="203"/>
      <c r="R126" s="204"/>
      <c r="S126" s="205" t="n">
        <f t="shared" si="4"/>
        <v>0</v>
      </c>
      <c r="T126" s="204"/>
      <c r="U126" s="204"/>
      <c r="V126" s="204"/>
      <c r="W126" s="204"/>
      <c r="X126" s="204"/>
      <c r="Y126" s="204"/>
      <c r="Z126" s="204"/>
      <c r="AA126" s="204"/>
    </row>
    <row r="127" ht="14.25" customHeight="1">
      <c r="A127" s="62"/>
      <c r="B127" s="62"/>
      <c r="C127" s="200"/>
      <c r="D127" s="200"/>
      <c r="E127" s="201"/>
      <c r="F127" s="200"/>
      <c r="G127" s="202"/>
      <c r="H127" s="203"/>
      <c r="I127" s="204"/>
      <c r="J127" s="205" t="n">
        <f t="shared" si="6"/>
        <v>0</v>
      </c>
      <c r="K127" s="203"/>
      <c r="L127" s="204"/>
      <c r="M127" s="205" t="n">
        <f t="shared" si="2"/>
        <v>0</v>
      </c>
      <c r="N127" s="203"/>
      <c r="O127" s="204"/>
      <c r="P127" s="205" t="n">
        <f t="shared" si="3"/>
        <v>0</v>
      </c>
      <c r="Q127" s="203"/>
      <c r="R127" s="204"/>
      <c r="S127" s="205" t="n">
        <f t="shared" si="4"/>
        <v>0</v>
      </c>
      <c r="T127" s="204"/>
      <c r="U127" s="204"/>
      <c r="V127" s="204"/>
      <c r="W127" s="204"/>
      <c r="X127" s="204"/>
      <c r="Y127" s="204"/>
      <c r="Z127" s="204"/>
      <c r="AA127" s="204"/>
    </row>
    <row r="128" ht="14.25" customHeight="1">
      <c r="A128" s="62"/>
      <c r="B128" s="62"/>
      <c r="C128" s="200"/>
      <c r="D128" s="200"/>
      <c r="E128" s="201"/>
      <c r="F128" s="200"/>
      <c r="G128" s="202"/>
      <c r="H128" s="203"/>
      <c r="I128" s="204"/>
      <c r="J128" s="205" t="n">
        <f t="shared" si="6"/>
        <v>0</v>
      </c>
      <c r="K128" s="203"/>
      <c r="L128" s="204"/>
      <c r="M128" s="205" t="n">
        <f t="shared" si="2"/>
        <v>0</v>
      </c>
      <c r="N128" s="203"/>
      <c r="O128" s="204"/>
      <c r="P128" s="205" t="n">
        <f t="shared" si="3"/>
        <v>0</v>
      </c>
      <c r="Q128" s="203"/>
      <c r="R128" s="204"/>
      <c r="S128" s="205" t="n">
        <f t="shared" si="4"/>
        <v>0</v>
      </c>
      <c r="T128" s="204"/>
      <c r="U128" s="204"/>
      <c r="V128" s="204"/>
      <c r="W128" s="204"/>
      <c r="X128" s="204"/>
      <c r="Y128" s="204"/>
      <c r="Z128" s="204"/>
      <c r="AA128" s="204"/>
    </row>
    <row r="129" ht="14.25" customHeight="1">
      <c r="A129" s="62"/>
      <c r="B129" s="62"/>
      <c r="C129" s="200"/>
      <c r="D129" s="200"/>
      <c r="E129" s="201"/>
      <c r="F129" s="200"/>
      <c r="G129" s="202"/>
      <c r="H129" s="203"/>
      <c r="I129" s="204"/>
      <c r="J129" s="205" t="n">
        <f t="shared" si="6"/>
        <v>0</v>
      </c>
      <c r="K129" s="203"/>
      <c r="L129" s="204"/>
      <c r="M129" s="205" t="n">
        <f t="shared" si="2"/>
        <v>0</v>
      </c>
      <c r="N129" s="203"/>
      <c r="O129" s="204"/>
      <c r="P129" s="205" t="n">
        <f t="shared" si="3"/>
        <v>0</v>
      </c>
      <c r="Q129" s="203"/>
      <c r="R129" s="204"/>
      <c r="S129" s="205" t="n">
        <f t="shared" si="4"/>
        <v>0</v>
      </c>
      <c r="T129" s="204"/>
      <c r="U129" s="204"/>
      <c r="V129" s="204"/>
      <c r="W129" s="204"/>
      <c r="X129" s="204"/>
      <c r="Y129" s="204"/>
      <c r="Z129" s="204"/>
      <c r="AA129" s="204"/>
    </row>
    <row r="130" ht="14.25" customHeight="1">
      <c r="A130" s="62"/>
      <c r="B130" s="62"/>
      <c r="C130" s="200"/>
      <c r="D130" s="200"/>
      <c r="E130" s="201"/>
      <c r="F130" s="200"/>
      <c r="G130" s="202"/>
      <c r="H130" s="203"/>
      <c r="I130" s="204"/>
      <c r="J130" s="205" t="n">
        <f t="shared" si="6"/>
        <v>0</v>
      </c>
      <c r="K130" s="203"/>
      <c r="L130" s="204"/>
      <c r="M130" s="205" t="n">
        <f t="shared" si="2"/>
        <v>0</v>
      </c>
      <c r="N130" s="203"/>
      <c r="O130" s="204"/>
      <c r="P130" s="205" t="n">
        <f t="shared" si="3"/>
        <v>0</v>
      </c>
      <c r="Q130" s="203"/>
      <c r="R130" s="204"/>
      <c r="S130" s="205" t="n">
        <f t="shared" si="4"/>
        <v>0</v>
      </c>
      <c r="T130" s="204"/>
      <c r="U130" s="204"/>
      <c r="V130" s="204"/>
      <c r="W130" s="204"/>
      <c r="X130" s="204"/>
      <c r="Y130" s="204"/>
      <c r="Z130" s="204"/>
      <c r="AA130" s="204"/>
    </row>
    <row r="131" ht="14.25" customHeight="1">
      <c r="A131" s="62"/>
      <c r="B131" s="62"/>
      <c r="C131" s="200"/>
      <c r="D131" s="200"/>
      <c r="E131" s="201"/>
      <c r="F131" s="200"/>
      <c r="G131" s="202"/>
      <c r="H131" s="203"/>
      <c r="I131" s="204"/>
      <c r="J131" s="205" t="n">
        <f t="shared" si="6"/>
        <v>0</v>
      </c>
      <c r="K131" s="203"/>
      <c r="L131" s="204"/>
      <c r="M131" s="205" t="n">
        <f t="shared" si="2"/>
        <v>0</v>
      </c>
      <c r="N131" s="203"/>
      <c r="O131" s="204"/>
      <c r="P131" s="205" t="n">
        <f t="shared" si="3"/>
        <v>0</v>
      </c>
      <c r="Q131" s="203"/>
      <c r="R131" s="204"/>
      <c r="S131" s="205" t="n">
        <f t="shared" si="4"/>
        <v>0</v>
      </c>
      <c r="T131" s="204"/>
      <c r="U131" s="204"/>
      <c r="V131" s="204"/>
      <c r="W131" s="204"/>
      <c r="X131" s="204"/>
      <c r="Y131" s="204"/>
      <c r="Z131" s="204"/>
      <c r="AA131" s="204"/>
    </row>
    <row r="132" ht="14.25" customHeight="1">
      <c r="A132" s="62"/>
      <c r="B132" s="62"/>
      <c r="C132" s="200"/>
      <c r="D132" s="200"/>
      <c r="E132" s="201"/>
      <c r="F132" s="200"/>
      <c r="G132" s="202"/>
      <c r="H132" s="203"/>
      <c r="I132" s="204"/>
      <c r="J132" s="205" t="n">
        <f t="shared" si="6"/>
        <v>0</v>
      </c>
      <c r="K132" s="203"/>
      <c r="L132" s="204"/>
      <c r="M132" s="205" t="n">
        <f t="shared" si="2"/>
        <v>0</v>
      </c>
      <c r="N132" s="203"/>
      <c r="O132" s="204"/>
      <c r="P132" s="205" t="n">
        <f t="shared" si="3"/>
        <v>0</v>
      </c>
      <c r="Q132" s="203"/>
      <c r="R132" s="204"/>
      <c r="S132" s="205" t="n">
        <f t="shared" si="4"/>
        <v>0</v>
      </c>
      <c r="T132" s="204"/>
      <c r="U132" s="204"/>
      <c r="V132" s="204"/>
      <c r="W132" s="204"/>
      <c r="X132" s="204"/>
      <c r="Y132" s="204"/>
      <c r="Z132" s="204"/>
      <c r="AA132" s="204"/>
    </row>
    <row r="133" ht="14.25" customHeight="1">
      <c r="A133" s="62"/>
      <c r="B133" s="62"/>
      <c r="C133" s="200"/>
      <c r="D133" s="200"/>
      <c r="E133" s="201"/>
      <c r="F133" s="200"/>
      <c r="G133" s="202"/>
      <c r="H133" s="203"/>
      <c r="I133" s="204"/>
      <c r="J133" s="205" t="n">
        <f t="shared" si="6"/>
        <v>0</v>
      </c>
      <c r="K133" s="203"/>
      <c r="L133" s="204"/>
      <c r="M133" s="205" t="n">
        <f t="shared" si="2"/>
        <v>0</v>
      </c>
      <c r="N133" s="203"/>
      <c r="O133" s="204"/>
      <c r="P133" s="205" t="n">
        <f t="shared" si="3"/>
        <v>0</v>
      </c>
      <c r="Q133" s="203"/>
      <c r="R133" s="204"/>
      <c r="S133" s="205" t="n">
        <f t="shared" si="4"/>
        <v>0</v>
      </c>
      <c r="T133" s="204"/>
      <c r="U133" s="204"/>
      <c r="V133" s="204"/>
      <c r="W133" s="204"/>
      <c r="X133" s="204"/>
      <c r="Y133" s="204"/>
      <c r="Z133" s="204"/>
      <c r="AA133" s="204"/>
    </row>
    <row r="134" ht="14.25" customHeight="1">
      <c r="A134" s="62"/>
      <c r="B134" s="62"/>
      <c r="C134" s="200"/>
      <c r="D134" s="200"/>
      <c r="E134" s="201"/>
      <c r="F134" s="200"/>
      <c r="G134" s="202"/>
      <c r="H134" s="203"/>
      <c r="I134" s="204"/>
      <c r="J134" s="205" t="n">
        <f t="shared" si="6"/>
        <v>0</v>
      </c>
      <c r="K134" s="203"/>
      <c r="L134" s="204"/>
      <c r="M134" s="205" t="n">
        <f t="shared" si="2"/>
        <v>0</v>
      </c>
      <c r="N134" s="203"/>
      <c r="O134" s="204"/>
      <c r="P134" s="205" t="n">
        <f t="shared" si="3"/>
        <v>0</v>
      </c>
      <c r="Q134" s="203"/>
      <c r="R134" s="204"/>
      <c r="S134" s="205" t="n">
        <f t="shared" si="4"/>
        <v>0</v>
      </c>
      <c r="T134" s="204"/>
      <c r="U134" s="204"/>
      <c r="V134" s="204"/>
      <c r="W134" s="204"/>
      <c r="X134" s="204"/>
      <c r="Y134" s="204"/>
      <c r="Z134" s="204"/>
      <c r="AA134" s="204"/>
    </row>
    <row r="135" ht="14.25" customHeight="1">
      <c r="A135" s="62"/>
      <c r="B135" s="62"/>
      <c r="C135" s="200"/>
      <c r="D135" s="200"/>
      <c r="E135" s="201"/>
      <c r="F135" s="200"/>
      <c r="G135" s="202"/>
      <c r="H135" s="203"/>
      <c r="I135" s="204"/>
      <c r="J135" s="205" t="n">
        <f t="shared" si="6"/>
        <v>0</v>
      </c>
      <c r="K135" s="203"/>
      <c r="L135" s="204"/>
      <c r="M135" s="205" t="n">
        <f t="shared" si="2"/>
        <v>0</v>
      </c>
      <c r="N135" s="203"/>
      <c r="O135" s="204"/>
      <c r="P135" s="205" t="n">
        <f t="shared" si="3"/>
        <v>0</v>
      </c>
      <c r="Q135" s="203"/>
      <c r="R135" s="204"/>
      <c r="S135" s="205" t="n">
        <f t="shared" si="4"/>
        <v>0</v>
      </c>
      <c r="T135" s="204"/>
      <c r="U135" s="204"/>
      <c r="V135" s="204"/>
      <c r="W135" s="204"/>
      <c r="X135" s="204"/>
      <c r="Y135" s="204"/>
      <c r="Z135" s="204"/>
      <c r="AA135" s="204"/>
    </row>
    <row r="136" ht="14.25" customHeight="1">
      <c r="A136" s="62"/>
      <c r="B136" s="62"/>
      <c r="C136" s="200"/>
      <c r="D136" s="200"/>
      <c r="E136" s="201"/>
      <c r="F136" s="200"/>
      <c r="G136" s="202"/>
      <c r="H136" s="203"/>
      <c r="I136" s="204"/>
      <c r="J136" s="205" t="n">
        <f t="shared" si="6"/>
        <v>0</v>
      </c>
      <c r="K136" s="203"/>
      <c r="L136" s="204"/>
      <c r="M136" s="205" t="n">
        <f t="shared" si="2"/>
        <v>0</v>
      </c>
      <c r="N136" s="203"/>
      <c r="O136" s="204"/>
      <c r="P136" s="205" t="n">
        <f t="shared" si="3"/>
        <v>0</v>
      </c>
      <c r="Q136" s="203"/>
      <c r="R136" s="204"/>
      <c r="S136" s="205" t="n">
        <f t="shared" si="4"/>
        <v>0</v>
      </c>
      <c r="T136" s="204"/>
      <c r="U136" s="204"/>
      <c r="V136" s="204"/>
      <c r="W136" s="204"/>
      <c r="X136" s="204"/>
      <c r="Y136" s="204"/>
      <c r="Z136" s="204"/>
      <c r="AA136" s="204"/>
    </row>
    <row r="137" ht="14.25" customHeight="1">
      <c r="A137" s="62"/>
      <c r="B137" s="62"/>
      <c r="C137" s="200"/>
      <c r="D137" s="200"/>
      <c r="E137" s="201"/>
      <c r="F137" s="200"/>
      <c r="G137" s="202"/>
      <c r="H137" s="203"/>
      <c r="I137" s="204"/>
      <c r="J137" s="205" t="n">
        <f t="shared" si="6"/>
        <v>0</v>
      </c>
      <c r="K137" s="203"/>
      <c r="L137" s="204"/>
      <c r="M137" s="205" t="n">
        <f t="shared" si="2"/>
        <v>0</v>
      </c>
      <c r="N137" s="203"/>
      <c r="O137" s="204"/>
      <c r="P137" s="205" t="n">
        <f t="shared" si="3"/>
        <v>0</v>
      </c>
      <c r="Q137" s="203"/>
      <c r="R137" s="204"/>
      <c r="S137" s="205" t="n">
        <f t="shared" si="4"/>
        <v>0</v>
      </c>
      <c r="T137" s="204"/>
      <c r="U137" s="204"/>
      <c r="V137" s="204"/>
      <c r="W137" s="204"/>
      <c r="X137" s="204"/>
      <c r="Y137" s="204"/>
      <c r="Z137" s="204"/>
      <c r="AA137" s="204"/>
    </row>
    <row r="138" ht="14.25" customHeight="1">
      <c r="A138" s="62"/>
      <c r="B138" s="62"/>
      <c r="C138" s="200"/>
      <c r="D138" s="200"/>
      <c r="E138" s="201"/>
      <c r="F138" s="200"/>
      <c r="G138" s="202"/>
      <c r="H138" s="203"/>
      <c r="I138" s="204"/>
      <c r="J138" s="205" t="n">
        <f t="shared" si="6"/>
        <v>0</v>
      </c>
      <c r="K138" s="203"/>
      <c r="L138" s="204"/>
      <c r="M138" s="205" t="n">
        <f t="shared" si="2"/>
        <v>0</v>
      </c>
      <c r="N138" s="203"/>
      <c r="O138" s="204"/>
      <c r="P138" s="205" t="n">
        <f t="shared" si="3"/>
        <v>0</v>
      </c>
      <c r="Q138" s="203"/>
      <c r="R138" s="204"/>
      <c r="S138" s="205" t="n">
        <f t="shared" si="4"/>
        <v>0</v>
      </c>
      <c r="T138" s="204"/>
      <c r="U138" s="204"/>
      <c r="V138" s="204"/>
      <c r="W138" s="204"/>
      <c r="X138" s="204"/>
      <c r="Y138" s="204"/>
      <c r="Z138" s="204"/>
      <c r="AA138" s="204"/>
    </row>
    <row r="139" ht="14.25" customHeight="1">
      <c r="A139" s="62"/>
      <c r="B139" s="62"/>
      <c r="C139" s="200"/>
      <c r="D139" s="200"/>
      <c r="E139" s="201"/>
      <c r="F139" s="200"/>
      <c r="G139" s="202"/>
      <c r="H139" s="203"/>
      <c r="I139" s="204"/>
      <c r="J139" s="205" t="n">
        <f t="shared" si="6"/>
        <v>0</v>
      </c>
      <c r="K139" s="203"/>
      <c r="L139" s="204"/>
      <c r="M139" s="205" t="n">
        <f t="shared" si="2"/>
        <v>0</v>
      </c>
      <c r="N139" s="203"/>
      <c r="O139" s="204"/>
      <c r="P139" s="205" t="n">
        <f t="shared" si="3"/>
        <v>0</v>
      </c>
      <c r="Q139" s="203"/>
      <c r="R139" s="204"/>
      <c r="S139" s="205" t="n">
        <f t="shared" si="4"/>
        <v>0</v>
      </c>
      <c r="T139" s="204"/>
      <c r="U139" s="204"/>
      <c r="V139" s="204"/>
      <c r="W139" s="204"/>
      <c r="X139" s="204"/>
      <c r="Y139" s="204"/>
      <c r="Z139" s="204"/>
      <c r="AA139" s="204"/>
    </row>
    <row r="140" ht="14.25" customHeight="1">
      <c r="A140" s="62"/>
      <c r="B140" s="62"/>
      <c r="C140" s="200"/>
      <c r="D140" s="200"/>
      <c r="E140" s="201"/>
      <c r="F140" s="200"/>
      <c r="G140" s="202"/>
      <c r="H140" s="203"/>
      <c r="I140" s="204"/>
      <c r="J140" s="205" t="n">
        <f t="shared" si="6"/>
        <v>0</v>
      </c>
      <c r="K140" s="203"/>
      <c r="L140" s="204"/>
      <c r="M140" s="205" t="n">
        <f t="shared" si="2"/>
        <v>0</v>
      </c>
      <c r="N140" s="203"/>
      <c r="O140" s="204"/>
      <c r="P140" s="205" t="n">
        <f t="shared" si="3"/>
        <v>0</v>
      </c>
      <c r="Q140" s="203"/>
      <c r="R140" s="204"/>
      <c r="S140" s="205" t="n">
        <f t="shared" si="4"/>
        <v>0</v>
      </c>
      <c r="T140" s="204"/>
      <c r="U140" s="204"/>
      <c r="V140" s="204"/>
      <c r="W140" s="204"/>
      <c r="X140" s="204"/>
      <c r="Y140" s="204"/>
      <c r="Z140" s="204"/>
      <c r="AA140" s="204"/>
    </row>
    <row r="141" ht="14.25" customHeight="1">
      <c r="A141" s="62"/>
      <c r="B141" s="62"/>
      <c r="C141" s="200"/>
      <c r="D141" s="200"/>
      <c r="E141" s="201"/>
      <c r="F141" s="200"/>
      <c r="G141" s="202"/>
      <c r="H141" s="203"/>
      <c r="I141" s="204"/>
      <c r="J141" s="205" t="n">
        <f t="shared" si="6"/>
        <v>0</v>
      </c>
      <c r="K141" s="203"/>
      <c r="L141" s="204"/>
      <c r="M141" s="205" t="n">
        <f t="shared" si="2"/>
        <v>0</v>
      </c>
      <c r="N141" s="203"/>
      <c r="O141" s="204"/>
      <c r="P141" s="205" t="n">
        <f t="shared" si="3"/>
        <v>0</v>
      </c>
      <c r="Q141" s="203"/>
      <c r="R141" s="204"/>
      <c r="S141" s="205" t="n">
        <f t="shared" si="4"/>
        <v>0</v>
      </c>
      <c r="T141" s="204"/>
      <c r="U141" s="204"/>
      <c r="V141" s="204"/>
      <c r="W141" s="204"/>
      <c r="X141" s="204"/>
      <c r="Y141" s="204"/>
      <c r="Z141" s="204"/>
      <c r="AA141" s="204"/>
    </row>
    <row r="142" ht="14.25" customHeight="1">
      <c r="A142" s="62"/>
      <c r="B142" s="62"/>
      <c r="C142" s="200"/>
      <c r="D142" s="200"/>
      <c r="E142" s="201"/>
      <c r="F142" s="200"/>
      <c r="G142" s="202"/>
      <c r="H142" s="203"/>
      <c r="I142" s="204"/>
      <c r="J142" s="205" t="n">
        <f t="shared" si="6"/>
        <v>0</v>
      </c>
      <c r="K142" s="203"/>
      <c r="L142" s="204"/>
      <c r="M142" s="205" t="n">
        <f t="shared" si="2"/>
        <v>0</v>
      </c>
      <c r="N142" s="203"/>
      <c r="O142" s="204"/>
      <c r="P142" s="205" t="n">
        <f t="shared" si="3"/>
        <v>0</v>
      </c>
      <c r="Q142" s="203"/>
      <c r="R142" s="204"/>
      <c r="S142" s="205" t="n">
        <f t="shared" si="4"/>
        <v>0</v>
      </c>
      <c r="T142" s="204"/>
      <c r="U142" s="204"/>
      <c r="V142" s="204"/>
      <c r="W142" s="204"/>
      <c r="X142" s="204"/>
      <c r="Y142" s="204"/>
      <c r="Z142" s="204"/>
      <c r="AA142" s="204"/>
    </row>
    <row r="143" ht="14.25" customHeight="1">
      <c r="A143" s="62"/>
      <c r="B143" s="62"/>
      <c r="C143" s="200"/>
      <c r="D143" s="200"/>
      <c r="E143" s="201"/>
      <c r="F143" s="200"/>
      <c r="G143" s="202"/>
      <c r="H143" s="203"/>
      <c r="I143" s="204"/>
      <c r="J143" s="205" t="n">
        <f t="shared" si="6"/>
        <v>0</v>
      </c>
      <c r="K143" s="203"/>
      <c r="L143" s="204"/>
      <c r="M143" s="205" t="n">
        <f t="shared" si="2"/>
        <v>0</v>
      </c>
      <c r="N143" s="203"/>
      <c r="O143" s="204"/>
      <c r="P143" s="205" t="n">
        <f t="shared" si="3"/>
        <v>0</v>
      </c>
      <c r="Q143" s="203"/>
      <c r="R143" s="204"/>
      <c r="S143" s="205" t="n">
        <f t="shared" si="4"/>
        <v>0</v>
      </c>
      <c r="T143" s="204"/>
      <c r="U143" s="204"/>
      <c r="V143" s="204"/>
      <c r="W143" s="204"/>
      <c r="X143" s="204"/>
      <c r="Y143" s="204"/>
      <c r="Z143" s="204"/>
      <c r="AA143" s="204"/>
    </row>
    <row r="144" ht="14.25" customHeight="1">
      <c r="A144" s="62"/>
      <c r="B144" s="62"/>
      <c r="C144" s="200"/>
      <c r="D144" s="200"/>
      <c r="E144" s="201"/>
      <c r="F144" s="200"/>
      <c r="G144" s="202"/>
      <c r="H144" s="203"/>
      <c r="I144" s="204"/>
      <c r="J144" s="205" t="n">
        <f t="shared" si="6"/>
        <v>0</v>
      </c>
      <c r="K144" s="203"/>
      <c r="L144" s="204"/>
      <c r="M144" s="205" t="n">
        <f t="shared" si="2"/>
        <v>0</v>
      </c>
      <c r="N144" s="203"/>
      <c r="O144" s="204"/>
      <c r="P144" s="205" t="n">
        <f t="shared" si="3"/>
        <v>0</v>
      </c>
      <c r="Q144" s="203"/>
      <c r="R144" s="204"/>
      <c r="S144" s="205" t="n">
        <f t="shared" si="4"/>
        <v>0</v>
      </c>
      <c r="T144" s="204"/>
      <c r="U144" s="204"/>
      <c r="V144" s="204"/>
      <c r="W144" s="204"/>
      <c r="X144" s="204"/>
      <c r="Y144" s="204"/>
      <c r="Z144" s="204"/>
      <c r="AA144" s="204"/>
    </row>
    <row r="145" ht="14.25" customHeight="1">
      <c r="A145" s="62"/>
      <c r="B145" s="62"/>
      <c r="C145" s="200"/>
      <c r="D145" s="200"/>
      <c r="E145" s="201"/>
      <c r="F145" s="200"/>
      <c r="G145" s="202"/>
      <c r="H145" s="203"/>
      <c r="I145" s="204"/>
      <c r="J145" s="205" t="n">
        <f t="shared" si="6"/>
        <v>0</v>
      </c>
      <c r="K145" s="203"/>
      <c r="L145" s="204"/>
      <c r="M145" s="205" t="n">
        <f t="shared" si="2"/>
        <v>0</v>
      </c>
      <c r="N145" s="203"/>
      <c r="O145" s="204"/>
      <c r="P145" s="205" t="n">
        <f t="shared" si="3"/>
        <v>0</v>
      </c>
      <c r="Q145" s="203"/>
      <c r="R145" s="204"/>
      <c r="S145" s="205" t="n">
        <f t="shared" si="4"/>
        <v>0</v>
      </c>
      <c r="T145" s="204"/>
      <c r="U145" s="204"/>
      <c r="V145" s="204"/>
      <c r="W145" s="204"/>
      <c r="X145" s="204"/>
      <c r="Y145" s="204"/>
      <c r="Z145" s="204"/>
      <c r="AA145" s="204"/>
    </row>
    <row r="146" ht="14.25" customHeight="1">
      <c r="A146" s="62"/>
      <c r="B146" s="62"/>
      <c r="C146" s="200"/>
      <c r="D146" s="200"/>
      <c r="E146" s="201"/>
      <c r="F146" s="200"/>
      <c r="G146" s="202"/>
      <c r="H146" s="203"/>
      <c r="I146" s="204"/>
      <c r="J146" s="205" t="n">
        <f t="shared" si="6"/>
        <v>0</v>
      </c>
      <c r="K146" s="203"/>
      <c r="L146" s="204"/>
      <c r="M146" s="205" t="n">
        <f t="shared" si="2"/>
        <v>0</v>
      </c>
      <c r="N146" s="203"/>
      <c r="O146" s="204"/>
      <c r="P146" s="205" t="n">
        <f t="shared" si="3"/>
        <v>0</v>
      </c>
      <c r="Q146" s="203"/>
      <c r="R146" s="204"/>
      <c r="S146" s="205" t="n">
        <f t="shared" si="4"/>
        <v>0</v>
      </c>
      <c r="T146" s="204"/>
      <c r="U146" s="204"/>
      <c r="V146" s="204"/>
      <c r="W146" s="204"/>
      <c r="X146" s="204"/>
      <c r="Y146" s="204"/>
      <c r="Z146" s="204"/>
      <c r="AA146" s="204"/>
    </row>
    <row r="147" ht="14.25" customHeight="1">
      <c r="A147" s="62"/>
      <c r="B147" s="62"/>
      <c r="C147" s="200"/>
      <c r="D147" s="200"/>
      <c r="E147" s="201"/>
      <c r="F147" s="200"/>
      <c r="G147" s="202"/>
      <c r="H147" s="203"/>
      <c r="I147" s="204"/>
      <c r="J147" s="205" t="n">
        <f t="shared" si="6"/>
        <v>0</v>
      </c>
      <c r="K147" s="203"/>
      <c r="L147" s="204"/>
      <c r="M147" s="205" t="n">
        <f t="shared" si="2"/>
        <v>0</v>
      </c>
      <c r="N147" s="203"/>
      <c r="O147" s="204"/>
      <c r="P147" s="205" t="n">
        <f t="shared" si="3"/>
        <v>0</v>
      </c>
      <c r="Q147" s="203"/>
      <c r="R147" s="204"/>
      <c r="S147" s="205" t="n">
        <f t="shared" si="4"/>
        <v>0</v>
      </c>
      <c r="T147" s="204"/>
      <c r="U147" s="204"/>
      <c r="V147" s="204"/>
      <c r="W147" s="204"/>
      <c r="X147" s="204"/>
      <c r="Y147" s="204"/>
      <c r="Z147" s="204"/>
      <c r="AA147" s="204"/>
    </row>
    <row r="148" ht="14.25" customHeight="1">
      <c r="A148" s="62"/>
      <c r="B148" s="62"/>
      <c r="C148" s="200"/>
      <c r="D148" s="200"/>
      <c r="E148" s="201"/>
      <c r="F148" s="200"/>
      <c r="G148" s="202"/>
      <c r="H148" s="203"/>
      <c r="I148" s="204"/>
      <c r="J148" s="205" t="n">
        <f t="shared" si="6"/>
        <v>0</v>
      </c>
      <c r="K148" s="203"/>
      <c r="L148" s="204"/>
      <c r="M148" s="205" t="n">
        <f t="shared" si="2"/>
        <v>0</v>
      </c>
      <c r="N148" s="203"/>
      <c r="O148" s="204"/>
      <c r="P148" s="205" t="n">
        <f t="shared" si="3"/>
        <v>0</v>
      </c>
      <c r="Q148" s="203"/>
      <c r="R148" s="204"/>
      <c r="S148" s="205" t="n">
        <f t="shared" si="4"/>
        <v>0</v>
      </c>
      <c r="T148" s="204"/>
      <c r="U148" s="204"/>
      <c r="V148" s="204"/>
      <c r="W148" s="204"/>
      <c r="X148" s="204"/>
      <c r="Y148" s="204"/>
      <c r="Z148" s="204"/>
      <c r="AA148" s="204"/>
    </row>
    <row r="149" ht="14.25" customHeight="1">
      <c r="A149" s="62"/>
      <c r="B149" s="62"/>
      <c r="C149" s="200"/>
      <c r="D149" s="200"/>
      <c r="E149" s="201"/>
      <c r="F149" s="200"/>
      <c r="G149" s="202"/>
      <c r="H149" s="203"/>
      <c r="I149" s="204"/>
      <c r="J149" s="205" t="n">
        <f t="shared" si="6"/>
        <v>0</v>
      </c>
      <c r="K149" s="203"/>
      <c r="L149" s="204"/>
      <c r="M149" s="205" t="n">
        <f t="shared" si="2"/>
        <v>0</v>
      </c>
      <c r="N149" s="203"/>
      <c r="O149" s="204"/>
      <c r="P149" s="205" t="n">
        <f t="shared" si="3"/>
        <v>0</v>
      </c>
      <c r="Q149" s="203"/>
      <c r="R149" s="204"/>
      <c r="S149" s="205" t="n">
        <f t="shared" si="4"/>
        <v>0</v>
      </c>
      <c r="T149" s="204"/>
      <c r="U149" s="204"/>
      <c r="V149" s="204"/>
      <c r="W149" s="204"/>
      <c r="X149" s="204"/>
      <c r="Y149" s="204"/>
      <c r="Z149" s="204"/>
      <c r="AA149" s="204"/>
    </row>
    <row r="150" ht="14.25" customHeight="1">
      <c r="A150" s="62"/>
      <c r="B150" s="62"/>
      <c r="C150" s="200"/>
      <c r="D150" s="200"/>
      <c r="E150" s="201"/>
      <c r="F150" s="200"/>
      <c r="G150" s="202"/>
      <c r="H150" s="203"/>
      <c r="I150" s="204"/>
      <c r="J150" s="205" t="n">
        <f t="shared" si="6"/>
        <v>0</v>
      </c>
      <c r="K150" s="203"/>
      <c r="L150" s="204"/>
      <c r="M150" s="205" t="n">
        <f t="shared" si="2"/>
        <v>0</v>
      </c>
      <c r="N150" s="203"/>
      <c r="O150" s="204"/>
      <c r="P150" s="205" t="n">
        <f t="shared" si="3"/>
        <v>0</v>
      </c>
      <c r="Q150" s="203"/>
      <c r="R150" s="204"/>
      <c r="S150" s="205" t="n">
        <f t="shared" si="4"/>
        <v>0</v>
      </c>
      <c r="T150" s="204"/>
      <c r="U150" s="204"/>
      <c r="V150" s="204"/>
      <c r="W150" s="204"/>
      <c r="X150" s="204"/>
      <c r="Y150" s="204"/>
      <c r="Z150" s="204"/>
      <c r="AA150" s="204"/>
    </row>
    <row r="151" ht="14.25" customHeight="1">
      <c r="A151" s="62"/>
      <c r="B151" s="62"/>
      <c r="C151" s="200"/>
      <c r="D151" s="200"/>
      <c r="E151" s="201"/>
      <c r="F151" s="200"/>
      <c r="G151" s="202"/>
      <c r="H151" s="203"/>
      <c r="I151" s="204"/>
      <c r="J151" s="205" t="n">
        <f t="shared" si="6"/>
        <v>0</v>
      </c>
      <c r="K151" s="203"/>
      <c r="L151" s="204"/>
      <c r="M151" s="205" t="n">
        <f t="shared" si="2"/>
        <v>0</v>
      </c>
      <c r="N151" s="203"/>
      <c r="O151" s="204"/>
      <c r="P151" s="205" t="n">
        <f t="shared" si="3"/>
        <v>0</v>
      </c>
      <c r="Q151" s="203"/>
      <c r="R151" s="204"/>
      <c r="S151" s="205" t="n">
        <f t="shared" si="4"/>
        <v>0</v>
      </c>
      <c r="T151" s="204"/>
      <c r="U151" s="204"/>
      <c r="V151" s="204"/>
      <c r="W151" s="204"/>
      <c r="X151" s="204"/>
      <c r="Y151" s="204"/>
      <c r="Z151" s="204"/>
      <c r="AA151" s="204"/>
    </row>
    <row r="152" ht="14.25" customHeight="1">
      <c r="A152" s="62"/>
      <c r="B152" s="62"/>
      <c r="C152" s="200"/>
      <c r="D152" s="200"/>
      <c r="E152" s="201"/>
      <c r="F152" s="200"/>
      <c r="G152" s="202"/>
      <c r="H152" s="203"/>
      <c r="I152" s="204"/>
      <c r="J152" s="205" t="n">
        <f t="shared" si="6"/>
        <v>0</v>
      </c>
      <c r="K152" s="203"/>
      <c r="L152" s="204"/>
      <c r="M152" s="205" t="n">
        <f t="shared" si="2"/>
        <v>0</v>
      </c>
      <c r="N152" s="203"/>
      <c r="O152" s="204"/>
      <c r="P152" s="205" t="n">
        <f t="shared" si="3"/>
        <v>0</v>
      </c>
      <c r="Q152" s="203"/>
      <c r="R152" s="204"/>
      <c r="S152" s="205" t="n">
        <f t="shared" si="4"/>
        <v>0</v>
      </c>
      <c r="T152" s="204"/>
      <c r="U152" s="204"/>
      <c r="V152" s="204"/>
      <c r="W152" s="204"/>
      <c r="X152" s="204"/>
      <c r="Y152" s="204"/>
      <c r="Z152" s="204"/>
      <c r="AA152" s="204"/>
    </row>
    <row r="153" ht="14.25" customHeight="1">
      <c r="A153" s="62"/>
      <c r="B153" s="62"/>
      <c r="C153" s="200"/>
      <c r="D153" s="200"/>
      <c r="E153" s="201"/>
      <c r="F153" s="200"/>
      <c r="G153" s="202"/>
      <c r="H153" s="203"/>
      <c r="I153" s="204"/>
      <c r="J153" s="205" t="n">
        <f t="shared" si="6"/>
        <v>0</v>
      </c>
      <c r="K153" s="203"/>
      <c r="L153" s="204"/>
      <c r="M153" s="205" t="n">
        <f t="shared" si="2"/>
        <v>0</v>
      </c>
      <c r="N153" s="203"/>
      <c r="O153" s="204"/>
      <c r="P153" s="205" t="n">
        <f t="shared" si="3"/>
        <v>0</v>
      </c>
      <c r="Q153" s="203"/>
      <c r="R153" s="204"/>
      <c r="S153" s="205" t="n">
        <f t="shared" si="4"/>
        <v>0</v>
      </c>
      <c r="T153" s="204"/>
      <c r="U153" s="204"/>
      <c r="V153" s="204"/>
      <c r="W153" s="204"/>
      <c r="X153" s="204"/>
      <c r="Y153" s="204"/>
      <c r="Z153" s="204"/>
      <c r="AA153" s="204"/>
    </row>
    <row r="154" ht="14.25" customHeight="1">
      <c r="A154" s="62"/>
      <c r="B154" s="62"/>
      <c r="C154" s="200"/>
      <c r="D154" s="200"/>
      <c r="E154" s="201"/>
      <c r="F154" s="200"/>
      <c r="G154" s="202"/>
      <c r="H154" s="203"/>
      <c r="I154" s="204"/>
      <c r="J154" s="205" t="n">
        <f t="shared" si="6"/>
        <v>0</v>
      </c>
      <c r="K154" s="203"/>
      <c r="L154" s="204"/>
      <c r="M154" s="205" t="n">
        <f t="shared" si="2"/>
        <v>0</v>
      </c>
      <c r="N154" s="203"/>
      <c r="O154" s="204"/>
      <c r="P154" s="205" t="n">
        <f t="shared" si="3"/>
        <v>0</v>
      </c>
      <c r="Q154" s="203"/>
      <c r="R154" s="204"/>
      <c r="S154" s="205" t="n">
        <f t="shared" si="4"/>
        <v>0</v>
      </c>
      <c r="T154" s="204"/>
      <c r="U154" s="204"/>
      <c r="V154" s="204"/>
      <c r="W154" s="204"/>
      <c r="X154" s="204"/>
      <c r="Y154" s="204"/>
      <c r="Z154" s="204"/>
      <c r="AA154" s="204"/>
    </row>
    <row r="155" ht="14.25" customHeight="1">
      <c r="A155" s="62"/>
      <c r="B155" s="62"/>
      <c r="C155" s="200"/>
      <c r="D155" s="200"/>
      <c r="E155" s="201"/>
      <c r="F155" s="200"/>
      <c r="G155" s="202"/>
      <c r="H155" s="203"/>
      <c r="I155" s="204"/>
      <c r="J155" s="205" t="n">
        <f t="shared" si="6"/>
        <v>0</v>
      </c>
      <c r="K155" s="203"/>
      <c r="L155" s="204"/>
      <c r="M155" s="205" t="n">
        <f t="shared" si="2"/>
        <v>0</v>
      </c>
      <c r="N155" s="203"/>
      <c r="O155" s="204"/>
      <c r="P155" s="205" t="n">
        <f t="shared" si="3"/>
        <v>0</v>
      </c>
      <c r="Q155" s="203"/>
      <c r="R155" s="204"/>
      <c r="S155" s="205" t="n">
        <f t="shared" si="4"/>
        <v>0</v>
      </c>
      <c r="T155" s="204"/>
      <c r="U155" s="204"/>
      <c r="V155" s="204"/>
      <c r="W155" s="204"/>
      <c r="X155" s="204"/>
      <c r="Y155" s="204"/>
      <c r="Z155" s="204"/>
      <c r="AA155" s="204"/>
    </row>
    <row r="156" ht="14.25" customHeight="1">
      <c r="A156" s="62"/>
      <c r="B156" s="62"/>
      <c r="C156" s="200"/>
      <c r="D156" s="200"/>
      <c r="E156" s="201"/>
      <c r="F156" s="200"/>
      <c r="G156" s="202"/>
      <c r="H156" s="203"/>
      <c r="I156" s="204"/>
      <c r="J156" s="205" t="n">
        <f t="shared" si="6"/>
        <v>0</v>
      </c>
      <c r="K156" s="203"/>
      <c r="L156" s="204"/>
      <c r="M156" s="205" t="n">
        <f t="shared" si="2"/>
        <v>0</v>
      </c>
      <c r="N156" s="203"/>
      <c r="O156" s="204"/>
      <c r="P156" s="205" t="n">
        <f t="shared" si="3"/>
        <v>0</v>
      </c>
      <c r="Q156" s="203"/>
      <c r="R156" s="204"/>
      <c r="S156" s="205" t="n">
        <f t="shared" si="4"/>
        <v>0</v>
      </c>
      <c r="T156" s="204"/>
      <c r="U156" s="204"/>
      <c r="V156" s="204"/>
      <c r="W156" s="204"/>
      <c r="X156" s="204"/>
      <c r="Y156" s="204"/>
      <c r="Z156" s="204"/>
      <c r="AA156" s="204"/>
    </row>
    <row r="157" ht="14.25" customHeight="1">
      <c r="A157" s="62"/>
      <c r="B157" s="62"/>
      <c r="C157" s="200"/>
      <c r="D157" s="200"/>
      <c r="E157" s="201"/>
      <c r="F157" s="200"/>
      <c r="G157" s="202"/>
      <c r="H157" s="203"/>
      <c r="I157" s="204"/>
      <c r="J157" s="205" t="n">
        <f t="shared" si="6"/>
        <v>0</v>
      </c>
      <c r="K157" s="203"/>
      <c r="L157" s="204"/>
      <c r="M157" s="205" t="n">
        <f t="shared" si="2"/>
        <v>0</v>
      </c>
      <c r="N157" s="203"/>
      <c r="O157" s="204"/>
      <c r="P157" s="205" t="n">
        <f t="shared" si="3"/>
        <v>0</v>
      </c>
      <c r="Q157" s="203"/>
      <c r="R157" s="204"/>
      <c r="S157" s="205" t="n">
        <f t="shared" si="4"/>
        <v>0</v>
      </c>
      <c r="T157" s="204"/>
      <c r="U157" s="204"/>
      <c r="V157" s="204"/>
      <c r="W157" s="204"/>
      <c r="X157" s="204"/>
      <c r="Y157" s="204"/>
      <c r="Z157" s="204"/>
      <c r="AA157" s="204"/>
    </row>
    <row r="158" ht="14.25" customHeight="1">
      <c r="A158" s="62"/>
      <c r="B158" s="62"/>
      <c r="C158" s="200"/>
      <c r="D158" s="200"/>
      <c r="E158" s="201"/>
      <c r="F158" s="200"/>
      <c r="G158" s="202"/>
      <c r="H158" s="203"/>
      <c r="I158" s="204"/>
      <c r="J158" s="205" t="n">
        <f t="shared" si="6"/>
        <v>0</v>
      </c>
      <c r="K158" s="203"/>
      <c r="L158" s="204"/>
      <c r="M158" s="205" t="n">
        <f t="shared" si="2"/>
        <v>0</v>
      </c>
      <c r="N158" s="203"/>
      <c r="O158" s="204"/>
      <c r="P158" s="205" t="n">
        <f t="shared" si="3"/>
        <v>0</v>
      </c>
      <c r="Q158" s="203"/>
      <c r="R158" s="204"/>
      <c r="S158" s="205" t="n">
        <f t="shared" si="4"/>
        <v>0</v>
      </c>
      <c r="T158" s="204"/>
      <c r="U158" s="204"/>
      <c r="V158" s="204"/>
      <c r="W158" s="204"/>
      <c r="X158" s="204"/>
      <c r="Y158" s="204"/>
      <c r="Z158" s="204"/>
      <c r="AA158" s="204"/>
    </row>
    <row r="159" ht="14.25" customHeight="1">
      <c r="A159" s="62"/>
      <c r="B159" s="62"/>
      <c r="C159" s="200"/>
      <c r="D159" s="200"/>
      <c r="E159" s="201"/>
      <c r="F159" s="200"/>
      <c r="G159" s="202"/>
      <c r="H159" s="203"/>
      <c r="I159" s="204"/>
      <c r="J159" s="205" t="n">
        <f t="shared" si="6"/>
        <v>0</v>
      </c>
      <c r="K159" s="203"/>
      <c r="L159" s="204"/>
      <c r="M159" s="205" t="n">
        <f t="shared" si="2"/>
        <v>0</v>
      </c>
      <c r="N159" s="203"/>
      <c r="O159" s="204"/>
      <c r="P159" s="205" t="n">
        <f t="shared" si="3"/>
        <v>0</v>
      </c>
      <c r="Q159" s="203"/>
      <c r="R159" s="204"/>
      <c r="S159" s="205" t="n">
        <f t="shared" si="4"/>
        <v>0</v>
      </c>
      <c r="T159" s="204"/>
      <c r="U159" s="204"/>
      <c r="V159" s="204"/>
      <c r="W159" s="204"/>
      <c r="X159" s="204"/>
      <c r="Y159" s="204"/>
      <c r="Z159" s="204"/>
      <c r="AA159" s="204"/>
    </row>
    <row r="160" ht="14.25" customHeight="1">
      <c r="A160" s="62"/>
      <c r="B160" s="62"/>
      <c r="C160" s="200"/>
      <c r="D160" s="200"/>
      <c r="E160" s="201"/>
      <c r="F160" s="200"/>
      <c r="G160" s="202"/>
      <c r="H160" s="203"/>
      <c r="I160" s="204"/>
      <c r="J160" s="205" t="n">
        <f t="shared" si="6"/>
        <v>0</v>
      </c>
      <c r="K160" s="203"/>
      <c r="L160" s="204"/>
      <c r="M160" s="205" t="n">
        <f t="shared" si="2"/>
        <v>0</v>
      </c>
      <c r="N160" s="203"/>
      <c r="O160" s="204"/>
      <c r="P160" s="205" t="n">
        <f t="shared" si="3"/>
        <v>0</v>
      </c>
      <c r="Q160" s="203"/>
      <c r="R160" s="204"/>
      <c r="S160" s="205" t="n">
        <f t="shared" si="4"/>
        <v>0</v>
      </c>
      <c r="T160" s="204"/>
      <c r="U160" s="204"/>
      <c r="V160" s="204"/>
      <c r="W160" s="204"/>
      <c r="X160" s="204"/>
      <c r="Y160" s="204"/>
      <c r="Z160" s="204"/>
      <c r="AA160" s="204"/>
    </row>
    <row r="161" ht="14.25" customHeight="1">
      <c r="A161" s="62"/>
      <c r="B161" s="62"/>
      <c r="C161" s="200"/>
      <c r="D161" s="200"/>
      <c r="E161" s="201"/>
      <c r="F161" s="200"/>
      <c r="G161" s="202"/>
      <c r="H161" s="203"/>
      <c r="I161" s="204"/>
      <c r="J161" s="205" t="n">
        <f t="shared" si="6"/>
        <v>0</v>
      </c>
      <c r="K161" s="203"/>
      <c r="L161" s="204"/>
      <c r="M161" s="205" t="n">
        <f t="shared" si="2"/>
        <v>0</v>
      </c>
      <c r="N161" s="203"/>
      <c r="O161" s="204"/>
      <c r="P161" s="205" t="n">
        <f t="shared" si="3"/>
        <v>0</v>
      </c>
      <c r="Q161" s="203"/>
      <c r="R161" s="204"/>
      <c r="S161" s="205" t="n">
        <f t="shared" si="4"/>
        <v>0</v>
      </c>
      <c r="T161" s="204"/>
      <c r="U161" s="204"/>
      <c r="V161" s="204"/>
      <c r="W161" s="204"/>
      <c r="X161" s="204"/>
      <c r="Y161" s="204"/>
      <c r="Z161" s="204"/>
      <c r="AA161" s="204"/>
    </row>
    <row r="162" ht="14.25" customHeight="1">
      <c r="A162" s="62"/>
      <c r="B162" s="62"/>
      <c r="C162" s="200"/>
      <c r="D162" s="200"/>
      <c r="E162" s="201"/>
      <c r="F162" s="200"/>
      <c r="G162" s="202"/>
      <c r="H162" s="203"/>
      <c r="I162" s="204"/>
      <c r="J162" s="205" t="n">
        <f t="shared" si="6"/>
        <v>0</v>
      </c>
      <c r="K162" s="203"/>
      <c r="L162" s="204"/>
      <c r="M162" s="205" t="n">
        <f t="shared" si="2"/>
        <v>0</v>
      </c>
      <c r="N162" s="203"/>
      <c r="O162" s="204"/>
      <c r="P162" s="205" t="n">
        <f t="shared" si="3"/>
        <v>0</v>
      </c>
      <c r="Q162" s="203"/>
      <c r="R162" s="204"/>
      <c r="S162" s="205" t="n">
        <f t="shared" si="4"/>
        <v>0</v>
      </c>
      <c r="T162" s="204"/>
      <c r="U162" s="204"/>
      <c r="V162" s="204"/>
      <c r="W162" s="204"/>
      <c r="X162" s="204"/>
      <c r="Y162" s="204"/>
      <c r="Z162" s="204"/>
      <c r="AA162" s="204"/>
    </row>
    <row r="163" ht="14.25" customHeight="1">
      <c r="A163" s="62"/>
      <c r="B163" s="62"/>
      <c r="C163" s="200"/>
      <c r="D163" s="200"/>
      <c r="E163" s="201"/>
      <c r="F163" s="200"/>
      <c r="G163" s="202"/>
      <c r="H163" s="203"/>
      <c r="I163" s="204"/>
      <c r="J163" s="205" t="n">
        <f t="shared" si="6"/>
        <v>0</v>
      </c>
      <c r="K163" s="203"/>
      <c r="L163" s="204"/>
      <c r="M163" s="205" t="n">
        <f t="shared" si="2"/>
        <v>0</v>
      </c>
      <c r="N163" s="203"/>
      <c r="O163" s="204"/>
      <c r="P163" s="205" t="n">
        <f t="shared" si="3"/>
        <v>0</v>
      </c>
      <c r="Q163" s="203"/>
      <c r="R163" s="204"/>
      <c r="S163" s="205" t="n">
        <f t="shared" si="4"/>
        <v>0</v>
      </c>
      <c r="T163" s="204"/>
      <c r="U163" s="204"/>
      <c r="V163" s="204"/>
      <c r="W163" s="204"/>
      <c r="X163" s="204"/>
      <c r="Y163" s="204"/>
      <c r="Z163" s="204"/>
      <c r="AA163" s="204"/>
    </row>
    <row r="164" ht="14.25" customHeight="1">
      <c r="A164" s="62"/>
      <c r="B164" s="62"/>
      <c r="C164" s="200"/>
      <c r="D164" s="200"/>
      <c r="E164" s="201"/>
      <c r="F164" s="200"/>
      <c r="G164" s="202"/>
      <c r="H164" s="203"/>
      <c r="I164" s="204"/>
      <c r="J164" s="205" t="n">
        <f t="shared" si="6"/>
        <v>0</v>
      </c>
      <c r="K164" s="203"/>
      <c r="L164" s="204"/>
      <c r="M164" s="205" t="n">
        <f t="shared" si="2"/>
        <v>0</v>
      </c>
      <c r="N164" s="203"/>
      <c r="O164" s="204"/>
      <c r="P164" s="205" t="n">
        <f t="shared" si="3"/>
        <v>0</v>
      </c>
      <c r="Q164" s="203"/>
      <c r="R164" s="204"/>
      <c r="S164" s="205" t="n">
        <f t="shared" si="4"/>
        <v>0</v>
      </c>
      <c r="T164" s="204"/>
      <c r="U164" s="204"/>
      <c r="V164" s="204"/>
      <c r="W164" s="204"/>
      <c r="X164" s="204"/>
      <c r="Y164" s="204"/>
      <c r="Z164" s="204"/>
      <c r="AA164" s="204"/>
    </row>
    <row r="165" ht="14.25" customHeight="1">
      <c r="A165" s="62"/>
      <c r="B165" s="62"/>
      <c r="C165" s="200"/>
      <c r="D165" s="200"/>
      <c r="E165" s="201"/>
      <c r="F165" s="200"/>
      <c r="G165" s="202"/>
      <c r="H165" s="203"/>
      <c r="I165" s="204"/>
      <c r="J165" s="205" t="n">
        <f t="shared" si="6"/>
        <v>0</v>
      </c>
      <c r="K165" s="203"/>
      <c r="L165" s="204"/>
      <c r="M165" s="205" t="n">
        <f t="shared" si="2"/>
        <v>0</v>
      </c>
      <c r="N165" s="203"/>
      <c r="O165" s="204"/>
      <c r="P165" s="205" t="n">
        <f t="shared" si="3"/>
        <v>0</v>
      </c>
      <c r="Q165" s="203"/>
      <c r="R165" s="204"/>
      <c r="S165" s="205" t="n">
        <f t="shared" si="4"/>
        <v>0</v>
      </c>
      <c r="T165" s="204"/>
      <c r="U165" s="204"/>
      <c r="V165" s="204"/>
      <c r="W165" s="204"/>
      <c r="X165" s="204"/>
      <c r="Y165" s="204"/>
      <c r="Z165" s="204"/>
      <c r="AA165" s="204"/>
    </row>
    <row r="166" ht="14.25" customHeight="1">
      <c r="A166" s="62"/>
      <c r="B166" s="62"/>
      <c r="C166" s="200"/>
      <c r="D166" s="200"/>
      <c r="E166" s="201"/>
      <c r="F166" s="200"/>
      <c r="G166" s="202"/>
      <c r="H166" s="203"/>
      <c r="I166" s="204"/>
      <c r="J166" s="205" t="n">
        <f t="shared" si="6"/>
        <v>0</v>
      </c>
      <c r="K166" s="203"/>
      <c r="L166" s="204"/>
      <c r="M166" s="205" t="n">
        <f t="shared" si="2"/>
        <v>0</v>
      </c>
      <c r="N166" s="203"/>
      <c r="O166" s="204"/>
      <c r="P166" s="205" t="n">
        <f t="shared" si="3"/>
        <v>0</v>
      </c>
      <c r="Q166" s="203"/>
      <c r="R166" s="204"/>
      <c r="S166" s="205" t="n">
        <f t="shared" si="4"/>
        <v>0</v>
      </c>
      <c r="T166" s="204"/>
      <c r="U166" s="204"/>
      <c r="V166" s="204"/>
      <c r="W166" s="204"/>
      <c r="X166" s="204"/>
      <c r="Y166" s="204"/>
      <c r="Z166" s="204"/>
      <c r="AA166" s="204"/>
    </row>
    <row r="167" ht="14.25" customHeight="1">
      <c r="A167" s="62"/>
      <c r="B167" s="62"/>
      <c r="C167" s="200"/>
      <c r="D167" s="200"/>
      <c r="E167" s="201"/>
      <c r="F167" s="200"/>
      <c r="G167" s="202"/>
      <c r="H167" s="203"/>
      <c r="I167" s="204"/>
      <c r="J167" s="205" t="n">
        <f t="shared" si="6"/>
        <v>0</v>
      </c>
      <c r="K167" s="203"/>
      <c r="L167" s="204"/>
      <c r="M167" s="205" t="n">
        <f t="shared" si="2"/>
        <v>0</v>
      </c>
      <c r="N167" s="203"/>
      <c r="O167" s="204"/>
      <c r="P167" s="205" t="n">
        <f t="shared" si="3"/>
        <v>0</v>
      </c>
      <c r="Q167" s="203"/>
      <c r="R167" s="204"/>
      <c r="S167" s="205" t="n">
        <f t="shared" si="4"/>
        <v>0</v>
      </c>
      <c r="T167" s="204"/>
      <c r="U167" s="204"/>
      <c r="V167" s="204"/>
      <c r="W167" s="204"/>
      <c r="X167" s="204"/>
      <c r="Y167" s="204"/>
      <c r="Z167" s="204"/>
      <c r="AA167" s="204"/>
    </row>
    <row r="168" ht="14.25" customHeight="1">
      <c r="A168" s="62"/>
      <c r="B168" s="62"/>
      <c r="C168" s="200"/>
      <c r="D168" s="200"/>
      <c r="E168" s="201"/>
      <c r="F168" s="200"/>
      <c r="G168" s="202"/>
      <c r="H168" s="203"/>
      <c r="I168" s="204"/>
      <c r="J168" s="205" t="n">
        <f t="shared" si="6"/>
        <v>0</v>
      </c>
      <c r="K168" s="203"/>
      <c r="L168" s="204"/>
      <c r="M168" s="205" t="n">
        <f t="shared" si="2"/>
        <v>0</v>
      </c>
      <c r="N168" s="203"/>
      <c r="O168" s="204"/>
      <c r="P168" s="205" t="n">
        <f t="shared" si="3"/>
        <v>0</v>
      </c>
      <c r="Q168" s="203"/>
      <c r="R168" s="204"/>
      <c r="S168" s="205" t="n">
        <f t="shared" si="4"/>
        <v>0</v>
      </c>
      <c r="T168" s="204"/>
      <c r="U168" s="204"/>
      <c r="V168" s="204"/>
      <c r="W168" s="204"/>
      <c r="X168" s="204"/>
      <c r="Y168" s="204"/>
      <c r="Z168" s="204"/>
      <c r="AA168" s="204"/>
    </row>
    <row r="169" ht="14.25" customHeight="1">
      <c r="A169" s="62"/>
      <c r="B169" s="62"/>
      <c r="C169" s="200"/>
      <c r="D169" s="200"/>
      <c r="E169" s="201"/>
      <c r="F169" s="200"/>
      <c r="G169" s="202"/>
      <c r="H169" s="203"/>
      <c r="I169" s="204"/>
      <c r="J169" s="205" t="n">
        <f t="shared" si="6"/>
        <v>0</v>
      </c>
      <c r="K169" s="203"/>
      <c r="L169" s="204"/>
      <c r="M169" s="205" t="n">
        <f t="shared" si="2"/>
        <v>0</v>
      </c>
      <c r="N169" s="203"/>
      <c r="O169" s="204"/>
      <c r="P169" s="205" t="n">
        <f t="shared" si="3"/>
        <v>0</v>
      </c>
      <c r="Q169" s="203"/>
      <c r="R169" s="204"/>
      <c r="S169" s="205" t="n">
        <f t="shared" si="4"/>
        <v>0</v>
      </c>
      <c r="T169" s="204"/>
      <c r="U169" s="204"/>
      <c r="V169" s="204"/>
      <c r="W169" s="204"/>
      <c r="X169" s="204"/>
      <c r="Y169" s="204"/>
      <c r="Z169" s="204"/>
      <c r="AA169" s="204"/>
    </row>
    <row r="170" ht="14.25" customHeight="1">
      <c r="A170" s="62"/>
      <c r="B170" s="62"/>
      <c r="C170" s="200"/>
      <c r="D170" s="200"/>
      <c r="E170" s="201"/>
      <c r="F170" s="200"/>
      <c r="G170" s="202"/>
      <c r="H170" s="203"/>
      <c r="I170" s="204"/>
      <c r="J170" s="205" t="n">
        <f t="shared" si="6"/>
        <v>0</v>
      </c>
      <c r="K170" s="203"/>
      <c r="L170" s="204"/>
      <c r="M170" s="205" t="n">
        <f t="shared" si="2"/>
        <v>0</v>
      </c>
      <c r="N170" s="203"/>
      <c r="O170" s="204"/>
      <c r="P170" s="205" t="n">
        <f t="shared" si="3"/>
        <v>0</v>
      </c>
      <c r="Q170" s="203"/>
      <c r="R170" s="204"/>
      <c r="S170" s="205" t="n">
        <f t="shared" si="4"/>
        <v>0</v>
      </c>
      <c r="T170" s="204"/>
      <c r="U170" s="204"/>
      <c r="V170" s="204"/>
      <c r="W170" s="204"/>
      <c r="X170" s="204"/>
      <c r="Y170" s="204"/>
      <c r="Z170" s="204"/>
      <c r="AA170" s="204"/>
    </row>
    <row r="171" ht="14.25" customHeight="1">
      <c r="A171" s="62"/>
      <c r="B171" s="62"/>
      <c r="C171" s="200"/>
      <c r="D171" s="200"/>
      <c r="E171" s="201"/>
      <c r="F171" s="200"/>
      <c r="G171" s="202"/>
      <c r="H171" s="203"/>
      <c r="I171" s="204"/>
      <c r="J171" s="205" t="n">
        <f t="shared" si="6"/>
        <v>0</v>
      </c>
      <c r="K171" s="203"/>
      <c r="L171" s="204"/>
      <c r="M171" s="205" t="n">
        <f t="shared" si="2"/>
        <v>0</v>
      </c>
      <c r="N171" s="203"/>
      <c r="O171" s="204"/>
      <c r="P171" s="205" t="n">
        <f t="shared" si="3"/>
        <v>0</v>
      </c>
      <c r="Q171" s="203"/>
      <c r="R171" s="204"/>
      <c r="S171" s="205" t="n">
        <f t="shared" si="4"/>
        <v>0</v>
      </c>
      <c r="T171" s="204"/>
      <c r="U171" s="204"/>
      <c r="V171" s="204"/>
      <c r="W171" s="204"/>
      <c r="X171" s="204"/>
      <c r="Y171" s="204"/>
      <c r="Z171" s="204"/>
      <c r="AA171" s="204"/>
    </row>
    <row r="172" ht="14.25" customHeight="1">
      <c r="A172" s="62"/>
      <c r="B172" s="62"/>
      <c r="C172" s="200"/>
      <c r="D172" s="200"/>
      <c r="E172" s="201"/>
      <c r="F172" s="200"/>
      <c r="G172" s="202"/>
      <c r="H172" s="203"/>
      <c r="I172" s="204"/>
      <c r="J172" s="205" t="n">
        <f t="shared" si="6"/>
        <v>0</v>
      </c>
      <c r="K172" s="203"/>
      <c r="L172" s="204"/>
      <c r="M172" s="205" t="n">
        <f t="shared" si="2"/>
        <v>0</v>
      </c>
      <c r="N172" s="203"/>
      <c r="O172" s="204"/>
      <c r="P172" s="205" t="n">
        <f t="shared" si="3"/>
        <v>0</v>
      </c>
      <c r="Q172" s="203"/>
      <c r="R172" s="204"/>
      <c r="S172" s="205" t="n">
        <f t="shared" si="4"/>
        <v>0</v>
      </c>
      <c r="T172" s="204"/>
      <c r="U172" s="204"/>
      <c r="V172" s="204"/>
      <c r="W172" s="204"/>
      <c r="X172" s="204"/>
      <c r="Y172" s="204"/>
      <c r="Z172" s="204"/>
      <c r="AA172" s="204"/>
    </row>
    <row r="173" ht="14.25" customHeight="1">
      <c r="A173" s="62"/>
      <c r="B173" s="62"/>
      <c r="C173" s="200"/>
      <c r="D173" s="200"/>
      <c r="E173" s="201"/>
      <c r="F173" s="200"/>
      <c r="G173" s="202"/>
      <c r="H173" s="203"/>
      <c r="I173" s="204"/>
      <c r="J173" s="205" t="n">
        <f t="shared" si="6"/>
        <v>0</v>
      </c>
      <c r="K173" s="203"/>
      <c r="L173" s="204"/>
      <c r="M173" s="205" t="n">
        <f t="shared" si="2"/>
        <v>0</v>
      </c>
      <c r="N173" s="203"/>
      <c r="O173" s="204"/>
      <c r="P173" s="205" t="n">
        <f t="shared" si="3"/>
        <v>0</v>
      </c>
      <c r="Q173" s="203"/>
      <c r="R173" s="204"/>
      <c r="S173" s="205" t="n">
        <f t="shared" si="4"/>
        <v>0</v>
      </c>
      <c r="T173" s="204"/>
      <c r="U173" s="204"/>
      <c r="V173" s="204"/>
      <c r="W173" s="204"/>
      <c r="X173" s="204"/>
      <c r="Y173" s="204"/>
      <c r="Z173" s="204"/>
      <c r="AA173" s="204"/>
    </row>
    <row r="174" ht="14.25" customHeight="1">
      <c r="A174" s="62"/>
      <c r="B174" s="62"/>
      <c r="C174" s="200"/>
      <c r="D174" s="200"/>
      <c r="E174" s="201"/>
      <c r="F174" s="200"/>
      <c r="G174" s="202"/>
      <c r="H174" s="203"/>
      <c r="I174" s="204"/>
      <c r="J174" s="205" t="n">
        <f t="shared" si="6"/>
        <v>0</v>
      </c>
      <c r="K174" s="203"/>
      <c r="L174" s="204"/>
      <c r="M174" s="205" t="n">
        <f t="shared" si="2"/>
        <v>0</v>
      </c>
      <c r="N174" s="203"/>
      <c r="O174" s="204"/>
      <c r="P174" s="205" t="n">
        <f t="shared" si="3"/>
        <v>0</v>
      </c>
      <c r="Q174" s="203"/>
      <c r="R174" s="204"/>
      <c r="S174" s="205" t="n">
        <f t="shared" si="4"/>
        <v>0</v>
      </c>
      <c r="T174" s="204"/>
      <c r="U174" s="204"/>
      <c r="V174" s="204"/>
      <c r="W174" s="204"/>
      <c r="X174" s="204"/>
      <c r="Y174" s="204"/>
      <c r="Z174" s="204"/>
      <c r="AA174" s="204"/>
    </row>
    <row r="175" ht="14.25" customHeight="1">
      <c r="A175" s="62"/>
      <c r="B175" s="62"/>
      <c r="C175" s="200"/>
      <c r="D175" s="200"/>
      <c r="E175" s="201"/>
      <c r="F175" s="200"/>
      <c r="G175" s="202"/>
      <c r="H175" s="203"/>
      <c r="I175" s="204"/>
      <c r="J175" s="205" t="n">
        <f t="shared" si="6"/>
        <v>0</v>
      </c>
      <c r="K175" s="203"/>
      <c r="L175" s="204"/>
      <c r="M175" s="205" t="n">
        <f t="shared" si="2"/>
        <v>0</v>
      </c>
      <c r="N175" s="203"/>
      <c r="O175" s="204"/>
      <c r="P175" s="205" t="n">
        <f t="shared" si="3"/>
        <v>0</v>
      </c>
      <c r="Q175" s="203"/>
      <c r="R175" s="204"/>
      <c r="S175" s="205" t="n">
        <f t="shared" si="4"/>
        <v>0</v>
      </c>
      <c r="T175" s="204"/>
      <c r="U175" s="204"/>
      <c r="V175" s="204"/>
      <c r="W175" s="204"/>
      <c r="X175" s="204"/>
      <c r="Y175" s="204"/>
      <c r="Z175" s="204"/>
      <c r="AA175" s="204"/>
    </row>
    <row r="176" ht="14.25" customHeight="1">
      <c r="A176" s="62"/>
      <c r="B176" s="62"/>
      <c r="C176" s="200"/>
      <c r="D176" s="200"/>
      <c r="E176" s="201"/>
      <c r="F176" s="200"/>
      <c r="G176" s="202"/>
      <c r="H176" s="203"/>
      <c r="I176" s="204"/>
      <c r="J176" s="205" t="n">
        <f t="shared" si="6"/>
        <v>0</v>
      </c>
      <c r="K176" s="203"/>
      <c r="L176" s="204"/>
      <c r="M176" s="205" t="n">
        <f t="shared" si="2"/>
        <v>0</v>
      </c>
      <c r="N176" s="203"/>
      <c r="O176" s="204"/>
      <c r="P176" s="205" t="n">
        <f t="shared" si="3"/>
        <v>0</v>
      </c>
      <c r="Q176" s="203"/>
      <c r="R176" s="204"/>
      <c r="S176" s="205" t="n">
        <f t="shared" si="4"/>
        <v>0</v>
      </c>
      <c r="T176" s="204"/>
      <c r="U176" s="204"/>
      <c r="V176" s="204"/>
      <c r="W176" s="204"/>
      <c r="X176" s="204"/>
      <c r="Y176" s="204"/>
      <c r="Z176" s="204"/>
      <c r="AA176" s="204"/>
    </row>
    <row r="177" ht="14.25" customHeight="1">
      <c r="A177" s="62"/>
      <c r="B177" s="62"/>
      <c r="C177" s="200"/>
      <c r="D177" s="200"/>
      <c r="E177" s="201"/>
      <c r="F177" s="200"/>
      <c r="G177" s="202"/>
      <c r="H177" s="203"/>
      <c r="I177" s="204"/>
      <c r="J177" s="205" t="n">
        <f t="shared" si="6"/>
        <v>0</v>
      </c>
      <c r="K177" s="203"/>
      <c r="L177" s="204"/>
      <c r="M177" s="205" t="n">
        <f t="shared" si="2"/>
        <v>0</v>
      </c>
      <c r="N177" s="203"/>
      <c r="O177" s="204"/>
      <c r="P177" s="205" t="n">
        <f t="shared" si="3"/>
        <v>0</v>
      </c>
      <c r="Q177" s="203"/>
      <c r="R177" s="204"/>
      <c r="S177" s="205" t="n">
        <f t="shared" si="4"/>
        <v>0</v>
      </c>
      <c r="T177" s="204"/>
      <c r="U177" s="204"/>
      <c r="V177" s="204"/>
      <c r="W177" s="204"/>
      <c r="X177" s="204"/>
      <c r="Y177" s="204"/>
      <c r="Z177" s="204"/>
      <c r="AA177" s="204"/>
    </row>
    <row r="178" ht="14.25" customHeight="1">
      <c r="A178" s="62"/>
      <c r="B178" s="62"/>
      <c r="C178" s="200"/>
      <c r="D178" s="200"/>
      <c r="E178" s="201"/>
      <c r="F178" s="200"/>
      <c r="G178" s="202"/>
      <c r="H178" s="203"/>
      <c r="I178" s="204"/>
      <c r="J178" s="205" t="n">
        <f t="shared" si="6"/>
        <v>0</v>
      </c>
      <c r="K178" s="203"/>
      <c r="L178" s="204"/>
      <c r="M178" s="205" t="n">
        <f t="shared" si="2"/>
        <v>0</v>
      </c>
      <c r="N178" s="203"/>
      <c r="O178" s="204"/>
      <c r="P178" s="205" t="n">
        <f t="shared" si="3"/>
        <v>0</v>
      </c>
      <c r="Q178" s="203"/>
      <c r="R178" s="204"/>
      <c r="S178" s="205" t="n">
        <f t="shared" si="4"/>
        <v>0</v>
      </c>
      <c r="T178" s="204"/>
      <c r="U178" s="204"/>
      <c r="V178" s="204"/>
      <c r="W178" s="204"/>
      <c r="X178" s="204"/>
      <c r="Y178" s="204"/>
      <c r="Z178" s="204"/>
      <c r="AA178" s="204"/>
    </row>
    <row r="179" ht="14.25" customHeight="1">
      <c r="A179" s="62"/>
      <c r="B179" s="62"/>
      <c r="C179" s="200"/>
      <c r="D179" s="200"/>
      <c r="E179" s="201"/>
      <c r="F179" s="200"/>
      <c r="G179" s="202"/>
      <c r="H179" s="203"/>
      <c r="I179" s="204"/>
      <c r="J179" s="205" t="n">
        <f t="shared" si="6"/>
        <v>0</v>
      </c>
      <c r="K179" s="203"/>
      <c r="L179" s="204"/>
      <c r="M179" s="205" t="n">
        <f t="shared" si="2"/>
        <v>0</v>
      </c>
      <c r="N179" s="203"/>
      <c r="O179" s="204"/>
      <c r="P179" s="205" t="n">
        <f t="shared" si="3"/>
        <v>0</v>
      </c>
      <c r="Q179" s="203"/>
      <c r="R179" s="204"/>
      <c r="S179" s="205" t="n">
        <f t="shared" si="4"/>
        <v>0</v>
      </c>
      <c r="T179" s="204"/>
      <c r="U179" s="204"/>
      <c r="V179" s="204"/>
      <c r="W179" s="204"/>
      <c r="X179" s="204"/>
      <c r="Y179" s="204"/>
      <c r="Z179" s="204"/>
      <c r="AA179" s="204"/>
    </row>
    <row r="180" ht="14.25" customHeight="1">
      <c r="A180" s="62"/>
      <c r="B180" s="62"/>
      <c r="C180" s="200"/>
      <c r="D180" s="200"/>
      <c r="E180" s="201"/>
      <c r="F180" s="200"/>
      <c r="G180" s="202"/>
      <c r="H180" s="203"/>
      <c r="I180" s="204"/>
      <c r="J180" s="205" t="n">
        <f t="shared" si="6"/>
        <v>0</v>
      </c>
      <c r="K180" s="203"/>
      <c r="L180" s="204"/>
      <c r="M180" s="205" t="n">
        <f t="shared" si="2"/>
        <v>0</v>
      </c>
      <c r="N180" s="203"/>
      <c r="O180" s="204"/>
      <c r="P180" s="205" t="n">
        <f t="shared" si="3"/>
        <v>0</v>
      </c>
      <c r="Q180" s="203"/>
      <c r="R180" s="204"/>
      <c r="S180" s="205" t="n">
        <f t="shared" si="4"/>
        <v>0</v>
      </c>
      <c r="T180" s="204"/>
      <c r="U180" s="204"/>
      <c r="V180" s="204"/>
      <c r="W180" s="204"/>
      <c r="X180" s="204"/>
      <c r="Y180" s="204"/>
      <c r="Z180" s="204"/>
      <c r="AA180" s="204"/>
    </row>
    <row r="181" ht="14.25" customHeight="1">
      <c r="A181" s="62"/>
      <c r="B181" s="62"/>
      <c r="C181" s="200"/>
      <c r="D181" s="200"/>
      <c r="E181" s="201"/>
      <c r="F181" s="200"/>
      <c r="G181" s="202"/>
      <c r="H181" s="203"/>
      <c r="I181" s="204"/>
      <c r="J181" s="205" t="n">
        <f t="shared" si="6"/>
        <v>0</v>
      </c>
      <c r="K181" s="203"/>
      <c r="L181" s="204"/>
      <c r="M181" s="205" t="n">
        <f t="shared" si="2"/>
        <v>0</v>
      </c>
      <c r="N181" s="203"/>
      <c r="O181" s="204"/>
      <c r="P181" s="205" t="n">
        <f t="shared" si="3"/>
        <v>0</v>
      </c>
      <c r="Q181" s="203"/>
      <c r="R181" s="204"/>
      <c r="S181" s="205" t="n">
        <f t="shared" si="4"/>
        <v>0</v>
      </c>
      <c r="T181" s="204"/>
      <c r="U181" s="204"/>
      <c r="V181" s="204"/>
      <c r="W181" s="204"/>
      <c r="X181" s="204"/>
      <c r="Y181" s="204"/>
      <c r="Z181" s="204"/>
      <c r="AA181" s="204"/>
    </row>
    <row r="182" ht="14.25" customHeight="1">
      <c r="A182" s="62"/>
      <c r="B182" s="62"/>
      <c r="C182" s="200"/>
      <c r="D182" s="200"/>
      <c r="E182" s="201"/>
      <c r="F182" s="200"/>
      <c r="G182" s="202"/>
      <c r="H182" s="203"/>
      <c r="I182" s="204"/>
      <c r="J182" s="205" t="n">
        <f t="shared" si="6"/>
        <v>0</v>
      </c>
      <c r="K182" s="203"/>
      <c r="L182" s="204"/>
      <c r="M182" s="205" t="n">
        <f t="shared" si="2"/>
        <v>0</v>
      </c>
      <c r="N182" s="203"/>
      <c r="O182" s="204"/>
      <c r="P182" s="205" t="n">
        <f t="shared" si="3"/>
        <v>0</v>
      </c>
      <c r="Q182" s="203"/>
      <c r="R182" s="204"/>
      <c r="S182" s="205" t="n">
        <f t="shared" si="4"/>
        <v>0</v>
      </c>
      <c r="T182" s="204"/>
      <c r="U182" s="204"/>
      <c r="V182" s="204"/>
      <c r="W182" s="204"/>
      <c r="X182" s="204"/>
      <c r="Y182" s="204"/>
      <c r="Z182" s="204"/>
      <c r="AA182" s="204"/>
    </row>
    <row r="183" ht="14.25" customHeight="1">
      <c r="A183" s="62"/>
      <c r="B183" s="62"/>
      <c r="C183" s="200"/>
      <c r="D183" s="200"/>
      <c r="E183" s="201"/>
      <c r="F183" s="200"/>
      <c r="G183" s="202"/>
      <c r="H183" s="203"/>
      <c r="I183" s="204"/>
      <c r="J183" s="205" t="n">
        <f t="shared" si="6"/>
        <v>0</v>
      </c>
      <c r="K183" s="203"/>
      <c r="L183" s="204"/>
      <c r="M183" s="205" t="n">
        <f t="shared" si="2"/>
        <v>0</v>
      </c>
      <c r="N183" s="203"/>
      <c r="O183" s="204"/>
      <c r="P183" s="205" t="n">
        <f t="shared" si="3"/>
        <v>0</v>
      </c>
      <c r="Q183" s="203"/>
      <c r="R183" s="204"/>
      <c r="S183" s="205" t="n">
        <f t="shared" si="4"/>
        <v>0</v>
      </c>
      <c r="T183" s="204"/>
      <c r="U183" s="204"/>
      <c r="V183" s="204"/>
      <c r="W183" s="204"/>
      <c r="X183" s="204"/>
      <c r="Y183" s="204"/>
      <c r="Z183" s="204"/>
      <c r="AA183" s="204"/>
    </row>
    <row r="184" ht="14.25" customHeight="1">
      <c r="A184" s="62"/>
      <c r="B184" s="62"/>
      <c r="C184" s="200"/>
      <c r="D184" s="200"/>
      <c r="E184" s="201"/>
      <c r="F184" s="200"/>
      <c r="G184" s="202"/>
      <c r="H184" s="203"/>
      <c r="I184" s="204"/>
      <c r="J184" s="205" t="n">
        <f t="shared" si="6"/>
        <v>0</v>
      </c>
      <c r="K184" s="203"/>
      <c r="L184" s="204"/>
      <c r="M184" s="205" t="n">
        <f t="shared" si="2"/>
        <v>0</v>
      </c>
      <c r="N184" s="203"/>
      <c r="O184" s="204"/>
      <c r="P184" s="205" t="n">
        <f t="shared" si="3"/>
        <v>0</v>
      </c>
      <c r="Q184" s="203"/>
      <c r="R184" s="204"/>
      <c r="S184" s="205" t="n">
        <f t="shared" si="4"/>
        <v>0</v>
      </c>
      <c r="T184" s="204"/>
      <c r="U184" s="204"/>
      <c r="V184" s="204"/>
      <c r="W184" s="204"/>
      <c r="X184" s="204"/>
      <c r="Y184" s="204"/>
      <c r="Z184" s="204"/>
      <c r="AA184" s="204"/>
    </row>
    <row r="185" ht="14.25" customHeight="1">
      <c r="A185" s="62"/>
      <c r="B185" s="62"/>
      <c r="C185" s="200"/>
      <c r="D185" s="200"/>
      <c r="E185" s="201"/>
      <c r="F185" s="200"/>
      <c r="G185" s="202"/>
      <c r="H185" s="203"/>
      <c r="I185" s="204"/>
      <c r="J185" s="205" t="n">
        <f t="shared" si="6"/>
        <v>0</v>
      </c>
      <c r="K185" s="203"/>
      <c r="L185" s="204"/>
      <c r="M185" s="205" t="n">
        <f t="shared" si="2"/>
        <v>0</v>
      </c>
      <c r="N185" s="203"/>
      <c r="O185" s="204"/>
      <c r="P185" s="205" t="n">
        <f t="shared" si="3"/>
        <v>0</v>
      </c>
      <c r="Q185" s="203"/>
      <c r="R185" s="204"/>
      <c r="S185" s="205" t="n">
        <f t="shared" si="4"/>
        <v>0</v>
      </c>
      <c r="T185" s="204"/>
      <c r="U185" s="204"/>
      <c r="V185" s="204"/>
      <c r="W185" s="204"/>
      <c r="X185" s="204"/>
      <c r="Y185" s="204"/>
      <c r="Z185" s="204"/>
      <c r="AA185" s="204"/>
    </row>
    <row r="186" ht="14.25" customHeight="1">
      <c r="A186" s="62"/>
      <c r="B186" s="62"/>
      <c r="C186" s="200"/>
      <c r="D186" s="200"/>
      <c r="E186" s="201"/>
      <c r="F186" s="200"/>
      <c r="G186" s="202"/>
      <c r="H186" s="203"/>
      <c r="I186" s="204"/>
      <c r="J186" s="205" t="n">
        <f t="shared" si="6"/>
        <v>0</v>
      </c>
      <c r="K186" s="203"/>
      <c r="L186" s="204"/>
      <c r="M186" s="205" t="n">
        <f t="shared" si="2"/>
        <v>0</v>
      </c>
      <c r="N186" s="203"/>
      <c r="O186" s="204"/>
      <c r="P186" s="205" t="n">
        <f t="shared" si="3"/>
        <v>0</v>
      </c>
      <c r="Q186" s="203"/>
      <c r="R186" s="204"/>
      <c r="S186" s="205" t="n">
        <f t="shared" si="4"/>
        <v>0</v>
      </c>
      <c r="T186" s="204"/>
      <c r="U186" s="204"/>
      <c r="V186" s="204"/>
      <c r="W186" s="204"/>
      <c r="X186" s="204"/>
      <c r="Y186" s="204"/>
      <c r="Z186" s="204"/>
      <c r="AA186" s="204"/>
    </row>
    <row r="187" ht="14.25" customHeight="1">
      <c r="A187" s="62"/>
      <c r="B187" s="62"/>
      <c r="C187" s="200"/>
      <c r="D187" s="200"/>
      <c r="E187" s="201"/>
      <c r="F187" s="200"/>
      <c r="G187" s="202"/>
      <c r="H187" s="203"/>
      <c r="I187" s="204"/>
      <c r="J187" s="205" t="n">
        <f t="shared" si="6"/>
        <v>0</v>
      </c>
      <c r="K187" s="203"/>
      <c r="L187" s="204"/>
      <c r="M187" s="205" t="n">
        <f t="shared" si="2"/>
        <v>0</v>
      </c>
      <c r="N187" s="203"/>
      <c r="O187" s="204"/>
      <c r="P187" s="205" t="n">
        <f t="shared" si="3"/>
        <v>0</v>
      </c>
      <c r="Q187" s="203"/>
      <c r="R187" s="204"/>
      <c r="S187" s="205" t="n">
        <f t="shared" si="4"/>
        <v>0</v>
      </c>
      <c r="T187" s="204"/>
      <c r="U187" s="204"/>
      <c r="V187" s="204"/>
      <c r="W187" s="204"/>
      <c r="X187" s="204"/>
      <c r="Y187" s="204"/>
      <c r="Z187" s="204"/>
      <c r="AA187" s="204"/>
    </row>
    <row r="188" ht="14.25" customHeight="1">
      <c r="A188" s="62"/>
      <c r="B188" s="62"/>
      <c r="C188" s="200"/>
      <c r="D188" s="200"/>
      <c r="E188" s="201"/>
      <c r="F188" s="200"/>
      <c r="G188" s="202"/>
      <c r="H188" s="203"/>
      <c r="I188" s="204"/>
      <c r="J188" s="205" t="n">
        <f t="shared" si="6"/>
        <v>0</v>
      </c>
      <c r="K188" s="203"/>
      <c r="L188" s="204"/>
      <c r="M188" s="205" t="n">
        <f t="shared" si="2"/>
        <v>0</v>
      </c>
      <c r="N188" s="203"/>
      <c r="O188" s="204"/>
      <c r="P188" s="205" t="n">
        <f t="shared" si="3"/>
        <v>0</v>
      </c>
      <c r="Q188" s="203"/>
      <c r="R188" s="204"/>
      <c r="S188" s="205" t="n">
        <f t="shared" si="4"/>
        <v>0</v>
      </c>
      <c r="T188" s="204"/>
      <c r="U188" s="204"/>
      <c r="V188" s="204"/>
      <c r="W188" s="204"/>
      <c r="X188" s="204"/>
      <c r="Y188" s="204"/>
      <c r="Z188" s="204"/>
      <c r="AA188" s="204"/>
    </row>
    <row r="189" ht="14.25" customHeight="1">
      <c r="A189" s="62"/>
      <c r="B189" s="62"/>
      <c r="C189" s="200"/>
      <c r="D189" s="200"/>
      <c r="E189" s="201"/>
      <c r="F189" s="200"/>
      <c r="G189" s="202"/>
      <c r="H189" s="203"/>
      <c r="I189" s="204"/>
      <c r="J189" s="205" t="n">
        <f t="shared" si="6"/>
        <v>0</v>
      </c>
      <c r="K189" s="203"/>
      <c r="L189" s="204"/>
      <c r="M189" s="205" t="n">
        <f t="shared" si="2"/>
        <v>0</v>
      </c>
      <c r="N189" s="203"/>
      <c r="O189" s="204"/>
      <c r="P189" s="205" t="n">
        <f t="shared" si="3"/>
        <v>0</v>
      </c>
      <c r="Q189" s="203"/>
      <c r="R189" s="204"/>
      <c r="S189" s="205" t="n">
        <f t="shared" si="4"/>
        <v>0</v>
      </c>
      <c r="T189" s="204"/>
      <c r="U189" s="204"/>
      <c r="V189" s="204"/>
      <c r="W189" s="204"/>
      <c r="X189" s="204"/>
      <c r="Y189" s="204"/>
      <c r="Z189" s="204"/>
      <c r="AA189" s="204"/>
    </row>
    <row r="190" ht="14.25" customHeight="1">
      <c r="A190" s="62"/>
      <c r="B190" s="62"/>
      <c r="C190" s="200"/>
      <c r="D190" s="200"/>
      <c r="E190" s="201"/>
      <c r="F190" s="200"/>
      <c r="G190" s="202"/>
      <c r="H190" s="203"/>
      <c r="I190" s="204"/>
      <c r="J190" s="205" t="n">
        <f t="shared" si="6"/>
        <v>0</v>
      </c>
      <c r="K190" s="203"/>
      <c r="L190" s="204"/>
      <c r="M190" s="205" t="n">
        <f t="shared" si="2"/>
        <v>0</v>
      </c>
      <c r="N190" s="203"/>
      <c r="O190" s="204"/>
      <c r="P190" s="205" t="n">
        <f t="shared" si="3"/>
        <v>0</v>
      </c>
      <c r="Q190" s="203"/>
      <c r="R190" s="204"/>
      <c r="S190" s="205" t="n">
        <f t="shared" si="4"/>
        <v>0</v>
      </c>
      <c r="T190" s="204"/>
      <c r="U190" s="204"/>
      <c r="V190" s="204"/>
      <c r="W190" s="204"/>
      <c r="X190" s="204"/>
      <c r="Y190" s="204"/>
      <c r="Z190" s="204"/>
      <c r="AA190" s="204"/>
    </row>
    <row r="191" ht="14.25" customHeight="1">
      <c r="A191" s="62"/>
      <c r="B191" s="62"/>
      <c r="C191" s="200"/>
      <c r="D191" s="200"/>
      <c r="E191" s="201"/>
      <c r="F191" s="200"/>
      <c r="G191" s="202"/>
      <c r="H191" s="203"/>
      <c r="I191" s="204"/>
      <c r="J191" s="205" t="n">
        <f t="shared" si="6"/>
        <v>0</v>
      </c>
      <c r="K191" s="203"/>
      <c r="L191" s="204"/>
      <c r="M191" s="205" t="n">
        <f t="shared" si="2"/>
        <v>0</v>
      </c>
      <c r="N191" s="203"/>
      <c r="O191" s="204"/>
      <c r="P191" s="205" t="n">
        <f t="shared" si="3"/>
        <v>0</v>
      </c>
      <c r="Q191" s="203"/>
      <c r="R191" s="204"/>
      <c r="S191" s="205" t="n">
        <f t="shared" si="4"/>
        <v>0</v>
      </c>
      <c r="T191" s="204"/>
      <c r="U191" s="204"/>
      <c r="V191" s="204"/>
      <c r="W191" s="204"/>
      <c r="X191" s="204"/>
      <c r="Y191" s="204"/>
      <c r="Z191" s="204"/>
      <c r="AA191" s="204"/>
    </row>
    <row r="192" ht="14.25" customHeight="1">
      <c r="A192" s="62"/>
      <c r="B192" s="62"/>
      <c r="C192" s="200"/>
      <c r="D192" s="200"/>
      <c r="E192" s="201"/>
      <c r="F192" s="200"/>
      <c r="G192" s="202"/>
      <c r="H192" s="203"/>
      <c r="I192" s="204"/>
      <c r="J192" s="205" t="n">
        <f t="shared" si="6"/>
        <v>0</v>
      </c>
      <c r="K192" s="203"/>
      <c r="L192" s="204"/>
      <c r="M192" s="205" t="n">
        <f t="shared" si="2"/>
        <v>0</v>
      </c>
      <c r="N192" s="203"/>
      <c r="O192" s="204"/>
      <c r="P192" s="205" t="n">
        <f t="shared" si="3"/>
        <v>0</v>
      </c>
      <c r="Q192" s="203"/>
      <c r="R192" s="204"/>
      <c r="S192" s="205" t="n">
        <f t="shared" si="4"/>
        <v>0</v>
      </c>
      <c r="T192" s="204"/>
      <c r="U192" s="204"/>
      <c r="V192" s="204"/>
      <c r="W192" s="204"/>
      <c r="X192" s="204"/>
      <c r="Y192" s="204"/>
      <c r="Z192" s="204"/>
      <c r="AA192" s="204"/>
    </row>
    <row r="193" ht="14.25" customHeight="1">
      <c r="A193" s="62"/>
      <c r="B193" s="62"/>
      <c r="C193" s="200"/>
      <c r="D193" s="200"/>
      <c r="E193" s="201"/>
      <c r="F193" s="200"/>
      <c r="G193" s="202"/>
      <c r="H193" s="203"/>
      <c r="I193" s="204"/>
      <c r="J193" s="205" t="n">
        <f t="shared" si="6"/>
        <v>0</v>
      </c>
      <c r="K193" s="203"/>
      <c r="L193" s="204"/>
      <c r="M193" s="205" t="n">
        <f t="shared" si="2"/>
        <v>0</v>
      </c>
      <c r="N193" s="203"/>
      <c r="O193" s="204"/>
      <c r="P193" s="205" t="n">
        <f t="shared" si="3"/>
        <v>0</v>
      </c>
      <c r="Q193" s="203"/>
      <c r="R193" s="204"/>
      <c r="S193" s="205" t="n">
        <f t="shared" si="4"/>
        <v>0</v>
      </c>
      <c r="T193" s="204"/>
      <c r="U193" s="204"/>
      <c r="V193" s="204"/>
      <c r="W193" s="204"/>
      <c r="X193" s="204"/>
      <c r="Y193" s="204"/>
      <c r="Z193" s="204"/>
      <c r="AA193" s="204"/>
    </row>
    <row r="194" ht="14.25" customHeight="1">
      <c r="A194" s="62"/>
      <c r="B194" s="62"/>
      <c r="C194" s="200"/>
      <c r="D194" s="200"/>
      <c r="E194" s="201"/>
      <c r="F194" s="200"/>
      <c r="G194" s="202"/>
      <c r="H194" s="203"/>
      <c r="I194" s="204"/>
      <c r="J194" s="205" t="n">
        <f t="shared" si="6"/>
        <v>0</v>
      </c>
      <c r="K194" s="203"/>
      <c r="L194" s="204"/>
      <c r="M194" s="205" t="n">
        <f t="shared" si="2"/>
        <v>0</v>
      </c>
      <c r="N194" s="203"/>
      <c r="O194" s="204"/>
      <c r="P194" s="205" t="n">
        <f t="shared" si="3"/>
        <v>0</v>
      </c>
      <c r="Q194" s="203"/>
      <c r="R194" s="204"/>
      <c r="S194" s="205" t="n">
        <f t="shared" si="4"/>
        <v>0</v>
      </c>
      <c r="T194" s="204"/>
      <c r="U194" s="204"/>
      <c r="V194" s="204"/>
      <c r="W194" s="204"/>
      <c r="X194" s="204"/>
      <c r="Y194" s="204"/>
      <c r="Z194" s="204"/>
      <c r="AA194" s="204"/>
    </row>
    <row r="195" ht="14.25" customHeight="1">
      <c r="A195" s="62"/>
      <c r="B195" s="62"/>
      <c r="C195" s="200"/>
      <c r="D195" s="200"/>
      <c r="E195" s="201"/>
      <c r="F195" s="200"/>
      <c r="G195" s="202"/>
      <c r="H195" s="203"/>
      <c r="I195" s="204"/>
      <c r="J195" s="205" t="n">
        <f t="shared" si="6"/>
        <v>0</v>
      </c>
      <c r="K195" s="203"/>
      <c r="L195" s="204"/>
      <c r="M195" s="205" t="n">
        <f t="shared" si="2"/>
        <v>0</v>
      </c>
      <c r="N195" s="203"/>
      <c r="O195" s="204"/>
      <c r="P195" s="205" t="n">
        <f t="shared" si="3"/>
        <v>0</v>
      </c>
      <c r="Q195" s="203"/>
      <c r="R195" s="204"/>
      <c r="S195" s="205" t="n">
        <f t="shared" si="4"/>
        <v>0</v>
      </c>
      <c r="T195" s="204"/>
      <c r="U195" s="204"/>
      <c r="V195" s="204"/>
      <c r="W195" s="204"/>
      <c r="X195" s="204"/>
      <c r="Y195" s="204"/>
      <c r="Z195" s="204"/>
      <c r="AA195" s="204"/>
    </row>
    <row r="196" ht="14.25" customHeight="1">
      <c r="A196" s="62"/>
      <c r="B196" s="62"/>
      <c r="C196" s="200"/>
      <c r="D196" s="200"/>
      <c r="E196" s="201"/>
      <c r="F196" s="200"/>
      <c r="G196" s="202"/>
      <c r="H196" s="203"/>
      <c r="I196" s="204"/>
      <c r="J196" s="205" t="n">
        <f t="shared" si="6"/>
        <v>0</v>
      </c>
      <c r="K196" s="203"/>
      <c r="L196" s="204"/>
      <c r="M196" s="205" t="n">
        <f t="shared" si="2"/>
        <v>0</v>
      </c>
      <c r="N196" s="203"/>
      <c r="O196" s="204"/>
      <c r="P196" s="205" t="n">
        <f t="shared" si="3"/>
        <v>0</v>
      </c>
      <c r="Q196" s="203"/>
      <c r="R196" s="204"/>
      <c r="S196" s="205" t="n">
        <f t="shared" si="4"/>
        <v>0</v>
      </c>
      <c r="T196" s="204"/>
      <c r="U196" s="204"/>
      <c r="V196" s="204"/>
      <c r="W196" s="204"/>
      <c r="X196" s="204"/>
      <c r="Y196" s="204"/>
      <c r="Z196" s="204"/>
      <c r="AA196" s="204"/>
    </row>
    <row r="197" ht="14.25" customHeight="1">
      <c r="A197" s="62"/>
      <c r="B197" s="62"/>
      <c r="C197" s="200"/>
      <c r="D197" s="200"/>
      <c r="E197" s="201"/>
      <c r="F197" s="200"/>
      <c r="G197" s="202"/>
      <c r="H197" s="203"/>
      <c r="I197" s="204"/>
      <c r="J197" s="205" t="n">
        <f t="shared" si="6"/>
        <v>0</v>
      </c>
      <c r="K197" s="203"/>
      <c r="L197" s="204"/>
      <c r="M197" s="205" t="n">
        <f t="shared" si="2"/>
        <v>0</v>
      </c>
      <c r="N197" s="203"/>
      <c r="O197" s="204"/>
      <c r="P197" s="205" t="n">
        <f t="shared" si="3"/>
        <v>0</v>
      </c>
      <c r="Q197" s="203"/>
      <c r="R197" s="204"/>
      <c r="S197" s="205" t="n">
        <f t="shared" si="4"/>
        <v>0</v>
      </c>
      <c r="T197" s="204"/>
      <c r="U197" s="204"/>
      <c r="V197" s="204"/>
      <c r="W197" s="204"/>
      <c r="X197" s="204"/>
      <c r="Y197" s="204"/>
      <c r="Z197" s="204"/>
      <c r="AA197" s="204"/>
    </row>
    <row r="198" ht="14.25" customHeight="1">
      <c r="A198" s="62"/>
      <c r="B198" s="62"/>
      <c r="C198" s="200"/>
      <c r="D198" s="200"/>
      <c r="E198" s="201"/>
      <c r="F198" s="200"/>
      <c r="G198" s="202"/>
      <c r="H198" s="203"/>
      <c r="I198" s="204"/>
      <c r="J198" s="205" t="n">
        <f t="shared" si="6"/>
        <v>0</v>
      </c>
      <c r="K198" s="203"/>
      <c r="L198" s="204"/>
      <c r="M198" s="205" t="n">
        <f t="shared" si="2"/>
        <v>0</v>
      </c>
      <c r="N198" s="203"/>
      <c r="O198" s="204"/>
      <c r="P198" s="205" t="n">
        <f t="shared" si="3"/>
        <v>0</v>
      </c>
      <c r="Q198" s="203"/>
      <c r="R198" s="204"/>
      <c r="S198" s="205" t="n">
        <f t="shared" si="4"/>
        <v>0</v>
      </c>
      <c r="T198" s="204"/>
      <c r="U198" s="204"/>
      <c r="V198" s="204"/>
      <c r="W198" s="204"/>
      <c r="X198" s="204"/>
      <c r="Y198" s="204"/>
      <c r="Z198" s="204"/>
      <c r="AA198" s="204"/>
    </row>
    <row r="199" ht="14.25" customHeight="1">
      <c r="A199" s="62"/>
      <c r="B199" s="62"/>
      <c r="C199" s="200"/>
      <c r="D199" s="200"/>
      <c r="E199" s="201"/>
      <c r="F199" s="200"/>
      <c r="G199" s="202"/>
      <c r="H199" s="203"/>
      <c r="I199" s="204"/>
      <c r="J199" s="205" t="n">
        <f t="shared" si="6"/>
        <v>0</v>
      </c>
      <c r="K199" s="203"/>
      <c r="L199" s="204"/>
      <c r="M199" s="205" t="n">
        <f t="shared" si="2"/>
        <v>0</v>
      </c>
      <c r="N199" s="203"/>
      <c r="O199" s="204"/>
      <c r="P199" s="205" t="n">
        <f t="shared" si="3"/>
        <v>0</v>
      </c>
      <c r="Q199" s="203"/>
      <c r="R199" s="204"/>
      <c r="S199" s="205" t="n">
        <f t="shared" si="4"/>
        <v>0</v>
      </c>
      <c r="T199" s="204"/>
      <c r="U199" s="204"/>
      <c r="V199" s="204"/>
      <c r="W199" s="204"/>
      <c r="X199" s="204"/>
      <c r="Y199" s="204"/>
      <c r="Z199" s="204"/>
      <c r="AA199" s="204"/>
    </row>
    <row r="200" ht="14.25" customHeight="1">
      <c r="A200" s="62"/>
      <c r="B200" s="62"/>
      <c r="C200" s="200"/>
      <c r="D200" s="200"/>
      <c r="E200" s="201"/>
      <c r="F200" s="200"/>
      <c r="G200" s="202"/>
      <c r="H200" s="203"/>
      <c r="I200" s="204"/>
      <c r="J200" s="205" t="n">
        <f t="shared" si="6"/>
        <v>0</v>
      </c>
      <c r="K200" s="203"/>
      <c r="L200" s="204"/>
      <c r="M200" s="205" t="n">
        <f t="shared" si="2"/>
        <v>0</v>
      </c>
      <c r="N200" s="203"/>
      <c r="O200" s="204"/>
      <c r="P200" s="205" t="n">
        <f t="shared" si="3"/>
        <v>0</v>
      </c>
      <c r="Q200" s="203"/>
      <c r="R200" s="204"/>
      <c r="S200" s="205" t="n">
        <f t="shared" si="4"/>
        <v>0</v>
      </c>
      <c r="T200" s="204"/>
      <c r="U200" s="204"/>
      <c r="V200" s="204"/>
      <c r="W200" s="204"/>
      <c r="X200" s="204"/>
      <c r="Y200" s="204"/>
      <c r="Z200" s="204"/>
      <c r="AA200" s="204"/>
    </row>
    <row r="201" ht="14.25" customHeight="1">
      <c r="A201" s="62"/>
      <c r="B201" s="62"/>
      <c r="C201" s="200"/>
      <c r="D201" s="200"/>
      <c r="E201" s="201"/>
      <c r="F201" s="200"/>
      <c r="G201" s="202"/>
      <c r="H201" s="203"/>
      <c r="I201" s="204"/>
      <c r="J201" s="205" t="n">
        <f t="shared" si="6"/>
        <v>0</v>
      </c>
      <c r="K201" s="203"/>
      <c r="L201" s="204"/>
      <c r="M201" s="205" t="n">
        <f t="shared" si="2"/>
        <v>0</v>
      </c>
      <c r="N201" s="203"/>
      <c r="O201" s="204"/>
      <c r="P201" s="205" t="n">
        <f t="shared" si="3"/>
        <v>0</v>
      </c>
      <c r="Q201" s="203"/>
      <c r="R201" s="204"/>
      <c r="S201" s="205" t="n">
        <f t="shared" si="4"/>
        <v>0</v>
      </c>
      <c r="T201" s="204"/>
      <c r="U201" s="204"/>
      <c r="V201" s="204"/>
      <c r="W201" s="204"/>
      <c r="X201" s="204"/>
      <c r="Y201" s="204"/>
      <c r="Z201" s="204"/>
      <c r="AA201" s="204"/>
    </row>
    <row r="202" ht="14.25" customHeight="1">
      <c r="A202" s="62"/>
      <c r="B202" s="62"/>
      <c r="C202" s="200"/>
      <c r="D202" s="200"/>
      <c r="E202" s="201"/>
      <c r="F202" s="200"/>
      <c r="G202" s="202"/>
      <c r="H202" s="203"/>
      <c r="I202" s="204"/>
      <c r="J202" s="205" t="n">
        <f t="shared" si="6"/>
        <v>0</v>
      </c>
      <c r="K202" s="203"/>
      <c r="L202" s="204"/>
      <c r="M202" s="205" t="n">
        <f t="shared" si="2"/>
        <v>0</v>
      </c>
      <c r="N202" s="203"/>
      <c r="O202" s="204"/>
      <c r="P202" s="205" t="n">
        <f t="shared" si="3"/>
        <v>0</v>
      </c>
      <c r="Q202" s="203"/>
      <c r="R202" s="204"/>
      <c r="S202" s="205" t="n">
        <f t="shared" si="4"/>
        <v>0</v>
      </c>
      <c r="T202" s="204"/>
      <c r="U202" s="204"/>
      <c r="V202" s="204"/>
      <c r="W202" s="204"/>
      <c r="X202" s="204"/>
      <c r="Y202" s="204"/>
      <c r="Z202" s="204"/>
      <c r="AA202" s="204"/>
    </row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3:H3"/>
    <mergeCell ref="A4:H5"/>
    <mergeCell ref="A6:H6"/>
    <mergeCell ref="A7:H7"/>
    <mergeCell ref="A8:H8"/>
    <mergeCell ref="A9:H9"/>
    <mergeCell ref="A10:H10"/>
    <mergeCell ref="K14:M15"/>
    <mergeCell ref="N14:P15"/>
    <mergeCell ref="Q14:S15"/>
    <mergeCell ref="T14:U14"/>
    <mergeCell ref="V14:W14"/>
    <mergeCell ref="X14:Z14"/>
    <mergeCell ref="A14:A16"/>
    <mergeCell ref="B14:B16"/>
    <mergeCell ref="C14:C16"/>
    <mergeCell ref="D14:D16"/>
    <mergeCell ref="E14:E16"/>
    <mergeCell ref="F14:F16"/>
    <mergeCell ref="H14:J15"/>
  </mergeCells>
  <dataValidations count="4">
    <dataValidation type="list" allowBlank="1" showErrorMessage="1" sqref="B17:B202">
      <formula1>'listas de opções'!$E$2:$E$64</formula1>
    </dataValidation>
    <dataValidation type="list" allowBlank="1" showErrorMessage="1" sqref="G17:G23 G25:G202">
      <formula1>'listas de opções'!$I$2:$I$5</formula1>
    </dataValidation>
    <dataValidation type="list" allowBlank="1" showErrorMessage="1" sqref="A17:A202">
      <formula1>'listas de opções'!$C$2:$C$18</formula1>
    </dataValidation>
    <dataValidation type="list" allowBlank="1" showErrorMessage="1" sqref="T17:AA202">
      <formula1>'listas de opções'!$G$2:$G$4</formula1>
    </dataValidation>
  </dataValidations>
  <pageMargins bottom="0.787401575" footer="0.0" header="0.0" left="0.511811024" right="0.511811024" top="0.78740157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josec</dc:creator>
  <cp:lastModifiedBy>josec</cp:lastModifiedBy>
  <dcterms:created xsi:type="dcterms:W3CDTF">2026-04-16T15:33:22Z</dcterms:created>
</coreProperties>
</file>