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1" activeTab="0"/>
  </bookViews>
  <sheets>
    <sheet name="listas de opções" sheetId="1" state="hidden" r:id="rId1"/>
    <sheet name="Tabela 1 APS - Descr." sheetId="2" state="visible" r:id="rId2"/>
    <sheet name="Tabela 1 APS - Dados" sheetId="3" state="visible" r:id="rId3"/>
    <sheet name="Tabela 1 APS - Referência AAE" sheetId="4" state="visible" r:id="rId4"/>
    <sheet name="Tabela 1 APS - Referência Bx. R" sheetId="5" state="visible" r:id="rId5"/>
    <sheet name="tabela 2 AGAR" sheetId="6" state="visible" r:id="rId6"/>
    <sheet name="tabela 3 ANEO" sheetId="7" state="visible" r:id="rId7"/>
    <sheet name="totais TABELA 4" sheetId="8" state="visible" r:id="rId8"/>
    <sheet name="tabela 4  leitos existentes" sheetId="9" state="visible" r:id="rId9"/>
    <sheet name="tabela 5 necessidade" sheetId="10" state="visible" r:id="rId10"/>
    <sheet name="tabela 6 rede de serviços final" sheetId="11" state="visible" r:id="rId11"/>
  </sheets>
  <calcPr/>
  <pivotCaches>
    <pivotCache cacheId="0" r:id="rId20001"/>
  </pivotCaches>
</workbook>
</file>

<file path=xl/sharedStrings.xml><?xml version="1.0" encoding="utf-8"?>
<sst xmlns="http://schemas.openxmlformats.org/spreadsheetml/2006/main" count="360" uniqueCount="360">
  <si>
    <t>RRAS</t>
  </si>
  <si>
    <t>DRS</t>
  </si>
  <si>
    <t>Região de Saúde</t>
  </si>
  <si>
    <t>STATUS</t>
  </si>
  <si>
    <t>HABILITAÇÃO MAB</t>
  </si>
  <si>
    <t>RRAS 01</t>
  </si>
  <si>
    <t>Aracatuba</t>
  </si>
  <si>
    <t>Adamantina</t>
  </si>
  <si>
    <t>Existente</t>
  </si>
  <si>
    <t>MAB I</t>
  </si>
  <si>
    <t>RRAS 02</t>
  </si>
  <si>
    <t>Araraquara</t>
  </si>
  <si>
    <t>Alta Anhanguera</t>
  </si>
  <si>
    <t>Novo</t>
  </si>
  <si>
    <t>MAB II</t>
  </si>
  <si>
    <t>RRAS 03</t>
  </si>
  <si>
    <t>Baixada Santista</t>
  </si>
  <si>
    <t>Alta Mogiana</t>
  </si>
  <si>
    <t>Não existe</t>
  </si>
  <si>
    <t>MAB III</t>
  </si>
  <si>
    <t>RRAS 04</t>
  </si>
  <si>
    <t>Barretos</t>
  </si>
  <si>
    <t>Alta Paulista</t>
  </si>
  <si>
    <t>SEM HABILITAÇÃO</t>
  </si>
  <si>
    <t>RRAS 05</t>
  </si>
  <si>
    <t>Bauru</t>
  </si>
  <si>
    <t>Alta Sorocabana</t>
  </si>
  <si>
    <t>RRAS 06</t>
  </si>
  <si>
    <t>Campinas</t>
  </si>
  <si>
    <t>Alto Capivari</t>
  </si>
  <si>
    <t>RRAS 07</t>
  </si>
  <si>
    <t>Franca</t>
  </si>
  <si>
    <t>Alto do Tiete</t>
  </si>
  <si>
    <t>RRAS 08</t>
  </si>
  <si>
    <t>Grande Sao Paulo</t>
  </si>
  <si>
    <t>Alto Vale do Paraiba</t>
  </si>
  <si>
    <t>RRAS 09</t>
  </si>
  <si>
    <t>Marilia</t>
  </si>
  <si>
    <t>Aquifero Guarani</t>
  </si>
  <si>
    <t>RRAS 10</t>
  </si>
  <si>
    <t>Piracicaba</t>
  </si>
  <si>
    <t>Araras</t>
  </si>
  <si>
    <t>RRAS 11</t>
  </si>
  <si>
    <t>Presidente Prudente</t>
  </si>
  <si>
    <t>Assis</t>
  </si>
  <si>
    <t>RRAS 12</t>
  </si>
  <si>
    <t>Registro</t>
  </si>
  <si>
    <t>Baixa Mogiana</t>
  </si>
  <si>
    <t>RRAS 13</t>
  </si>
  <si>
    <t>Ribeirao Preto</t>
  </si>
  <si>
    <t>RRAS 14</t>
  </si>
  <si>
    <t>Sao Joao da Boa Vista</t>
  </si>
  <si>
    <t>RRAS 15</t>
  </si>
  <si>
    <t>Sao Jose do Rio Preto</t>
  </si>
  <si>
    <t>Braganca</t>
  </si>
  <si>
    <t>RRAS 16</t>
  </si>
  <si>
    <t>Sorocaba</t>
  </si>
  <si>
    <t>Catanduva</t>
  </si>
  <si>
    <t>RRAS 17</t>
  </si>
  <si>
    <t>Taubate</t>
  </si>
  <si>
    <t>Central do DRS II</t>
  </si>
  <si>
    <t>Central do DRS III</t>
  </si>
  <si>
    <t>Centro Oeste do DRS III</t>
  </si>
  <si>
    <t>Circ. da Fe-V. Historico</t>
  </si>
  <si>
    <t>Circuito das Aguas</t>
  </si>
  <si>
    <t>Consorcio do DRS II</t>
  </si>
  <si>
    <t>Coracao do DRS III</t>
  </si>
  <si>
    <t>Extremo Oeste Paulista</t>
  </si>
  <si>
    <t>Fernandopolis</t>
  </si>
  <si>
    <t>Franco da Rocha</t>
  </si>
  <si>
    <t>Grande ABC</t>
  </si>
  <si>
    <t>Horizonte Verde</t>
  </si>
  <si>
    <t>Itapetininga</t>
  </si>
  <si>
    <t>Itapeva</t>
  </si>
  <si>
    <t>Jales</t>
  </si>
  <si>
    <t>Jau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</si>
  <si>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</si>
  <si>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</si>
  <si>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</si>
  <si>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</si>
  <si>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</si>
  <si>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</si>
  <si>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</si>
  <si>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Mantiqueira</t>
  </si>
  <si>
    <t>Norte - Barretos</t>
  </si>
  <si>
    <t>Norte do DRS III</t>
  </si>
  <si>
    <t>Ourinhos</t>
  </si>
  <si>
    <t>Polo Cuesta</t>
  </si>
  <si>
    <t>Pontal do Paranapanema</t>
  </si>
  <si>
    <t>Reg. Metrop. Campinas</t>
  </si>
  <si>
    <t>Rio Claro</t>
  </si>
  <si>
    <t>Rio Pardo</t>
  </si>
  <si>
    <t>Rota dos Bandeirantes</t>
  </si>
  <si>
    <t>Santa Fe do Sul</t>
  </si>
  <si>
    <t>Sao Paulo</t>
  </si>
  <si>
    <t>Sul - Barretos</t>
  </si>
  <si>
    <t>Tres Colinas</t>
  </si>
  <si>
    <t>Tupa</t>
  </si>
  <si>
    <t>V. Paraiba - R. Serrana</t>
  </si>
  <si>
    <t>Vale das Cachoeiras</t>
  </si>
  <si>
    <t>Vale do Jurumirim</t>
  </si>
  <si>
    <t>Vale do Ribeira</t>
  </si>
  <si>
    <t>Votuporanga</t>
  </si>
  <si>
    <t>RRAS:</t>
  </si>
  <si>
    <t>Planilha atualizada em: 04/11/2024</t>
  </si>
  <si>
    <r>
      <rPr>
        <rFont val="Arial"/>
        <color theme="1"/>
        <sz val="12.0"/>
      </rPr>
      <t xml:space="preserve">A </t>
    </r>
    <r>
      <rPr>
        <rFont val="Arial"/>
        <b/>
        <color theme="1"/>
        <sz val="12.0"/>
      </rPr>
      <t>tabela 1</t>
    </r>
    <r>
      <rPr>
        <rFont val="Arial"/>
        <color theme="1"/>
        <sz val="12.0"/>
      </rPr>
      <t xml:space="preserve"> se refere a capacidade do municipio/territorio para atendimento a gestante de baixo risco e apontamento da pactuação do serviço que realiza o Pré-Natal de Alto Risco (AGAR), a entrada deve ser coerente com as referencias e Região de Saúde.</t>
    </r>
  </si>
  <si>
    <r>
      <rPr>
        <rFont val="Arial"/>
        <b/>
        <color theme="1"/>
        <sz val="12.0"/>
      </rPr>
      <t>NASCIDOS VIVOS:</t>
    </r>
    <r>
      <rPr>
        <rFont val="Arial"/>
        <color theme="1"/>
        <sz val="12.0"/>
      </rPr>
      <t xml:space="preserve"> PARA ATUAL PLANO: CONSIDERAR ANO 2023</t>
    </r>
  </si>
  <si>
    <t>ESTIMATIVA DE GESTANTES SUSDEPENDENTE (CÁLCULO) = NV + 10% - % Cobertura Saude Suplementar (por municipio)-fonte: https://tabnet.saude.sp.gov.br/tabcgi.exe?tabnet/ind47a_matriz.def</t>
  </si>
  <si>
    <t>COBERTURA ANS - REFERENCIA 2023 (Fonte/Tabnet:https://tabnet.saude.sp.gov.br/tabcgi.exe?tabnet/ind47a_matriz.def)</t>
  </si>
  <si>
    <r>
      <rPr>
        <rFont val="Arial"/>
        <color theme="1"/>
        <sz val="12.0"/>
      </rPr>
      <t xml:space="preserve">Nº de UBS - Referência 2024. (Fonte: </t>
    </r>
    <r>
      <rPr>
        <rFont val="Arial"/>
        <color rgb="FF000000"/>
        <sz val="12.0"/>
      </rPr>
      <t>https://cnes2.datasus.gov.br/Mod_Ind_Unidade.asp?VEstado=35&amp;VMun=351380&amp;VComp=00&amp;VUni=02)</t>
    </r>
  </si>
  <si>
    <r>
      <rPr>
        <rFont val="Arial"/>
        <color theme="1"/>
        <sz val="12.0"/>
      </rPr>
      <t xml:space="preserve">COBERTURA DA ESF/MUNICÍPIO - Referência 2020 (Fonte: </t>
    </r>
    <r>
      <rPr>
        <rFont val="Arial"/>
        <color rgb="FF000000"/>
        <sz val="12.0"/>
      </rPr>
      <t>https://tabnet.saude.sp.gov.br/tabcgi.exe?tabnet/ind33a_matriz.def)</t>
    </r>
  </si>
  <si>
    <r>
      <rPr>
        <rFont val="Arial"/>
        <color theme="1"/>
        <sz val="12.0"/>
      </rPr>
      <t xml:space="preserve">COBERTURA DA AB/MUNICÍPIO - Referência 2020 (Fonte: </t>
    </r>
    <r>
      <rPr>
        <rFont val="Arial"/>
        <color rgb="FF000000"/>
        <sz val="12.0"/>
      </rPr>
      <t>https://tabnet.saude.sp.gov.br/tabcgi.exe?tabnet/ind33a_matriz.def)</t>
    </r>
  </si>
  <si>
    <t>GLOSSÁRIO</t>
  </si>
  <si>
    <r>
      <rPr>
        <rFont val="Arial"/>
        <b/>
        <color theme="1"/>
        <sz val="12.0"/>
      </rPr>
      <t>AAE</t>
    </r>
    <r>
      <rPr>
        <rFont val="Arial"/>
        <color theme="1"/>
        <sz val="12.0"/>
      </rPr>
      <t xml:space="preserve"> -Atenção Ambulatorial Especializada</t>
    </r>
  </si>
  <si>
    <r>
      <rPr>
        <rFont val="Arial"/>
        <b/>
        <color theme="1"/>
        <sz val="12.0"/>
      </rPr>
      <t>APS</t>
    </r>
    <r>
      <rPr>
        <rFont val="Arial"/>
        <color theme="1"/>
        <sz val="12.0"/>
      </rPr>
      <t xml:space="preserve"> - ATENÇÃO PRIMÁRIA À SAÚDE</t>
    </r>
  </si>
  <si>
    <r>
      <rPr>
        <rFont val="Arial"/>
        <b/>
        <color theme="1"/>
        <sz val="12.0"/>
      </rPr>
      <t>ESF</t>
    </r>
    <r>
      <rPr>
        <rFont val="Arial"/>
        <color theme="1"/>
        <sz val="12.0"/>
      </rPr>
      <t xml:space="preserve"> - ESTRATÉGIA SAÚDE DA FAMILIA</t>
    </r>
  </si>
  <si>
    <r>
      <rPr>
        <rFont val="Arial"/>
        <b/>
        <color theme="1"/>
        <sz val="12.0"/>
      </rPr>
      <t>UBS</t>
    </r>
    <r>
      <rPr>
        <rFont val="Arial"/>
        <color theme="1"/>
        <sz val="12.0"/>
      </rPr>
      <t xml:space="preserve"> - UNIDADE BÁSICA DE SAÚDE</t>
    </r>
  </si>
  <si>
    <r>
      <rPr>
        <rFont val="Arial"/>
        <b/>
        <color theme="1"/>
        <sz val="12.0"/>
      </rPr>
      <t>ANS</t>
    </r>
    <r>
      <rPr>
        <rFont val="Arial"/>
        <color theme="1"/>
        <sz val="12.0"/>
      </rPr>
      <t xml:space="preserve"> - AGENCIA NACIONAL DE SAUDE SUPLEMENTAR</t>
    </r>
  </si>
  <si>
    <t>Tabela: 1	    Cobertura de Acesso e capacidade instalada na Atenção Primária à Saúde (APS) para a gestação de baixo risco.</t>
  </si>
  <si>
    <t>RS</t>
  </si>
  <si>
    <t>MUNICIPIO</t>
  </si>
  <si>
    <t>NASCIDOS VIVOS MUNICIPIO (MÉDIA)</t>
  </si>
  <si>
    <t>COBERTURA ANS %</t>
  </si>
  <si>
    <t>Nº DE UBS</t>
  </si>
  <si>
    <t>COBERTURA DA ESF/MUNICIPIO</t>
  </si>
  <si>
    <t>COBERTURA DA APS/MUNICIPIO</t>
  </si>
  <si>
    <t>TOTAL DE GESTANTES SUSDEPENDENTES ESTIMADAS/ANO</t>
  </si>
  <si>
    <t>TOTAL DE NASCIDOS VIVOS SUSDEPENDENTES ESTIMADOS/ANO</t>
  </si>
  <si>
    <t>CNES/ESTABELECIMENTO PARA REFERENCIA PARA AAE (AGAR)</t>
  </si>
  <si>
    <t>CNES/ESTABELECIMENTO DA REFERENCIA PARA PARTO (BX RISCO)</t>
  </si>
  <si>
    <t>III-ARARAQUARA</t>
  </si>
  <si>
    <t>CENTRAL</t>
  </si>
  <si>
    <t>Américo Brasiliense</t>
  </si>
  <si>
    <t xml:space="preserve">Araraquara </t>
  </si>
  <si>
    <t>Boa Esperança do Sul</t>
  </si>
  <si>
    <t>Gavião Peixoto</t>
  </si>
  <si>
    <t>Motuca</t>
  </si>
  <si>
    <t>Rincão</t>
  </si>
  <si>
    <t>Santa Lucia</t>
  </si>
  <si>
    <t>Trabiju</t>
  </si>
  <si>
    <t>CENTRO-OESTE</t>
  </si>
  <si>
    <t>Borborema</t>
  </si>
  <si>
    <t xml:space="preserve">Matão </t>
  </si>
  <si>
    <t xml:space="preserve">Borborema </t>
  </si>
  <si>
    <t>Ibitinga</t>
  </si>
  <si>
    <t xml:space="preserve">Ibitinga </t>
  </si>
  <si>
    <t>Itápolis</t>
  </si>
  <si>
    <t>Nova Europa</t>
  </si>
  <si>
    <t>Tabatinga</t>
  </si>
  <si>
    <t>CORAÇÃO</t>
  </si>
  <si>
    <t>Descalvado</t>
  </si>
  <si>
    <t xml:space="preserve">São Carlos </t>
  </si>
  <si>
    <t>Dourado</t>
  </si>
  <si>
    <t>Ibaté</t>
  </si>
  <si>
    <t>Porto Ferreira</t>
  </si>
  <si>
    <t>Ribeirão Bonito</t>
  </si>
  <si>
    <t>São Carlos</t>
  </si>
  <si>
    <t>NORTE</t>
  </si>
  <si>
    <t>Cândido Rodrigues</t>
  </si>
  <si>
    <t>Taquaritinga</t>
  </si>
  <si>
    <t>Dobrada</t>
  </si>
  <si>
    <t>Matão</t>
  </si>
  <si>
    <t>Santa Ernestina</t>
  </si>
  <si>
    <t>REGIÃO DE SAÚDE</t>
  </si>
  <si>
    <t>MUNICÍPIO DA RRAS</t>
  </si>
  <si>
    <t>NASCIDOS VIVOS MUNICÍPIO</t>
  </si>
  <si>
    <t>COBERTURA ANS (%)</t>
  </si>
  <si>
    <t>COBERTURA DA ESF (%)</t>
  </si>
  <si>
    <t>COBERTURA DA AB (%)</t>
  </si>
  <si>
    <t>GESTANTES SUSDEPENDENTES ESTIMADAS/ANO</t>
  </si>
  <si>
    <t>NASCIDOS VIVOS SUSDEPENDENTES ESTIMADOS/ANO</t>
  </si>
  <si>
    <t>Central</t>
  </si>
  <si>
    <t>Centro-Oeste</t>
  </si>
  <si>
    <t>Coração</t>
  </si>
  <si>
    <t>Norte</t>
  </si>
  <si>
    <t>CNES</t>
  </si>
  <si>
    <t>NOME DO ESTABELECIMENTO</t>
  </si>
  <si>
    <t>MUNICÍPIO DO ESTABELECIMENTO</t>
  </si>
  <si>
    <t>Ambulatório de Atenção à Saúde Integral da Mulher</t>
  </si>
  <si>
    <t>Hospital Carlos Fernando Malzoni</t>
  </si>
  <si>
    <t>Maternidade Gota de Leite de Araraquara</t>
  </si>
  <si>
    <t>Hospital São Sebastião - Borborema</t>
  </si>
  <si>
    <t>Santa Casa de Caridade e Maternidade Ibitinga</t>
  </si>
  <si>
    <t>Santa Casa de Misericórdia Itápolis</t>
  </si>
  <si>
    <t>Santa Casa de Misericórdia de Nova Europa</t>
  </si>
  <si>
    <t>Santa Casa de Misericórdia São Miguel Tabatinga</t>
  </si>
  <si>
    <t>Santa Casa Descalvado</t>
  </si>
  <si>
    <t>Casa de Saúde Santa Emília</t>
  </si>
  <si>
    <t>APAE Ibaté</t>
  </si>
  <si>
    <t>Hospital Dona Balbina</t>
  </si>
  <si>
    <t>Santa Casa de Misericórdia de Ribeirão Bonito</t>
  </si>
  <si>
    <t>Santa Casa de São Carlos</t>
  </si>
  <si>
    <t>Santa Casa de Taquaritinga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</si>
  <si>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</si>
  <si>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</si>
  <si>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</si>
  <si>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</si>
  <si>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</si>
  <si>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</si>
  <si>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</si>
  <si>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</si>
  <si>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</si>
  <si>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</si>
  <si>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</si>
  <si>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</si>
  <si>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</si>
  <si>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</si>
  <si>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</si>
  <si>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</si>
  <si>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 xml:space="preserve">Municipal </t>
  </si>
  <si>
    <t>II</t>
  </si>
  <si>
    <t>S</t>
  </si>
  <si>
    <t xml:space="preserve">Estadual </t>
  </si>
  <si>
    <t>CAPACIDADE OPERACIONAL ALTO RISCO - ANEO</t>
  </si>
  <si>
    <r>
      <rPr>
        <rFont val="Arial"/>
        <b/>
        <color theme="1"/>
        <sz val="12.0"/>
      </rPr>
      <t>UNEO</t>
    </r>
    <r>
      <rPr>
        <rFont val="Arial"/>
        <color theme="1"/>
        <sz val="12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</si>
  <si>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</si>
  <si>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</si>
  <si>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</si>
  <si>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</si>
  <si>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</si>
  <si>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</si>
  <si>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</si>
  <si>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</si>
  <si>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</si>
  <si>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</si>
  <si>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</si>
  <si>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</si>
  <si>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</si>
  <si>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</si>
  <si>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>MUNICIPAL</t>
  </si>
  <si>
    <t xml:space="preserve">Gavião Peixoto 
</t>
  </si>
  <si>
    <t xml:space="preserve">Rincão </t>
  </si>
  <si>
    <t xml:space="preserve">Santa Lúcia </t>
  </si>
  <si>
    <t xml:space="preserve">CENTRO OESTE </t>
  </si>
  <si>
    <t>CENTRO OESTE</t>
  </si>
  <si>
    <t xml:space="preserve">Nova Europa </t>
  </si>
  <si>
    <t xml:space="preserve">Tabatinga </t>
  </si>
  <si>
    <t xml:space="preserve">CORAÇÃO </t>
  </si>
  <si>
    <t xml:space="preserve">Descalvado </t>
  </si>
  <si>
    <t xml:space="preserve">Dourado </t>
  </si>
  <si>
    <t xml:space="preserve">Taquaritinga </t>
  </si>
  <si>
    <t xml:space="preserve">REGIÃO DE SAUDE </t>
  </si>
  <si>
    <t>Soma de OBSTETRICOS</t>
  </si>
  <si>
    <t>Soma de GAR I</t>
  </si>
  <si>
    <t>Soma de GAR II</t>
  </si>
  <si>
    <t>Soma de SERVIÇO DE ATENDIMENTO SECUNDÁRIO OU TERCIÁRIO A GESTAÇÃO DE ALTO RISCO</t>
  </si>
  <si>
    <t>Soma de UTI ADULTO</t>
  </si>
  <si>
    <t>Soma de UTIN II</t>
  </si>
  <si>
    <t>Soma de UTIN III</t>
  </si>
  <si>
    <t>Soma de UCINCO</t>
  </si>
  <si>
    <t>Soma de UCINCA</t>
  </si>
  <si>
    <t>Soma de BLH</t>
  </si>
  <si>
    <t>III-ARARAQUARA Total</t>
  </si>
  <si>
    <t>Grand Total</t>
  </si>
  <si>
    <t>TABELA 4 :  LEITOS OBSTETRICOS E NEONATAIS EXISTENTES NA REDE</t>
  </si>
  <si>
    <t>OS ESTABELECIMENTOS CLASSIFICADOS COMO SERVIÇO DE ATENDIMENTO SECUNDÁRIO OU TERCIÁRIO A GESTAÇÃO DE ALTO RISCO DEVEM SER APONTADOS</t>
  </si>
  <si>
    <t>INSERIR SOMENTE OS LEITOS HABILITADOS, OS EXISTENTES DEVEM FAZER PARTE DA TABELA LEITOS A SEREM HABILITADOS</t>
  </si>
  <si>
    <t>OS LEITOS GAR FAZEM PARTE DOS LEITOS OBSTETRICOS, APONTAR O NÚMERO DE LEITOS HABILITADOS.</t>
  </si>
  <si>
    <t>NUMERO DE LEITOS  EXISTENTES DA REDE MATERNA E INFANTIL</t>
  </si>
  <si>
    <t>CNES/ESTABELECIMENTO</t>
  </si>
  <si>
    <t>OBSTETRICOS</t>
  </si>
  <si>
    <t>GAR I</t>
  </si>
  <si>
    <t>GAR II</t>
  </si>
  <si>
    <t>SERVIÇO DE ATENDIMENTO SECUNDÁRIO OU TERCIÁRIO A GESTAÇÃO DE ALTO RISCO</t>
  </si>
  <si>
    <t>UTI ADULTO</t>
  </si>
  <si>
    <t>UTIN II</t>
  </si>
  <si>
    <t>UTIN III</t>
  </si>
  <si>
    <t>UCINCO</t>
  </si>
  <si>
    <t>UCINCA</t>
  </si>
  <si>
    <t>CPN I
3 LEITOS</t>
  </si>
  <si>
    <t>CPN I
5 LEITOS</t>
  </si>
  <si>
    <t>CPN II
3 LEITOS</t>
  </si>
  <si>
    <t>CPN II
5 LEITOS</t>
  </si>
  <si>
    <t>CGBP
10 LEITOS</t>
  </si>
  <si>
    <t>CGBP
15 LEITOS</t>
  </si>
  <si>
    <t>CGBP
20 LEITOS</t>
  </si>
  <si>
    <t>BLH</t>
  </si>
  <si>
    <t>6943284-MATERNIDADE GOTA DE LEITE DE ARARAQUARA</t>
  </si>
  <si>
    <t xml:space="preserve">Não </t>
  </si>
  <si>
    <t>2081989 HOSP SÃO SEBASTIÃO BORBOREMA</t>
  </si>
  <si>
    <t>2082640 SANTA CASA DE CARIDADE E MATERNIDADE DE IBITINGA</t>
  </si>
  <si>
    <t xml:space="preserve">IBITINGA </t>
  </si>
  <si>
    <t>2079836 SANTA CASA DE MISERICORDIA ITAPOLIS</t>
  </si>
  <si>
    <t>ITAPOLIS</t>
  </si>
  <si>
    <t>2079399 SANTA CASA DE MISERICORDIA TABATINGA SP</t>
  </si>
  <si>
    <t xml:space="preserve">TABATINGA </t>
  </si>
  <si>
    <t>2747685 SANTA CASA DE MISERICORDIA NOVA EUROPA</t>
  </si>
  <si>
    <t>NOVA EUROPA</t>
  </si>
  <si>
    <t>2081717 SANTA CASA DESCALVADO</t>
  </si>
  <si>
    <t xml:space="preserve">DESCALVADO </t>
  </si>
  <si>
    <t>2747022 CASA DE SAUDE SANTA EMILIA</t>
  </si>
  <si>
    <t>2092395 HOSPITAL MUNICIPAL Ibaté</t>
  </si>
  <si>
    <t xml:space="preserve">Ibaté </t>
  </si>
  <si>
    <t>2747693 SANTA CASA DE MISERICORDIA RIBEIRAO BONITO</t>
  </si>
  <si>
    <t xml:space="preserve">Ribeirão Bonito </t>
  </si>
  <si>
    <t>2082322 HOSPITAL DONA BALBINA</t>
  </si>
  <si>
    <t xml:space="preserve">Porto Ferreira </t>
  </si>
  <si>
    <t>2080931-SANTA CASA DE SÃO CARLOS</t>
  </si>
  <si>
    <t xml:space="preserve">Sim </t>
  </si>
  <si>
    <t>2090961-SANTA CASA DE MATÃO</t>
  </si>
  <si>
    <t>ESTADUAL</t>
  </si>
  <si>
    <t>2078295-SANTA CASA DE TAQUARITINGA</t>
  </si>
  <si>
    <t>NUMERO DE LEITOS  NECESSÁRIOS PARA A  REDE MATERNA E INFANTIL</t>
  </si>
  <si>
    <t>NASCIDOS VIVOS SUSDEPENDENTES
(trazer da tabela1 APS)</t>
  </si>
  <si>
    <t xml:space="preserve">GAR </t>
  </si>
  <si>
    <t xml:space="preserve">UTIN 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</si>
  <si>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</si>
  <si>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</si>
  <si>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</si>
  <si>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</si>
  <si>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</si>
  <si>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</si>
  <si>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</si>
  <si>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</si>
  <si>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NUMERO DE LEITOS  EXISTENTES NA  REDE MATERNA E INFANTIL (trazer da aba "totais TABELA 4")</t>
  </si>
  <si>
    <t>TOTAL DE LEITOS EXISTENTES</t>
  </si>
  <si>
    <t>ANÁLISE DA SUFICIÊNCIA DE LEITOS  PARA A  REDE MATERNA E INFANTIL</t>
  </si>
  <si>
    <t xml:space="preserve">TOTAL DE LEITOS NECESSÁRIOS </t>
  </si>
  <si>
    <t>nº de CPN</t>
  </si>
  <si>
    <t>(1) Nº ANUAL DE PARTOS: Considerar para este plano a média de produção de partos dos anos de 2019/2020 e 2021</t>
  </si>
  <si>
    <t>(2) OBSTETRICOS : Somente assinalar com S(Sim) ou N(Não) o tipo de habilitação da maternidade, lembrar que serviços que tem leitos de alto risco não são elegíveis para receber o custeio global (MAB)</t>
  </si>
  <si>
    <t>(3) CGBP: Assinalar com Existente (E) ou Novo (N)</t>
  </si>
  <si>
    <t>(4) BLH ( banco de Leite Humano): Assinalar com Existente (E) ou Novo (N)</t>
  </si>
  <si>
    <t>LEITOS EXISTENTES: Leitos que já estão habilitados</t>
  </si>
  <si>
    <t>LEITOS NOVOS: Leitos a serem habilitados de acordo com a necessidade da Região</t>
  </si>
  <si>
    <t>TOTAL: Leitos totais por componente por maternidade</t>
  </si>
  <si>
    <t>Tabela 6: Serviços que compõe a RRAS, número de leitos existentes e novos.</t>
  </si>
  <si>
    <t xml:space="preserve">NUMERO DE LEITOS  </t>
  </si>
  <si>
    <t>Nº ANUAL DE PARTOS (1)</t>
  </si>
  <si>
    <t>OBSTETRICOS (2)</t>
  </si>
  <si>
    <t>UTIN</t>
  </si>
  <si>
    <t xml:space="preserve">20 LEITOS </t>
  </si>
  <si>
    <t xml:space="preserve">EXISTENTE </t>
  </si>
  <si>
    <t>NOVO</t>
  </si>
  <si>
    <t>TOTAL</t>
  </si>
  <si>
    <t>EXISTENTE</t>
  </si>
  <si>
    <t>6943284 MATERNIDADE GOTA DE LEITE DE ARARAQUARA</t>
  </si>
  <si>
    <t>ARARAQUARA</t>
  </si>
  <si>
    <t>N</t>
  </si>
  <si>
    <t>E</t>
  </si>
  <si>
    <t>TABATINGA</t>
  </si>
  <si>
    <t>ITÁPOLIS</t>
  </si>
  <si>
    <t>2081989 HOSPITAL SAO SEBASTIAO DE BORBOREMA</t>
  </si>
  <si>
    <t>BORBOREMA</t>
  </si>
  <si>
    <t>2082640 SANTA CASA DE CARIDADE E MATERNIDADE IBITINGA</t>
  </si>
  <si>
    <t>IBITINGA</t>
  </si>
  <si>
    <t>2080931 SANTA CASA DE SAO CARLOS</t>
  </si>
  <si>
    <t>SÃO CARLOS</t>
  </si>
  <si>
    <t>DESCALVADO</t>
  </si>
  <si>
    <t>PORTO FERREIRA</t>
  </si>
  <si>
    <t>2092395 HOSPITAL MUNICIPAL IBATE</t>
  </si>
  <si>
    <t>IBATÉ</t>
  </si>
  <si>
    <t>RIBEIRÃO BONITO</t>
  </si>
  <si>
    <t>2078295 SANTA CASA DE TAQUARITINGA</t>
  </si>
  <si>
    <t>TAQUARITINGA</t>
  </si>
  <si>
    <t>2090961 HOSPITAL CARLOS FERNANDO MALZONI MATAO</t>
  </si>
  <si>
    <t>MATÃO</t>
  </si>
  <si>
    <t xml:space="preserve">SANTA LÚCIA</t>
  </si>
  <si>
    <t xml:space="preserve">Central do DRS III</t>
  </si>
  <si>
    <t xml:space="preserve">Coração do DRS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</si>
</sst>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2.0"/>
      <color theme="1"/>
      <name val="Arial"/>
    </font>
    <font>
      <sz val="12.0"/>
      <color theme="1"/>
      <name val="Arial"/>
      <b/>
    </font>
    <font>
      <sz val="11.0"/>
      <color theme="1"/>
      <name val="Calibri"/>
      <b/>
      <i/>
      <u val="single"/>
      <strike/>
    </font>
    <font>
      <sz val="16.0"/>
      <color theme="1"/>
      <name val="Calibri"/>
      <b/>
    </font>
    <font>
      <sz val="11.0"/>
      <color theme="1"/>
      <name val="Calibri"/>
      <b/>
    </font>
    <font>
      <sz val="14.0"/>
      <color theme="1"/>
      <name val="Calibri"/>
      <b/>
    </font>
    <font>
      <sz val="9.0"/>
      <color theme="1"/>
      <name val="Calibri"/>
    </font>
    <font>
      <sz val="10.0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1" fontId="3" fillId="2" borderId="6" xfId="0" applyFont="1" applyNumberForma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4" fillId="4" borderId="5" xfId="0" applyFont="1" applyFill="1" applyBorder="1"/>
    <xf numFmtId="0" fontId="3" fillId="0" borderId="0" xfId="0" applyFont="1"/>
    <xf numFmtId="0" fontId="3" fillId="0" borderId="0" xfId="0" applyFont="1" applyAlignment="1">
      <alignment vertical="bottom"/>
    </xf>
    <xf numFmtId="0" fontId="3" fillId="5" borderId="7" xfId="0" applyFont="1" applyFill="1" applyBorder="1" applyAlignment="1">
      <alignment vertical="top" wrapText="1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3" fillId="5" borderId="0" xfId="0" applyFont="1" applyFill="1" applyAlignment="1">
      <alignment vertical="bottom"/>
    </xf>
    <xf numFmtId="1" fontId="3" fillId="0" borderId="0" xfId="0" applyFont="1" applyNumberFormat="1"/>
    <xf numFmtId="0" fontId="3" fillId="5" borderId="9" xfId="0" applyFont="1" applyFill="1" applyBorder="1" applyAlignment="1">
      <alignment vertical="bottom"/>
    </xf>
    <xf numFmtId="0" fontId="3" fillId="5" borderId="11" xfId="0" applyFont="1" applyFill="1" applyBorder="1" applyAlignment="1">
      <alignment vertical="bottom"/>
    </xf>
    <xf numFmtId="0" fontId="4" fillId="0" borderId="9" xfId="0" applyFont="1" applyBorder="1" applyAlignment="1">
      <alignment vertical="bottom"/>
    </xf>
    <xf numFmtId="0" fontId="3" fillId="5" borderId="12" xfId="0" applyFont="1" applyFill="1" applyBorder="1" applyAlignment="1">
      <alignment vertical="bottom"/>
    </xf>
    <xf numFmtId="0" fontId="5" fillId="0" borderId="13" xfId="0" applyFont="1" applyBorder="1"/>
    <xf numFmtId="0" fontId="5" fillId="0" borderId="14" xfId="0" applyFont="1" applyBorder="1"/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3" xfId="0" applyFont="1" applyNumberForma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" fontId="3" fillId="0" borderId="17" xfId="0" applyFont="1" applyNumberFormat="1" applyBorder="1" applyAlignment="1">
      <alignment horizontal="center" vertical="center" wrapText="1"/>
    </xf>
    <xf numFmtId="2" fontId="3" fillId="0" borderId="17" xfId="0" applyFont="1" applyNumberFormat="1" applyBorder="1" applyAlignment="1">
      <alignment horizontal="center" vertical="center" wrapText="1"/>
    </xf>
    <xf numFmtId="0" fontId="1" fillId="0" borderId="0" xfId="0" applyFont="1" applyAlignment="1">
      <alignment vertical="bottom"/>
    </xf>
    <xf numFmtId="2" fontId="1" fillId="0" borderId="0" xfId="0" applyFont="1" applyNumberFormat="1" applyAlignment="1">
      <alignment vertical="bottom"/>
    </xf>
    <xf numFmtId="0" fontId="3" fillId="0" borderId="0" xfId="0" applyFont="1" applyAlignment="1">
      <alignment horizontal="center" vertical="center"/>
    </xf>
    <xf numFmtId="0" fontId="6" fillId="0" borderId="4" xfId="0" applyFont="1" applyBorder="1"/>
    <xf numFmtId="49" fontId="6" fillId="3" borderId="5" xfId="0" applyFont="1" applyNumberFormat="1" applyFill="1" applyBorder="1"/>
    <xf numFmtId="0" fontId="7" fillId="0" borderId="18" xfId="0" applyFont="1" applyBorder="1" applyAlignment="1">
      <alignment horizontal="center"/>
    </xf>
    <xf numFmtId="0" fontId="5" fillId="0" borderId="15" xfId="0" applyFont="1" applyBorder="1"/>
    <xf numFmtId="0" fontId="5" fillId="0" borderId="11" xfId="0" applyFont="1" applyBorder="1"/>
    <xf numFmtId="0" fontId="2" fillId="0" borderId="7" xfId="0" applyFont="1" applyBorder="1" applyAlignment="1">
      <alignment horizontal="left" vertical="center" wrapText="1"/>
    </xf>
    <xf numFmtId="0" fontId="1" fillId="0" borderId="9" xfId="0" applyFont="1" applyBorder="1"/>
    <xf numFmtId="0" fontId="1" fillId="0" borderId="10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wrapText="1"/>
    </xf>
    <xf numFmtId="0" fontId="1" fillId="0" borderId="12" xfId="0" applyFont="1" applyBorder="1"/>
    <xf numFmtId="0" fontId="1" fillId="0" borderId="13" xfId="0" applyFont="1" applyBorder="1"/>
    <xf numFmtId="0" fontId="1" fillId="0" borderId="19" xfId="0" applyFont="1" applyBorder="1"/>
    <xf numFmtId="0" fontId="8" fillId="0" borderId="7" xfId="0" applyFont="1" applyBorder="1" applyAlignment="1">
      <alignment horizontal="center"/>
    </xf>
    <xf numFmtId="0" fontId="5" fillId="0" borderId="12" xfId="0" applyFont="1" applyBorder="1"/>
    <xf numFmtId="0" fontId="5" fillId="0" borderId="19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3" xfId="0" applyFont="1" applyFill="1" applyBorder="1"/>
    <xf numFmtId="0" fontId="1" fillId="6" borderId="3" xfId="0" applyFont="1" applyFill="1" applyBorder="1"/>
    <xf numFmtId="3" fontId="10" fillId="2" borderId="6" xfId="0" applyFont="1" applyNumberForma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4" fillId="3" borderId="5" xfId="0" applyFont="1" applyFill="1" applyBorder="1"/>
    <xf numFmtId="0" fontId="4" fillId="0" borderId="18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4" fillId="0" borderId="0" xfId="0" applyFont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6" borderId="6" xfId="0" applyFont="1" applyFill="1" applyBorder="1"/>
    <xf numFmtId="0" fontId="3" fillId="0" borderId="17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wrapText="1"/>
    </xf>
    <xf numFmtId="0" fontId="2" fillId="0" borderId="17" xfId="0" applyFont="1" applyBorder="1"/>
    <xf numFmtId="3" fontId="2" fillId="0" borderId="3" xfId="0" applyFont="1" applyNumberFormat="1" applyBorder="1" applyAlignment="1">
      <alignment horizontal="center" vertical="top" wrapText="1"/>
    </xf>
    <xf numFmtId="3" fontId="10" fillId="0" borderId="3" xfId="0" applyFont="1" applyNumberFormat="1" applyBorder="1" applyAlignment="1">
      <alignment horizontal="center" vertical="top" wrapText="1"/>
    </xf>
    <xf numFmtId="3" fontId="2" fillId="0" borderId="21" xfId="0" applyFont="1" applyNumberFormat="1" applyBorder="1" applyAlignment="1">
      <alignment horizontal="center" vertical="top" wrapText="1"/>
    </xf>
    <xf numFmtId="3" fontId="2" fillId="0" borderId="3" xfId="0" applyFont="1" applyNumberFormat="1" applyBorder="1"/>
    <xf numFmtId="3" fontId="1" fillId="0" borderId="3" xfId="0" applyFont="1" applyNumberFormat="1" applyBorder="1" applyAlignment="1">
      <alignment horizontal="center" vertical="top" wrapText="1"/>
    </xf>
    <xf numFmtId="3" fontId="1" fillId="0" borderId="21" xfId="0" applyFont="1" applyNumberFormat="1" applyBorder="1" applyAlignment="1">
      <alignment horizontal="center" vertical="top" wrapText="1"/>
    </xf>
    <xf numFmtId="3" fontId="1" fillId="0" borderId="3" xfId="0" applyFont="1" applyNumberFormat="1" applyBorder="1" applyAlignment="1">
      <alignment horizontal="center" wrapText="1"/>
    </xf>
    <xf numFmtId="3" fontId="1" fillId="0" borderId="21" xfId="0" applyFont="1" applyNumberFormat="1" applyBorder="1" applyAlignment="1">
      <alignment horizontal="center" wrapText="1"/>
    </xf>
    <xf numFmtId="3" fontId="1" fillId="0" borderId="3" xfId="0" applyFont="1" applyNumberFormat="1" applyBorder="1"/>
    <xf numFmtId="3" fontId="1" fillId="0" borderId="22" xfId="0" applyFont="1" applyNumberFormat="1" applyBorder="1" applyAlignment="1">
      <alignment horizontal="center" wrapText="1"/>
    </xf>
    <xf numFmtId="3" fontId="1" fillId="0" borderId="23" xfId="0" applyFont="1" applyNumberFormat="1" applyBorder="1" applyAlignment="1">
      <alignment horizontal="center" wrapText="1"/>
    </xf>
    <xf numFmtId="0" fontId="6" fillId="3" borderId="5" xfId="0" applyFont="1" applyFill="1" applyBorder="1"/>
    <xf numFmtId="0" fontId="7" fillId="0" borderId="0" xfId="0" applyFont="1"/>
    <xf numFmtId="0" fontId="1" fillId="7" borderId="7" xfId="0" applyFont="1" applyFill="1" applyBorder="1" applyAlignment="1">
      <alignment horizontal="left" vertical="top" wrapText="1"/>
    </xf>
    <xf numFmtId="0" fontId="5" fillId="0" borderId="24" xfId="0" applyFont="1" applyBorder="1"/>
    <xf numFmtId="0" fontId="1" fillId="7" borderId="0" xfId="0" applyFont="1" applyFill="1" applyAlignment="1">
      <alignment horizontal="left"/>
    </xf>
    <xf numFmtId="0" fontId="1" fillId="7" borderId="12" xfId="0" applyFont="1" applyFill="1" applyBorder="1" applyAlignment="1">
      <alignment horizontal="left"/>
    </xf>
    <xf numFmtId="0" fontId="6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5" fillId="0" borderId="1" xfId="0" applyFont="1" applyBorder="1"/>
    <xf numFmtId="0" fontId="5" fillId="0" borderId="17" xfId="0" applyFont="1" applyBorder="1"/>
    <xf numFmtId="0" fontId="1" fillId="0" borderId="3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wrapText="1"/>
    </xf>
    <xf numFmtId="1" fontId="2" fillId="3" borderId="3" xfId="0" applyFont="1" applyNumberFormat="1" applyFill="1" applyBorder="1" applyAlignment="1">
      <alignment horizontal="center" vertical="top" wrapText="1"/>
    </xf>
    <xf numFmtId="1" fontId="1" fillId="3" borderId="3" xfId="0" applyFont="1" applyNumberFormat="1" applyFill="1" applyBorder="1" applyAlignment="1">
      <alignment horizontal="center" vertical="top" wrapText="1"/>
    </xf>
    <xf numFmtId="3" fontId="1" fillId="2" borderId="3" xfId="0" applyFont="1" applyNumberFormat="1" applyFill="1" applyBorder="1" applyAlignment="1">
      <alignment wrapText="1"/>
    </xf>
    <xf numFmtId="0" fontId="7" fillId="0" borderId="0" xfId="0" applyFont="1" applyAlignment="1">
      <alignment horizontal="center"/>
    </xf>
    <xf numFmtId="1" fontId="1" fillId="0" borderId="0" xfId="0" applyFont="1" applyNumberFormat="1"/>
    <xf numFmtId="0" fontId="1" fillId="0" borderId="22" xfId="0" applyFont="1" applyBorder="1" applyAlignment="1">
      <alignment horizontal="center" vertical="top" wrapText="1"/>
    </xf>
    <xf numFmtId="49" fontId="1" fillId="3" borderId="20" xfId="0" applyFont="1" applyNumberFormat="1" applyFill="1" applyBorder="1" applyAlignment="1">
      <alignment wrapText="1"/>
    </xf>
    <xf numFmtId="49" fontId="1" fillId="3" borderId="3" xfId="0" applyFont="1" applyNumberForma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3" xfId="0" applyFont="1" applyBorder="1"/>
    <xf numFmtId="1" fontId="2" fillId="2" borderId="3" xfId="0" applyFont="1" applyNumberFormat="1" applyFill="1" applyBorder="1" applyAlignment="1">
      <alignment horizontal="center" vertical="top" wrapText="1"/>
    </xf>
    <xf numFmtId="1" fontId="1" fillId="2" borderId="3" xfId="0" applyFont="1" applyNumberForma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wrapText="1"/>
    </xf>
    <xf numFmtId="3" fontId="1" fillId="3" borderId="3" xfId="0" applyFont="1" applyNumberFormat="1" applyFill="1" applyBorder="1" applyAlignment="1">
      <alignment wrapText="1"/>
    </xf>
    <xf numFmtId="0" fontId="1" fillId="2" borderId="22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3" fontId="1" fillId="3" borderId="3" xfId="0" applyFont="1" applyNumberFormat="1" applyFill="1" applyBorder="1"/>
    <xf numFmtId="0" fontId="1" fillId="2" borderId="3" xfId="0" applyFont="1" applyFill="1" applyBorder="1" applyAlignment="1">
      <alignment horizontal="center" vertical="top" wrapText="1"/>
    </xf>
    <xf numFmtId="1" fontId="2" fillId="2" borderId="22" xfId="0" applyFont="1" applyNumberFormat="1" applyFill="1" applyBorder="1" applyAlignment="1">
      <alignment horizontal="center" vertical="top" wrapText="1"/>
    </xf>
    <xf numFmtId="1" fontId="1" fillId="2" borderId="22" xfId="0" applyFont="1" applyNumberForma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2" xfId="0" applyFont="1" applyFill="1" applyBorder="1"/>
    <xf numFmtId="0" fontId="1" fillId="2" borderId="14" xfId="0" applyFont="1" applyFill="1" applyBorder="1"/>
    <xf numFmtId="0" fontId="7" fillId="8" borderId="28" xfId="0" applyFont="1" applyFill="1" applyBorder="1" applyAlignment="1">
      <alignment horizontal="center"/>
    </xf>
    <xf numFmtId="0" fontId="1" fillId="8" borderId="3" xfId="0" applyFont="1" applyFill="1" applyBorder="1"/>
    <xf numFmtId="1" fontId="1" fillId="8" borderId="3" xfId="0" applyFont="1" applyNumberFormat="1" applyFill="1" applyBorder="1"/>
    <xf numFmtId="0" fontId="1" fillId="3" borderId="22" xfId="0" applyFont="1" applyFill="1" applyBorder="1" applyAlignment="1">
      <alignment wrapText="1"/>
    </xf>
    <xf numFmtId="1" fontId="2" fillId="3" borderId="22" xfId="0" applyFont="1" applyNumberFormat="1" applyFill="1" applyBorder="1" applyAlignment="1">
      <alignment horizontal="center" vertical="top" wrapText="1"/>
    </xf>
    <xf numFmtId="0" fontId="7" fillId="8" borderId="18" xfId="0" applyFont="1" applyFill="1" applyBorder="1" applyAlignment="1">
      <alignment horizontal="center"/>
    </xf>
    <xf numFmtId="0" fontId="1" fillId="8" borderId="5" xfId="0" applyFont="1" applyFill="1" applyBorder="1"/>
    <xf numFmtId="0" fontId="1" fillId="0" borderId="0" xfId="0" applyFont="1" applyAlignment="1">
      <alignment horizont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29" xfId="0" applyFont="1" applyBorder="1" applyAlignment="1">
      <alignment horizontal="left" vertical="top" wrapText="1"/>
    </xf>
    <xf numFmtId="0" fontId="5" fillId="0" borderId="29" xfId="0" applyFont="1" applyBorder="1"/>
    <xf numFmtId="0" fontId="5" fillId="0" borderId="26" xfId="0" applyFont="1" applyBorder="1"/>
    <xf numFmtId="0" fontId="5" fillId="0" borderId="30" xfId="0" applyFont="1" applyBorder="1"/>
    <xf numFmtId="0" fontId="6" fillId="4" borderId="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5" fillId="0" borderId="25" xfId="0" applyFont="1" applyBorder="1"/>
    <xf numFmtId="0" fontId="5" fillId="0" borderId="32" xfId="0" applyFont="1" applyBorder="1"/>
    <xf numFmtId="0" fontId="5" fillId="0" borderId="0" xfId="0" applyFont="1"/>
    <xf numFmtId="0" fontId="2" fillId="0" borderId="24" xfId="0" applyFont="1" applyBorder="1" applyAlignment="1">
      <alignment horizontal="center" vertical="top" wrapText="1"/>
    </xf>
    <xf numFmtId="0" fontId="5" fillId="0" borderId="20" xfId="0" applyFont="1" applyBorder="1"/>
    <xf numFmtId="0" fontId="2" fillId="0" borderId="2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6">
    <tableStyle count="3" pivot="0" name="listas de opções-style">
      <tableStyleElement dxfId="1" type="headerRow"/>
      <tableStyleElement dxfId="2" type="firstRowStripe"/>
      <tableStyleElement dxfId="3" type="secondRowStripe"/>
    </tableStyle>
    <tableStyle count="3" pivot="0" name="listas de opções-style 2">
      <tableStyleElement dxfId="1" type="headerRow"/>
      <tableStyleElement dxfId="2" type="firstRowStripe"/>
      <tableStyleElement dxfId="3" type="secondRowStripe"/>
    </tableStyle>
    <tableStyle count="3" pivot="0" name="listas de opções-style 3">
      <tableStyleElement dxfId="1" type="headerRow"/>
      <tableStyleElement dxfId="2" type="firstRowStripe"/>
      <tableStyleElement dxfId="3" type="secondRowStripe"/>
    </tableStyle>
    <tableStyle count="3" pivot="0" name="listas de opções-style 4">
      <tableStyleElement dxfId="1" type="headerRow"/>
      <tableStyleElement dxfId="2" type="firstRowStripe"/>
      <tableStyleElement dxfId="3" type="secondRowStripe"/>
    </tableStyle>
    <tableStyle count="3" pivot="0" name="listas de opções-style 5">
      <tableStyleElement dxfId="1" type="headerRow"/>
      <tableStyleElement dxfId="2" type="firstRowStripe"/>
      <tableStyleElement dxfId="3" type="secondRowStripe"/>
    </tableStyle>
    <tableStyle count="3" pivot="0" name="tabela 4  leitos existent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V26" sheet="tabela 4  leitos existentes"/>
  </cacheSource>
  <cacheFields>
    <cacheField name="DRS" numFmtId="0">
      <sharedItems>
        <s v="III-ARARAQUARA"/>
      </sharedItems>
    </cacheField>
    <cacheField name="REGIÃO DE SAUDE " numFmtId="0">
      <sharedItems>
        <s v="CENTRAL"/>
        <s v="CENTRO OESTE "/>
        <s v="CORAÇÃO"/>
        <s v="NORTE"/>
      </sharedItems>
    </cacheField>
    <cacheField name="CNES/ESTABELECIMENTO" numFmtId="0">
      <sharedItems>
        <s v="6943284-MATERNIDADE GOTA DE LEITE DE ARARAQUARA"/>
        <s v="2081989 HOSP SÃO SEBASTIÃO BORBOREMA"/>
        <s v="2082640 SANTA CASA DE CARIDADE E MATERNIDADE DE IBITINGA"/>
        <s v="2079836 SANTA CASA DE MISERICORDIA ITAPOLIS"/>
        <s v="2079399 SANTA CASA DE MISERICORDIA TABATINGA SP"/>
        <s v="2747685 SANTA CASA DE MISERICORDIA NOVA EUROPA"/>
        <s v="2081717 SANTA CASA DESCALVADO"/>
        <s v="2747022 CASA DE SAUDE SANTA EMILIA"/>
        <s v="2092395 HOSPITAL MUNICIPAL Ibaté"/>
        <s v="2747693 SANTA CASA DE MISERICORDIA RIBEIRAO BONITO"/>
        <s v="2082322 HOSPITAL DONA BALBINA"/>
        <s v="2080931-SANTA CASA DE SÃO CARLOS"/>
        <s v="2090961-SANTA CASA DE MATÃO"/>
        <s v="2078295-SANTA CASA DE TAQUARITINGA"/>
      </sharedItems>
    </cacheField>
    <cacheField name="MUNICIPIO" numFmtId="0">
      <sharedItems>
        <s v="Araraquara"/>
        <s v="Borborema "/>
        <s v="IBITINGA "/>
        <s v="ITAPOLIS"/>
        <s v="TABATINGA "/>
        <s v="NOVA EUROPA"/>
        <s v="DESCALVADO "/>
        <s v="Dourado"/>
        <s v="Ibaté "/>
        <s v="Ribeirão Bonito "/>
        <s v="Porto Ferreira "/>
        <s v="São Carlos"/>
        <s v="Matão"/>
        <s v="Taquaritinga"/>
      </sharedItems>
    </cacheField>
    <cacheField name="GESTÃO" numFmtId="0">
      <sharedItems>
        <s v="MUNICIPAL"/>
        <s v="ESTADUAL"/>
      </sharedItems>
    </cacheField>
    <cacheField name="OBSTETRICOS" numFmtId="3">
      <sharedItems containsSemiMixedTypes="0" containsString="0" containsNumber="1" containsInteger="1">
        <n v="36.0"/>
        <n v="2.0"/>
        <n v="6.0"/>
        <n v="4.0"/>
        <n v="5.0"/>
        <n v="1.0"/>
        <n v="3.0"/>
        <n v="7.0"/>
        <n v="8.0"/>
        <n v="25.0"/>
        <n v="20.0"/>
        <n v="11.0"/>
      </sharedItems>
    </cacheField>
    <cacheField name="GAR I" numFmtId="0">
      <sharedItems containsString="0" containsBlank="1">
        <m/>
      </sharedItems>
    </cacheField>
    <cacheField name="GAR II" numFmtId="3">
      <sharedItems containsString="0" containsBlank="1" containsNumber="1" containsInteger="1">
        <n v="3.0"/>
        <m/>
        <n v="4.0"/>
      </sharedItems>
    </cacheField>
    <cacheField name="SERVIÇO DE ATENDIMENTO SECUNDÁRIO OU TERCIÁRIO A GESTAÇÃO DE ALTO RISCO" numFmtId="0">
      <sharedItems containsString="0" containsBlank="1">
        <m/>
      </sharedItems>
    </cacheField>
    <cacheField name="UTI ADULTO" numFmtId="0">
      <sharedItems containsString="0" containsBlank="1" containsNumber="1" containsInteger="1">
        <m/>
        <n v="30.0"/>
        <n v="20.0"/>
      </sharedItems>
    </cacheField>
    <cacheField name="UTIN II" numFmtId="3">
      <sharedItems containsString="0" containsBlank="1" containsNumber="1" containsInteger="1">
        <n v="7.0"/>
        <m/>
        <n v="5.0"/>
        <n v="4.0"/>
      </sharedItems>
    </cacheField>
    <cacheField name="UTIN III" numFmtId="0">
      <sharedItems containsString="0" containsBlank="1" containsNumber="1" containsInteger="1">
        <m/>
        <n v="5.0"/>
      </sharedItems>
    </cacheField>
    <cacheField name="UCINCO" numFmtId="3">
      <sharedItems containsString="0" containsBlank="1" containsNumber="1" containsInteger="1">
        <n v="9.0"/>
        <m/>
        <n v="5.0"/>
        <n v="4.0"/>
      </sharedItems>
    </cacheField>
    <cacheField name="UCINCA" numFmtId="3">
      <sharedItems containsString="0" containsBlank="1" containsNumber="1" containsInteger="1">
        <n v="3.0"/>
        <m/>
        <n v="1.0"/>
      </sharedItems>
    </cacheField>
    <cacheField name="CPN I&#10;3 LEITOS" numFmtId="0">
      <sharedItems containsString="0" containsBlank="1">
        <m/>
      </sharedItems>
    </cacheField>
    <cacheField name="CPN I&#10;5 LEITOS" numFmtId="0">
      <sharedItems containsString="0" containsBlank="1">
        <m/>
      </sharedItems>
    </cacheField>
    <cacheField name="CPN II&#10;3 LEITOS" numFmtId="0">
      <sharedItems containsString="0" containsBlank="1">
        <m/>
      </sharedItems>
    </cacheField>
    <cacheField name="CPN II&#10;5 LEITOS" numFmtId="0">
      <sharedItems containsString="0" containsBlank="1">
        <m/>
      </sharedItems>
    </cacheField>
    <cacheField name="CGBP&#10;10 LEITOS" numFmtId="3">
      <sharedItems containsString="0" containsBlank="1" containsNumber="1" containsInteger="1">
        <n v="1.0"/>
        <m/>
      </sharedItems>
    </cacheField>
    <cacheField name="CGBP&#10;15 LEITOS" numFmtId="0">
      <sharedItems containsString="0" containsBlank="1">
        <m/>
      </sharedItems>
    </cacheField>
    <cacheField name="CGBP&#10;20 LEITOS" numFmtId="0">
      <sharedItems containsString="0" containsBlank="1">
        <m/>
      </sharedItems>
    </cacheField>
    <cacheField name="BLH" numFmtId="3">
      <sharedItems>
        <s v="Não "/>
        <s v="Sim "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name="totais TABELA 4" cacheId="0" dataCaption="" compact="0" compactData="0">
  <location ref="A3:L9" firstHeaderRow="0" firstDataRow="3" firstDataCol="0"/>
  <pivotFields>
    <pivotField name="DRS" axis="axisRow" compact="0" outline="0" multipleItemSelectionAllowed="1" showAll="0" sortType="ascending">
      <items>
        <item x="0"/>
        <item t="default"/>
      </items>
    </pivotField>
    <pivotField name="REGIÃO DE SAUDE 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NES/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STÃO" compact="0" outline="0" multipleItemSelectionAllowed="1" showAll="0">
      <items>
        <item x="0"/>
        <item x="1"/>
        <item t="default"/>
      </items>
    </pivotField>
    <pivotField name="OBSTETRICO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AR I" dataField="1" compact="0" outline="0" multipleItemSelectionAllowed="1" showAll="0">
      <items>
        <item x="0"/>
        <item t="default"/>
      </items>
    </pivotField>
    <pivotField name="GAR II" dataField="1" compact="0" numFmtId="3" outline="0" multipleItemSelectionAllowed="1" showAll="0">
      <items>
        <item x="0"/>
        <item x="1"/>
        <item x="2"/>
        <item t="default"/>
      </items>
    </pivotField>
    <pivotField name="SERVIÇO DE ATENDIMENTO SECUNDÁRIO OU TERCIÁRIO A GESTAÇÃO DE ALTO RISCO" dataField="1" compact="0" outline="0" multipleItemSelectionAllowed="1" showAll="0">
      <items>
        <item x="0"/>
        <item t="default"/>
      </items>
    </pivotField>
    <pivotField name="UTI ADULTO" dataField="1" compact="0" outline="0" multipleItemSelectionAllowed="1" showAll="0">
      <items>
        <item x="0"/>
        <item x="1"/>
        <item x="2"/>
        <item t="default"/>
      </items>
    </pivotField>
    <pivotField name="UTIN II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UTIN III" dataField="1" compact="0" outline="0" multipleItemSelectionAllowed="1" showAll="0">
      <items>
        <item x="0"/>
        <item x="1"/>
        <item t="default"/>
      </items>
    </pivotField>
    <pivotField name="UCINCO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UCINCA" dataField="1" compact="0" numFmtId="3" outline="0" multipleItemSelectionAllowed="1" showAll="0">
      <items>
        <item x="0"/>
        <item x="1"/>
        <item x="2"/>
        <item t="default"/>
      </items>
    </pivotField>
    <pivotField name="CPN I&#10;3 LEITOS" compact="0" outline="0" multipleItemSelectionAllowed="1" showAll="0">
      <items>
        <item x="0"/>
        <item t="default"/>
      </items>
    </pivotField>
    <pivotField name="CPN I&#10;5 LEITOS" compact="0" outline="0" multipleItemSelectionAllowed="1" showAll="0">
      <items>
        <item x="0"/>
        <item t="default"/>
      </items>
    </pivotField>
    <pivotField name="CPN II&#10;3 LEITOS" compact="0" outline="0" multipleItemSelectionAllowed="1" showAll="0">
      <items>
        <item x="0"/>
        <item t="default"/>
      </items>
    </pivotField>
    <pivotField name="CPN II&#10;5 LEITOS" compact="0" outline="0" multipleItemSelectionAllowed="1" showAll="0">
      <items>
        <item x="0"/>
        <item t="default"/>
      </items>
    </pivotField>
    <pivotField name="CGBP&#10;10 LEITOS" compact="0" numFmtId="3" outline="0" multipleItemSelectionAllowed="1" showAll="0">
      <items>
        <item x="0"/>
        <item x="1"/>
        <item t="default"/>
      </items>
    </pivotField>
    <pivotField name="CGBP&#10;15 LEITOS" compact="0" outline="0" multipleItemSelectionAllowed="1" showAll="0">
      <items>
        <item x="0"/>
        <item t="default"/>
      </items>
    </pivotField>
    <pivotField name="CGBP&#10;20 LEITOS" compact="0" outline="0" multipleItemSelectionAllowed="1" showAll="0">
      <items>
        <item x="0"/>
        <item t="default"/>
      </items>
    </pivotField>
    <pivotField name="BLH" dataField="1" compact="0" numFmtId="3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dataFields>
    <dataField name="Soma de OBSTETRICOS" fld="5" baseField="0"/>
    <dataField name="Soma de GAR I" fld="6" baseField="0"/>
    <dataField name="Soma de GAR II" fld="7" baseField="0"/>
    <dataField name="Soma de SERVIÇO DE ATENDIMENTO SECUNDÁRIO OU TERCIÁRIO A GESTAÇÃO DE ALTO RISCO" fld="8" baseField="0"/>
    <dataField name="Soma de UTI ADULTO" fld="9" baseField="0"/>
    <dataField name="Soma de UTIN II" fld="10" baseField="0"/>
    <dataField name="Soma de UTIN III" fld="11" baseField="0"/>
    <dataField name="Soma de UCINCO" fld="12" baseField="0"/>
    <dataField name="Soma de UCINCA" fld="13" baseField="0"/>
    <dataField name="Soma de BLH" fld="21" baseField="0"/>
  </dataFields>
</pivotTableDefinition>
</file>

<file path=xl/tables/table3.xml><?xml version="1.0" encoding="utf-8"?>
<table xmlns="http://schemas.openxmlformats.org/spreadsheetml/2006/main" ref="I1:I5" displayName="Table_5" name="Table_5" id="5">
  <tableColumns count="1">
    <tableColumn name="HABILITAÇÃO MAB" id="1"/>
  </tableColumns>
  <tableStyleInfo name="listas de opções-style 5" showColumnStripes="0" showFirstColumn="1" showLastColumn="1" showRowStripes="1"/>
</table>
</file>

<file path=xl/tables/table4.xml><?xml version="1.0" encoding="utf-8"?>
<table xmlns="http://schemas.openxmlformats.org/spreadsheetml/2006/main" ref="G1:G4" displayName="Table_4" name="Table_4" id="4">
  <tableColumns count="1">
    <tableColumn name="STATUS" id="1"/>
  </tableColumns>
  <tableStyleInfo name="listas de opções-style 4" showColumnStripes="0" showFirstColumn="1" showLastColumn="1" showRowStripes="1"/>
</table>
</file>

<file path=xl/tables/table5.xml><?xml version="1.0" encoding="utf-8"?>
<table xmlns="http://schemas.openxmlformats.org/spreadsheetml/2006/main" ref="E1:E64" displayName="Table_3" name="Table_3" id="3">
  <tableColumns count="1">
    <tableColumn name="Região de Saúde" id="1"/>
  </tableColumns>
  <tableStyleInfo name="listas de opções-style 3" showColumnStripes="0" showFirstColumn="1" showLastColumn="1" showRowStripes="1"/>
</table>
</file>

<file path=xl/tables/table6.xml><?xml version="1.0" encoding="utf-8"?>
<table xmlns="http://schemas.openxmlformats.org/spreadsheetml/2006/main" ref="A1:A18" displayName="Table_1" name="Table_1" id="1">
  <tableColumns count="1">
    <tableColumn name="RRAS" id="1"/>
  </tableColumns>
  <tableStyleInfo name="listas de opções-style" showColumnStripes="0" showFirstColumn="1" showLastColumn="1" showRowStripes="1"/>
</table>
</file>

<file path=xl/tables/table7.xml><?xml version="1.0" encoding="utf-8"?>
<table xmlns="http://schemas.openxmlformats.org/spreadsheetml/2006/main" ref="C1:C18" displayName="Table_2" name="Table_2" id="2">
  <tableColumns count="1">
    <tableColumn name="DRS" id="1"/>
  </tableColumns>
  <tableStyleInfo name="listas de opções-style 2" showColumnStripes="0" showFirstColumn="1" showLastColumn="1" showRowStripes="1"/>
</table>
</file>

<file path=xl/tables/table8.xml><?xml version="1.0" encoding="utf-8"?>
<table xmlns="http://schemas.openxmlformats.org/spreadsheetml/2006/main" ref="A12:V26" displayName="Table_6" name="Table_6" id="6">
  <tableColumns count="22">
    <tableColumn name="DRS" id="1"/>
    <tableColumn name="REGIÃO DE SAUDE " id="2"/>
    <tableColumn name="CNES/ESTABELECIMENTO" id="3"/>
    <tableColumn name="MUNICIPIO" id="4"/>
    <tableColumn name="GESTÃO" id="5"/>
    <tableColumn name="OBSTETRICOS" id="6"/>
    <tableColumn name="GAR I" id="7"/>
    <tableColumn name="GAR II" id="8"/>
    <tableColumn name="SERVIÇO DE ATENDIMENTO SECUNDÁRIO OU TERCIÁRIO A GESTAÇÃO DE ALTO RISCO" id="9"/>
    <tableColumn name="UTI ADULTO" id="10"/>
    <tableColumn name="UTIN II" id="11"/>
    <tableColumn name="UTIN III" id="12"/>
    <tableColumn name="UCINCO" id="13"/>
    <tableColumn name="UCINCA" id="14"/>
    <tableColumn name="CPN I_x000a_3 LEITOS" id="15"/>
    <tableColumn name="CPN I_x000a_5 LEITOS" id="16"/>
    <tableColumn name="CPN II_x000a_3 LEITOS" id="17"/>
    <tableColumn name="CPN II_x000a_5 LEITOS" id="18"/>
    <tableColumn name="CGBP_x000a_10 LEITOS" id="19"/>
    <tableColumn name="CGBP_x000a_15 LEITOS" id="20"/>
    <tableColumn name="CGBP_x000a_20 LEITOS" id="21"/>
    <tableColumn name="BLH" id="22"/>
  </tableColumns>
  <tableStyleInfo name="tabela 4  leitos exist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0001" Type="http://schemas.openxmlformats.org/officeDocument/2006/relationships/pivotTable" Target="../pivotTables/pivot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8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43" hidden="0" customWidth="1"/>
    <col min="2" max="2" width="8.71" hidden="0" customWidth="1"/>
    <col min="3" max="3" width="24" hidden="0" customWidth="1"/>
    <col min="4" max="4" width="8.71" hidden="0" customWidth="1"/>
    <col min="5" max="5" width="37" hidden="0" customWidth="1"/>
    <col min="6" max="6" width="8.71" hidden="0" customWidth="1"/>
    <col min="7" max="7" width="14" hidden="0" customWidth="1"/>
    <col min="8" max="8" width="8.71" hidden="0" customWidth="1"/>
    <col min="9" max="9" width="18.57" hidden="0" customWidth="1"/>
  </cols>
  <sheetData>
    <row r="1" ht="14.25" customHeight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</row>
    <row r="2" ht="14.25" customHeight="1">
      <c r="A2" s="1" t="s">
        <v>5</v>
      </c>
      <c r="C2" s="1" t="s">
        <v>6</v>
      </c>
      <c r="E2" s="1" t="s">
        <v>7</v>
      </c>
      <c r="G2" s="1" t="s">
        <v>8</v>
      </c>
      <c r="I2" s="1" t="s">
        <v>9</v>
      </c>
    </row>
    <row r="3" ht="14.25" customHeight="1">
      <c r="A3" s="1" t="s">
        <v>10</v>
      </c>
      <c r="C3" s="1" t="s">
        <v>11</v>
      </c>
      <c r="E3" s="1" t="s">
        <v>12</v>
      </c>
      <c r="G3" s="1" t="s">
        <v>13</v>
      </c>
      <c r="I3" s="1" t="s">
        <v>14</v>
      </c>
    </row>
    <row r="4" ht="14.25" customHeight="1">
      <c r="A4" s="1" t="s">
        <v>15</v>
      </c>
      <c r="C4" s="1" t="s">
        <v>16</v>
      </c>
      <c r="E4" s="1" t="s">
        <v>17</v>
      </c>
      <c r="G4" s="1" t="s">
        <v>18</v>
      </c>
      <c r="I4" s="1" t="s">
        <v>19</v>
      </c>
    </row>
    <row r="5" ht="14.25" customHeight="1">
      <c r="A5" s="1" t="s">
        <v>20</v>
      </c>
      <c r="C5" s="1" t="s">
        <v>21</v>
      </c>
      <c r="E5" s="1" t="s">
        <v>22</v>
      </c>
      <c r="I5" s="1" t="s">
        <v>23</v>
      </c>
    </row>
    <row r="6" ht="14.25" customHeight="1">
      <c r="A6" s="1" t="s">
        <v>24</v>
      </c>
      <c r="C6" s="1" t="s">
        <v>25</v>
      </c>
      <c r="E6" s="1" t="s">
        <v>26</v>
      </c>
    </row>
    <row r="7" ht="14.25" customHeight="1">
      <c r="A7" s="1" t="s">
        <v>27</v>
      </c>
      <c r="C7" s="1" t="s">
        <v>28</v>
      </c>
      <c r="E7" s="1" t="s">
        <v>29</v>
      </c>
    </row>
    <row r="8" ht="14.25" customHeight="1">
      <c r="A8" s="1" t="s">
        <v>30</v>
      </c>
      <c r="C8" s="1" t="s">
        <v>31</v>
      </c>
      <c r="E8" s="1" t="s">
        <v>32</v>
      </c>
    </row>
    <row r="9" ht="14.25" customHeight="1">
      <c r="A9" s="1" t="s">
        <v>33</v>
      </c>
      <c r="C9" s="1" t="s">
        <v>34</v>
      </c>
      <c r="E9" s="1" t="s">
        <v>35</v>
      </c>
    </row>
    <row r="10" ht="14.25" customHeight="1">
      <c r="A10" s="1" t="s">
        <v>36</v>
      </c>
      <c r="C10" s="1" t="s">
        <v>37</v>
      </c>
      <c r="E10" s="1" t="s">
        <v>38</v>
      </c>
    </row>
    <row r="11" ht="14.25" customHeight="1">
      <c r="A11" s="1" t="s">
        <v>39</v>
      </c>
      <c r="C11" s="1" t="s">
        <v>40</v>
      </c>
      <c r="E11" s="1" t="s">
        <v>41</v>
      </c>
    </row>
    <row r="12" ht="14.25" customHeight="1">
      <c r="A12" s="1" t="s">
        <v>42</v>
      </c>
      <c r="C12" s="1" t="s">
        <v>43</v>
      </c>
      <c r="E12" s="1" t="s">
        <v>44</v>
      </c>
    </row>
    <row r="13" ht="14.25" customHeight="1">
      <c r="A13" s="1" t="s">
        <v>45</v>
      </c>
      <c r="C13" s="1" t="s">
        <v>46</v>
      </c>
      <c r="E13" s="1" t="s">
        <v>47</v>
      </c>
    </row>
    <row r="14" ht="14.25" customHeight="1">
      <c r="A14" s="1" t="s">
        <v>48</v>
      </c>
      <c r="C14" s="1" t="s">
        <v>49</v>
      </c>
      <c r="E14" s="1" t="s">
        <v>16</v>
      </c>
    </row>
    <row r="15" ht="14.25" customHeight="1">
      <c r="A15" s="1" t="s">
        <v>50</v>
      </c>
      <c r="C15" s="1" t="s">
        <v>51</v>
      </c>
      <c r="E15" s="1" t="s">
        <v>25</v>
      </c>
    </row>
    <row r="16" ht="14.25" customHeight="1">
      <c r="A16" s="1" t="s">
        <v>52</v>
      </c>
      <c r="C16" s="1" t="s">
        <v>53</v>
      </c>
      <c r="E16" s="1" t="s">
        <v>54</v>
      </c>
    </row>
    <row r="17" ht="14.25" customHeight="1">
      <c r="A17" s="1" t="s">
        <v>55</v>
      </c>
      <c r="C17" s="1" t="s">
        <v>56</v>
      </c>
      <c r="E17" s="1" t="s">
        <v>57</v>
      </c>
    </row>
    <row r="18" ht="14.25" customHeight="1">
      <c r="A18" s="1" t="s">
        <v>58</v>
      </c>
      <c r="C18" s="1" t="s">
        <v>59</v>
      </c>
      <c r="E18" s="1" t="s">
        <v>60</v>
      </c>
    </row>
    <row r="19" ht="14.25" customHeight="1">
      <c r="E19" s="1" t="s">
        <v>61</v>
      </c>
    </row>
    <row r="20" ht="14.25" customHeight="1">
      <c r="E20" s="1" t="s">
        <v>62</v>
      </c>
    </row>
    <row r="21" ht="14.25" customHeight="1">
      <c r="E21" s="1" t="s">
        <v>63</v>
      </c>
    </row>
    <row r="22" ht="14.25" customHeight="1">
      <c r="E22" s="1" t="s">
        <v>64</v>
      </c>
    </row>
    <row r="23" ht="14.25" customHeight="1">
      <c r="E23" s="1" t="s">
        <v>65</v>
      </c>
    </row>
    <row r="24" ht="14.25" customHeight="1">
      <c r="E24" s="1" t="s">
        <v>66</v>
      </c>
    </row>
    <row r="25" ht="14.25" customHeight="1">
      <c r="E25" s="1" t="s">
        <v>67</v>
      </c>
    </row>
    <row r="26" ht="14.25" customHeight="1">
      <c r="E26" s="1" t="s">
        <v>68</v>
      </c>
    </row>
    <row r="27" ht="14.25" customHeight="1">
      <c r="E27" s="1" t="s">
        <v>69</v>
      </c>
    </row>
    <row r="28" ht="14.25" customHeight="1">
      <c r="E28" s="1" t="s">
        <v>70</v>
      </c>
    </row>
    <row r="29" ht="14.25" customHeight="1">
      <c r="E29" s="1" t="s">
        <v>71</v>
      </c>
    </row>
    <row r="30" ht="14.25" customHeight="1">
      <c r="E30" s="1" t="s">
        <v>72</v>
      </c>
    </row>
    <row r="31" ht="14.25" customHeight="1">
      <c r="E31" s="1" t="s">
        <v>73</v>
      </c>
    </row>
    <row r="32" ht="14.25" customHeight="1">
      <c r="E32" s="1" t="s">
        <v>74</v>
      </c>
    </row>
    <row r="33" ht="14.25" customHeight="1">
      <c r="E33" s="1" t="s">
        <v>75</v>
      </c>
    </row>
    <row r="34" ht="14.25" customHeight="1">
      <c r="E34" s="1" t="s">
        <v>76</v>
      </c>
    </row>
    <row r="35" ht="14.25" customHeight="1">
      <c r="E35" s="1" t="s">
        <v>77</v>
      </c>
    </row>
    <row r="36" ht="14.25" customHeight="1">
      <c r="E36" s="1" t="s">
        <v>78</v>
      </c>
    </row>
    <row r="37" ht="14.25" customHeight="1">
      <c r="E37" s="1" t="s">
        <v>79</v>
      </c>
    </row>
    <row r="38" ht="14.25" customHeight="1">
      <c r="E38" s="1" t="s">
        <v>80</v>
      </c>
    </row>
    <row r="39" ht="14.25" customHeight="1">
      <c r="E39" s="1" t="s">
        <v>81</v>
      </c>
    </row>
    <row r="40" ht="14.25" customHeight="1">
      <c r="E40" s="1" t="s">
        <v>82</v>
      </c>
    </row>
    <row r="41" ht="14.25" customHeight="1">
      <c r="E41" s="1" t="s">
        <v>83</v>
      </c>
    </row>
    <row r="42" ht="14.25" customHeight="1">
      <c r="E42" s="1" t="s">
        <v>37</v>
      </c>
    </row>
    <row r="43" ht="14.25" customHeight="1">
      <c r="E43" s="1" t="s">
        <v>84</v>
      </c>
    </row>
    <row r="44" ht="14.25" customHeight="1">
      <c r="E44" s="1" t="s">
        <v>85</v>
      </c>
    </row>
    <row r="45" ht="14.25" customHeight="1">
      <c r="E45" s="1" t="s">
        <v>86</v>
      </c>
    </row>
    <row r="46" ht="14.25" customHeight="1">
      <c r="E46" s="1" t="s">
        <v>40</v>
      </c>
    </row>
    <row r="47" ht="14.25" customHeight="1">
      <c r="E47" s="1" t="s">
        <v>87</v>
      </c>
    </row>
    <row r="48" ht="14.25" customHeight="1">
      <c r="E48" s="1" t="s">
        <v>88</v>
      </c>
    </row>
    <row r="49" ht="14.25" customHeight="1">
      <c r="E49" s="1" t="s">
        <v>89</v>
      </c>
    </row>
    <row r="50" ht="14.25" customHeight="1">
      <c r="E50" s="1" t="s">
        <v>90</v>
      </c>
    </row>
    <row r="51" ht="14.25" customHeight="1">
      <c r="E51" s="1" t="s">
        <v>91</v>
      </c>
    </row>
    <row r="52" ht="14.25" customHeight="1">
      <c r="E52" s="1" t="s">
        <v>92</v>
      </c>
    </row>
    <row r="53" ht="14.25" customHeight="1">
      <c r="E53" s="1" t="s">
        <v>93</v>
      </c>
    </row>
    <row r="54" ht="14.25" customHeight="1">
      <c r="E54" s="1" t="s">
        <v>53</v>
      </c>
    </row>
    <row r="55" ht="14.25" customHeight="1">
      <c r="E55" s="1" t="s">
        <v>94</v>
      </c>
    </row>
    <row r="56" ht="14.25" customHeight="1">
      <c r="E56" s="1" t="s">
        <v>56</v>
      </c>
    </row>
    <row r="57" ht="14.25" customHeight="1">
      <c r="E57" s="1" t="s">
        <v>95</v>
      </c>
    </row>
    <row r="58" ht="14.25" customHeight="1">
      <c r="E58" s="1" t="s">
        <v>96</v>
      </c>
    </row>
    <row r="59" ht="14.25" customHeight="1">
      <c r="E59" s="1" t="s">
        <v>97</v>
      </c>
    </row>
    <row r="60" ht="14.25" customHeight="1">
      <c r="E60" s="1" t="s">
        <v>98</v>
      </c>
    </row>
    <row r="61" ht="14.25" customHeight="1">
      <c r="E61" s="1" t="s">
        <v>99</v>
      </c>
    </row>
    <row r="62" ht="14.25" customHeight="1">
      <c r="E62" s="1" t="s">
        <v>100</v>
      </c>
    </row>
    <row r="63" ht="14.25" customHeight="1">
      <c r="E63" s="1" t="s">
        <v>101</v>
      </c>
    </row>
    <row r="64" ht="14.25" customHeight="1">
      <c r="E64" s="1" t="s">
        <v>102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20.86" hidden="0" customWidth="1"/>
    <col min="2" max="2" width="20.71" hidden="0" customWidth="1"/>
    <col min="3" max="3" width="19.29" hidden="0" customWidth="1"/>
    <col min="4" max="4" width="19.14" hidden="0" customWidth="1"/>
    <col min="5" max="5" width="15.71" hidden="0" customWidth="1"/>
    <col min="6" max="6" width="12.71" hidden="0" customWidth="1"/>
    <col min="7" max="7" width="19.57" hidden="0" customWidth="1"/>
    <col min="8" max="8" width="20.43" hidden="0" customWidth="1"/>
    <col min="9" max="9" width="24.14" hidden="0" customWidth="1"/>
    <col min="10" max="10" width="23.71" hidden="0" customWidth="1"/>
    <col min="11" max="11" width="29.14" hidden="0" customWidth="1"/>
    <col min="12" max="12" width="14.29" hidden="0" customWidth="1"/>
    <col min="13" max="13" width="32" hidden="0" customWidth="1"/>
    <col min="14" max="14" width="15.29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</cols>
  <sheetData>
    <row r="1" ht="14.25" customHeight="1">
      <c r="A1" s="5" t="s">
        <v>103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4.2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4.25" customHeight="1">
      <c r="A3" s="13" t="s">
        <v>104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4.2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4.2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4.25" customHeight="1">
      <c r="A6" s="14" t="s">
        <v>105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7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4.25" customHeight="1">
      <c r="A7" s="16"/>
      <c r="L7" s="17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4.25" customHeight="1">
      <c r="A8" s="18" t="s">
        <v>106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  <c r="M8" s="12"/>
      <c r="N8" s="12"/>
      <c r="O8" s="12"/>
      <c r="P8" s="12"/>
      <c r="Q8" s="12"/>
      <c r="R8" s="12"/>
      <c r="S8" s="19"/>
      <c r="T8" s="12"/>
      <c r="U8" s="12"/>
      <c r="V8" s="12"/>
      <c r="W8" s="12"/>
      <c r="X8" s="12"/>
      <c r="Y8" s="12"/>
      <c r="Z8" s="12"/>
      <c r="AA8" s="12"/>
    </row>
    <row r="9" ht="14.25" customHeight="1">
      <c r="A9" s="18" t="s">
        <v>107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4.25" customHeight="1">
      <c r="A10" s="18" t="s">
        <v>108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4.25" customHeight="1">
      <c r="A11" s="18" t="s">
        <v>109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4.25" customHeight="1">
      <c r="A12" s="20" t="s">
        <v>110</v>
      </c>
      <c r="L12" s="17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4.25" customHeight="1">
      <c r="A13" s="20" t="s">
        <v>111</v>
      </c>
      <c r="L13" s="17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4.25" customHeight="1">
      <c r="A14" s="20"/>
      <c r="L14" s="17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4.25" customHeight="1">
      <c r="A15" s="22" t="s">
        <v>112</v>
      </c>
      <c r="L15" s="17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4.25" customHeight="1">
      <c r="A16" s="18" t="s">
        <v>113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4.25" customHeight="1">
      <c r="A17" s="18" t="s">
        <v>114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7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4.25" customHeight="1">
      <c r="A18" s="18" t="s">
        <v>115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4.25" customHeight="1">
      <c r="A19" s="18" t="s">
        <v>116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4.25" customHeight="1">
      <c r="A20" s="23" t="s">
        <v>117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4.25" customHeight="1">
      <c r="A24" s="26" t="s">
        <v>118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4.25" customHeight="1">
      <c r="A26" s="28" t="s">
        <v>1</v>
      </c>
      <c r="B26" s="29" t="s">
        <v>119</v>
      </c>
      <c r="C26" s="3" t="s">
        <v>120</v>
      </c>
      <c r="D26" s="4" t="s">
        <v>121</v>
      </c>
      <c r="E26" s="4" t="s">
        <v>122</v>
      </c>
      <c r="F26" s="4" t="s">
        <v>123</v>
      </c>
      <c r="G26" s="4" t="s">
        <v>124</v>
      </c>
      <c r="H26" s="4" t="s">
        <v>125</v>
      </c>
      <c r="I26" s="4" t="s">
        <v>126</v>
      </c>
      <c r="J26" s="4" t="s">
        <v>127</v>
      </c>
      <c r="K26" s="4" t="s">
        <v>128</v>
      </c>
      <c r="L26" s="4" t="s">
        <v>120</v>
      </c>
      <c r="M26" s="4" t="s">
        <v>129</v>
      </c>
      <c r="N26" s="6" t="s">
        <v>120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7" t="s">
        <v>130</v>
      </c>
      <c r="B27" s="7" t="s">
        <v>131</v>
      </c>
      <c r="C27" s="7" t="s">
        <v>132</v>
      </c>
      <c r="D27" s="8" t="n">
        <v>368.0</v>
      </c>
      <c r="E27" s="7" t="n">
        <v>46.15</v>
      </c>
      <c r="F27" s="7" t="n">
        <v>4.0</v>
      </c>
      <c r="G27" s="7" t="n">
        <v>17.04</v>
      </c>
      <c r="H27" s="7" t="n">
        <v>39.26</v>
      </c>
      <c r="I27" s="9" t="n">
        <f t="shared" ref="I27:I50" si="1">(D27*(1-E27/100)*1.1)</f>
        <v>217.9848</v>
      </c>
      <c r="J27" s="9" t="n">
        <f t="shared" ref="J27:J50" si="2">D27*(1-E27/100)</f>
        <v>198.168</v>
      </c>
      <c r="K27" s="7" t="n">
        <v>9424377.0</v>
      </c>
      <c r="L27" s="7" t="s">
        <v>133</v>
      </c>
      <c r="M27" s="7" t="n">
        <v>6943284.0</v>
      </c>
      <c r="N27" s="7" t="s">
        <v>133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7" t="s">
        <v>130</v>
      </c>
      <c r="B28" s="7" t="s">
        <v>131</v>
      </c>
      <c r="C28" s="7" t="s">
        <v>11</v>
      </c>
      <c r="D28" s="8" t="n">
        <v>2527.0</v>
      </c>
      <c r="E28" s="7" t="n">
        <v>49.23</v>
      </c>
      <c r="F28" s="7" t="n">
        <v>38.0</v>
      </c>
      <c r="G28" s="7" t="n">
        <v>36.54</v>
      </c>
      <c r="H28" s="7" t="n">
        <v>60.64</v>
      </c>
      <c r="I28" s="9" t="n">
        <f t="shared" si="1"/>
        <v>1411.25369</v>
      </c>
      <c r="J28" s="9" t="n">
        <f t="shared" si="2"/>
        <v>1282.9579</v>
      </c>
      <c r="K28" s="7" t="n">
        <v>9424377.0</v>
      </c>
      <c r="L28" s="7" t="s">
        <v>133</v>
      </c>
      <c r="M28" s="7" t="n">
        <v>6943284.0</v>
      </c>
      <c r="N28" s="7" t="s">
        <v>133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7" t="s">
        <v>130</v>
      </c>
      <c r="B29" s="7" t="s">
        <v>131</v>
      </c>
      <c r="C29" s="7" t="s">
        <v>134</v>
      </c>
      <c r="D29" s="8" t="n">
        <v>149.0</v>
      </c>
      <c r="E29" s="7" t="n">
        <v>23.62</v>
      </c>
      <c r="F29" s="7" t="n">
        <v>4.0</v>
      </c>
      <c r="G29" s="7" t="n">
        <v>69.36</v>
      </c>
      <c r="H29" s="7" t="n">
        <v>100.0</v>
      </c>
      <c r="I29" s="9" t="n">
        <f t="shared" si="1"/>
        <v>125.18682</v>
      </c>
      <c r="J29" s="9" t="n">
        <f t="shared" si="2"/>
        <v>113.8062</v>
      </c>
      <c r="K29" s="7" t="n">
        <v>9424377.0</v>
      </c>
      <c r="L29" s="7" t="s">
        <v>133</v>
      </c>
      <c r="M29" s="7" t="n">
        <v>6943284.0</v>
      </c>
      <c r="N29" s="7" t="s">
        <v>133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7" t="s">
        <v>130</v>
      </c>
      <c r="B30" s="7" t="s">
        <v>131</v>
      </c>
      <c r="C30" s="7" t="s">
        <v>135</v>
      </c>
      <c r="D30" s="8" t="n">
        <v>73.0</v>
      </c>
      <c r="E30" s="7" t="n">
        <v>43.83</v>
      </c>
      <c r="F30" s="7" t="n">
        <v>2.0</v>
      </c>
      <c r="G30" s="7" t="n">
        <v>100.0</v>
      </c>
      <c r="H30" s="7" t="n">
        <v>100.0</v>
      </c>
      <c r="I30" s="9" t="n">
        <f t="shared" si="1"/>
        <v>45.10451</v>
      </c>
      <c r="J30" s="9" t="n">
        <f t="shared" si="2"/>
        <v>41.0041</v>
      </c>
      <c r="K30" s="7" t="n">
        <v>9424377.0</v>
      </c>
      <c r="L30" s="7" t="s">
        <v>133</v>
      </c>
      <c r="M30" s="7" t="n">
        <v>6943284.0</v>
      </c>
      <c r="N30" s="7" t="s">
        <v>133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7" t="s">
        <v>130</v>
      </c>
      <c r="B31" s="7" t="s">
        <v>131</v>
      </c>
      <c r="C31" s="7" t="s">
        <v>136</v>
      </c>
      <c r="D31" s="8" t="n">
        <v>32.0</v>
      </c>
      <c r="E31" s="7" t="n">
        <v>37.61</v>
      </c>
      <c r="F31" s="7" t="n">
        <v>2.0</v>
      </c>
      <c r="G31" s="7" t="n">
        <v>72.51</v>
      </c>
      <c r="H31" s="7" t="n">
        <v>100.0</v>
      </c>
      <c r="I31" s="9" t="n">
        <f t="shared" si="1"/>
        <v>21.96128</v>
      </c>
      <c r="J31" s="9" t="n">
        <f t="shared" si="2"/>
        <v>19.9648</v>
      </c>
      <c r="K31" s="7" t="n">
        <v>9424377.0</v>
      </c>
      <c r="L31" s="7" t="s">
        <v>133</v>
      </c>
      <c r="M31" s="7" t="n">
        <v>6943284.0</v>
      </c>
      <c r="N31" s="7" t="s">
        <v>133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7" t="s">
        <v>130</v>
      </c>
      <c r="B32" s="7" t="s">
        <v>131</v>
      </c>
      <c r="C32" s="7" t="s">
        <v>137</v>
      </c>
      <c r="D32" s="8" t="n">
        <v>81.0</v>
      </c>
      <c r="E32" s="7" t="n">
        <v>32.96</v>
      </c>
      <c r="F32" s="7" t="n">
        <v>3.0</v>
      </c>
      <c r="G32" s="7" t="n">
        <v>95.84</v>
      </c>
      <c r="H32" s="7" t="n">
        <v>100.0</v>
      </c>
      <c r="I32" s="9" t="n">
        <f t="shared" si="1"/>
        <v>59.73264</v>
      </c>
      <c r="J32" s="9" t="n">
        <f t="shared" si="2"/>
        <v>54.3024</v>
      </c>
      <c r="K32" s="7" t="n">
        <v>9424377.0</v>
      </c>
      <c r="L32" s="7" t="s">
        <v>133</v>
      </c>
      <c r="M32" s="7" t="n">
        <v>6943284.0</v>
      </c>
      <c r="N32" s="7" t="s">
        <v>133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7" t="s">
        <v>130</v>
      </c>
      <c r="B33" s="7" t="s">
        <v>131</v>
      </c>
      <c r="C33" s="7" t="s">
        <v>138</v>
      </c>
      <c r="D33" s="8" t="n">
        <v>78.0</v>
      </c>
      <c r="E33" s="7" t="n">
        <v>50.67</v>
      </c>
      <c r="F33" s="7" t="n">
        <v>2.0</v>
      </c>
      <c r="G33" s="7" t="n">
        <v>39.13</v>
      </c>
      <c r="H33" s="7" t="n">
        <v>39.13</v>
      </c>
      <c r="I33" s="9" t="n">
        <f t="shared" si="1"/>
        <v>42.32514</v>
      </c>
      <c r="J33" s="9" t="n">
        <f t="shared" si="2"/>
        <v>38.4774</v>
      </c>
      <c r="K33" s="7" t="n">
        <v>9424377.0</v>
      </c>
      <c r="L33" s="7" t="s">
        <v>133</v>
      </c>
      <c r="M33" s="7" t="n">
        <v>6943284.0</v>
      </c>
      <c r="N33" s="7" t="s">
        <v>133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7" t="s">
        <v>130</v>
      </c>
      <c r="B34" s="7" t="s">
        <v>131</v>
      </c>
      <c r="C34" s="7" t="s">
        <v>139</v>
      </c>
      <c r="D34" s="8" t="n">
        <v>17.0</v>
      </c>
      <c r="E34" s="7" t="n">
        <v>18.43</v>
      </c>
      <c r="F34" s="7" t="n">
        <v>1.0</v>
      </c>
      <c r="G34" s="7" t="n">
        <v>100.0</v>
      </c>
      <c r="H34" s="7" t="n">
        <v>100.0</v>
      </c>
      <c r="I34" s="9" t="n">
        <f t="shared" si="1"/>
        <v>15.25359</v>
      </c>
      <c r="J34" s="9" t="n">
        <f t="shared" si="2"/>
        <v>13.8669</v>
      </c>
      <c r="K34" s="7" t="n">
        <v>9424377.0</v>
      </c>
      <c r="L34" s="7" t="s">
        <v>133</v>
      </c>
      <c r="M34" s="7" t="n">
        <v>6943284.0</v>
      </c>
      <c r="N34" s="7" t="s">
        <v>133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7" t="s">
        <v>130</v>
      </c>
      <c r="B35" s="7" t="s">
        <v>140</v>
      </c>
      <c r="C35" s="7" t="s">
        <v>141</v>
      </c>
      <c r="D35" s="8" t="n">
        <v>128.0</v>
      </c>
      <c r="E35" s="7" t="n">
        <v>13.32</v>
      </c>
      <c r="F35" s="7" t="n">
        <v>4.0</v>
      </c>
      <c r="G35" s="7" t="n">
        <v>64.5</v>
      </c>
      <c r="H35" s="7" t="n">
        <v>83.2</v>
      </c>
      <c r="I35" s="9" t="n">
        <f t="shared" si="1"/>
        <v>122.04544</v>
      </c>
      <c r="J35" s="9" t="n">
        <f t="shared" si="2"/>
        <v>110.9504</v>
      </c>
      <c r="K35" s="7" t="n">
        <v>2090961.0</v>
      </c>
      <c r="L35" s="7" t="s">
        <v>142</v>
      </c>
      <c r="M35" s="7" t="n">
        <v>2081989.0</v>
      </c>
      <c r="N35" s="7" t="s">
        <v>143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7" t="s">
        <v>130</v>
      </c>
      <c r="B36" s="7" t="s">
        <v>140</v>
      </c>
      <c r="C36" s="7" t="s">
        <v>144</v>
      </c>
      <c r="D36" s="8" t="n">
        <v>680.0</v>
      </c>
      <c r="E36" s="7" t="n">
        <v>19.7</v>
      </c>
      <c r="F36" s="7" t="n">
        <v>10.0</v>
      </c>
      <c r="G36" s="7" t="n">
        <v>22.99</v>
      </c>
      <c r="H36" s="7" t="n">
        <v>52.97</v>
      </c>
      <c r="I36" s="9" t="n">
        <f t="shared" si="1"/>
        <v>600.644</v>
      </c>
      <c r="J36" s="9" t="n">
        <f t="shared" si="2"/>
        <v>546.04</v>
      </c>
      <c r="K36" s="7" t="n">
        <v>2090961.0</v>
      </c>
      <c r="L36" s="7" t="s">
        <v>142</v>
      </c>
      <c r="M36" s="7" t="n">
        <v>2082640.0</v>
      </c>
      <c r="N36" s="7" t="s">
        <v>145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7" t="s">
        <v>130</v>
      </c>
      <c r="B37" s="7" t="s">
        <v>140</v>
      </c>
      <c r="C37" s="7" t="s">
        <v>146</v>
      </c>
      <c r="D37" s="8" t="n">
        <v>375.0</v>
      </c>
      <c r="E37" s="7" t="n">
        <v>23.49</v>
      </c>
      <c r="F37" s="7" t="n">
        <v>7.0</v>
      </c>
      <c r="G37" s="7" t="n">
        <v>8.0</v>
      </c>
      <c r="H37" s="7" t="n">
        <v>8.0</v>
      </c>
      <c r="I37" s="9" t="n">
        <f t="shared" si="1"/>
        <v>315.60375</v>
      </c>
      <c r="J37" s="9" t="n">
        <f t="shared" si="2"/>
        <v>286.9125</v>
      </c>
      <c r="K37" s="7" t="n">
        <v>2090961.0</v>
      </c>
      <c r="L37" s="7" t="s">
        <v>142</v>
      </c>
      <c r="M37" s="7" t="n">
        <v>2079836.0</v>
      </c>
      <c r="N37" s="10" t="s">
        <v>146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7" t="s">
        <v>130</v>
      </c>
      <c r="B38" s="7" t="s">
        <v>140</v>
      </c>
      <c r="C38" s="7" t="s">
        <v>147</v>
      </c>
      <c r="D38" s="8" t="n">
        <v>92.0</v>
      </c>
      <c r="E38" s="7" t="n">
        <v>46.18</v>
      </c>
      <c r="F38" s="7" t="n">
        <v>3.0</v>
      </c>
      <c r="G38" s="7" t="n">
        <v>61.68</v>
      </c>
      <c r="H38" s="7" t="n">
        <v>61.68</v>
      </c>
      <c r="I38" s="9" t="n">
        <f t="shared" si="1"/>
        <v>54.46584</v>
      </c>
      <c r="J38" s="9" t="n">
        <f t="shared" si="2"/>
        <v>49.5144</v>
      </c>
      <c r="K38" s="7" t="n">
        <v>2090961.0</v>
      </c>
      <c r="L38" s="7" t="s">
        <v>142</v>
      </c>
      <c r="M38" s="7" t="n">
        <v>2747685.0</v>
      </c>
      <c r="N38" s="10" t="s">
        <v>147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7" t="s">
        <v>130</v>
      </c>
      <c r="B39" s="7" t="s">
        <v>140</v>
      </c>
      <c r="C39" s="7" t="s">
        <v>148</v>
      </c>
      <c r="D39" s="8" t="n">
        <v>161.0</v>
      </c>
      <c r="E39" s="7" t="n">
        <v>26.92</v>
      </c>
      <c r="F39" s="7" t="n">
        <v>4.0</v>
      </c>
      <c r="G39" s="7" t="n">
        <v>62.74</v>
      </c>
      <c r="H39" s="7" t="n">
        <v>62.74</v>
      </c>
      <c r="I39" s="9" t="n">
        <f t="shared" si="1"/>
        <v>129.42468</v>
      </c>
      <c r="J39" s="9" t="n">
        <f t="shared" si="2"/>
        <v>117.6588</v>
      </c>
      <c r="K39" s="7" t="n">
        <v>2090961.0</v>
      </c>
      <c r="L39" s="7" t="s">
        <v>142</v>
      </c>
      <c r="M39" s="7" t="n">
        <v>2079399.0</v>
      </c>
      <c r="N39" s="10" t="s">
        <v>148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7" t="s">
        <v>130</v>
      </c>
      <c r="B40" s="7" t="s">
        <v>149</v>
      </c>
      <c r="C40" s="7" t="s">
        <v>150</v>
      </c>
      <c r="D40" s="8" t="n">
        <v>324.0</v>
      </c>
      <c r="E40" s="7" t="n">
        <v>41.08</v>
      </c>
      <c r="F40" s="7" t="n">
        <v>9.0</v>
      </c>
      <c r="G40" s="7" t="n">
        <v>51.16</v>
      </c>
      <c r="H40" s="7" t="n">
        <v>60.06</v>
      </c>
      <c r="I40" s="9" t="n">
        <f t="shared" si="1"/>
        <v>209.99088</v>
      </c>
      <c r="J40" s="9" t="n">
        <f t="shared" si="2"/>
        <v>190.9008</v>
      </c>
      <c r="K40" s="7" t="n">
        <v>2080931.0</v>
      </c>
      <c r="L40" s="7" t="s">
        <v>151</v>
      </c>
      <c r="M40" s="7" t="n">
        <v>2081717.0</v>
      </c>
      <c r="N40" s="10" t="s">
        <v>150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7" t="s">
        <v>130</v>
      </c>
      <c r="B41" s="7" t="s">
        <v>149</v>
      </c>
      <c r="C41" s="7" t="s">
        <v>152</v>
      </c>
      <c r="D41" s="8" t="n">
        <v>81.66666666666667</v>
      </c>
      <c r="E41" s="7" t="n">
        <v>25.74</v>
      </c>
      <c r="F41" s="7" t="n">
        <v>3.0</v>
      </c>
      <c r="G41" s="7" t="n">
        <v>100.0</v>
      </c>
      <c r="H41" s="7" t="n">
        <v>100.0</v>
      </c>
      <c r="I41" s="9" t="n">
        <f t="shared" si="1"/>
        <v>66.71023333</v>
      </c>
      <c r="J41" s="9" t="n">
        <f t="shared" si="2"/>
        <v>60.64566667</v>
      </c>
      <c r="K41" s="7" t="n">
        <v>2080931.0</v>
      </c>
      <c r="L41" s="7" t="s">
        <v>151</v>
      </c>
      <c r="M41" s="7" t="n">
        <v>2747022.0</v>
      </c>
      <c r="N41" s="10" t="s">
        <v>152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7" t="s">
        <v>130</v>
      </c>
      <c r="B42" s="7" t="s">
        <v>149</v>
      </c>
      <c r="C42" s="7" t="s">
        <v>153</v>
      </c>
      <c r="D42" s="8" t="n">
        <v>420.0</v>
      </c>
      <c r="E42" s="7" t="n">
        <v>25.68</v>
      </c>
      <c r="F42" s="7" t="n">
        <v>6.0</v>
      </c>
      <c r="G42" s="7" t="n">
        <v>49.14</v>
      </c>
      <c r="H42" s="7" t="n">
        <v>49.14</v>
      </c>
      <c r="I42" s="9" t="n">
        <f t="shared" si="1"/>
        <v>343.3584</v>
      </c>
      <c r="J42" s="9" t="n">
        <f t="shared" si="2"/>
        <v>312.144</v>
      </c>
      <c r="K42" s="7" t="n">
        <v>2080931.0</v>
      </c>
      <c r="L42" s="7" t="s">
        <v>151</v>
      </c>
      <c r="M42" s="7" t="n">
        <v>7377738.0</v>
      </c>
      <c r="N42" s="10" t="s">
        <v>153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7" t="s">
        <v>130</v>
      </c>
      <c r="B43" s="7" t="s">
        <v>149</v>
      </c>
      <c r="C43" s="7" t="s">
        <v>154</v>
      </c>
      <c r="D43" s="8" t="n">
        <v>532.0</v>
      </c>
      <c r="E43" s="7" t="n">
        <v>43.95</v>
      </c>
      <c r="F43" s="7" t="n">
        <v>11.0</v>
      </c>
      <c r="G43" s="7" t="n">
        <v>61.44</v>
      </c>
      <c r="H43" s="7" t="n">
        <v>61.44</v>
      </c>
      <c r="I43" s="9" t="n">
        <f t="shared" si="1"/>
        <v>328.0046</v>
      </c>
      <c r="J43" s="9" t="n">
        <f t="shared" si="2"/>
        <v>298.186</v>
      </c>
      <c r="K43" s="7" t="n">
        <v>2080931.0</v>
      </c>
      <c r="L43" s="7" t="s">
        <v>151</v>
      </c>
      <c r="M43" s="7" t="n">
        <v>2082322.0</v>
      </c>
      <c r="N43" s="10" t="s">
        <v>154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7" t="s">
        <v>130</v>
      </c>
      <c r="B44" s="7" t="s">
        <v>149</v>
      </c>
      <c r="C44" s="7" t="s">
        <v>155</v>
      </c>
      <c r="D44" s="8" t="n">
        <v>113.0</v>
      </c>
      <c r="E44" s="7" t="n">
        <v>18.94</v>
      </c>
      <c r="F44" s="7" t="n">
        <v>3.0</v>
      </c>
      <c r="G44" s="7" t="n">
        <v>52.2</v>
      </c>
      <c r="H44" s="7" t="n">
        <v>52.2</v>
      </c>
      <c r="I44" s="9" t="n">
        <f t="shared" si="1"/>
        <v>100.75758</v>
      </c>
      <c r="J44" s="9" t="n">
        <f t="shared" si="2"/>
        <v>91.5978</v>
      </c>
      <c r="K44" s="7" t="n">
        <v>2080931.0</v>
      </c>
      <c r="L44" s="7" t="s">
        <v>151</v>
      </c>
      <c r="M44" s="7" t="n">
        <v>2747693.0</v>
      </c>
      <c r="N44" s="10" t="s">
        <v>155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7" t="s">
        <v>130</v>
      </c>
      <c r="B45" s="7" t="s">
        <v>149</v>
      </c>
      <c r="C45" s="7" t="s">
        <v>156</v>
      </c>
      <c r="D45" s="8" t="n">
        <v>2631.0</v>
      </c>
      <c r="E45" s="7" t="n">
        <v>44.11</v>
      </c>
      <c r="F45" s="7" t="n">
        <v>35.0</v>
      </c>
      <c r="G45" s="7" t="n">
        <v>28.75</v>
      </c>
      <c r="H45" s="7" t="n">
        <v>52.56</v>
      </c>
      <c r="I45" s="9" t="n">
        <f t="shared" si="1"/>
        <v>1617.51249</v>
      </c>
      <c r="J45" s="9" t="n">
        <f t="shared" si="2"/>
        <v>1470.4659</v>
      </c>
      <c r="K45" s="7" t="n">
        <v>2080931.0</v>
      </c>
      <c r="L45" s="7" t="s">
        <v>151</v>
      </c>
      <c r="M45" s="7" t="n">
        <v>2080931.0</v>
      </c>
      <c r="N45" s="10" t="s">
        <v>156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7" t="s">
        <v>130</v>
      </c>
      <c r="B46" s="7" t="s">
        <v>157</v>
      </c>
      <c r="C46" s="7" t="s">
        <v>158</v>
      </c>
      <c r="D46" s="8" t="n">
        <v>19.0</v>
      </c>
      <c r="E46" s="7" t="n">
        <v>21.71</v>
      </c>
      <c r="F46" s="7" t="n">
        <v>1.0</v>
      </c>
      <c r="G46" s="7" t="n">
        <v>100.0</v>
      </c>
      <c r="H46" s="7" t="n">
        <v>100.0</v>
      </c>
      <c r="I46" s="9" t="n">
        <f t="shared" si="1"/>
        <v>16.36261</v>
      </c>
      <c r="J46" s="9" t="n">
        <f t="shared" si="2"/>
        <v>14.8751</v>
      </c>
      <c r="K46" s="7" t="n">
        <v>2090961.0</v>
      </c>
      <c r="L46" s="7" t="s">
        <v>142</v>
      </c>
      <c r="M46" s="7" t="n">
        <v>2078295.0</v>
      </c>
      <c r="N46" s="10" t="s">
        <v>159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7" t="s">
        <v>130</v>
      </c>
      <c r="B47" s="7" t="s">
        <v>157</v>
      </c>
      <c r="C47" s="7" t="s">
        <v>160</v>
      </c>
      <c r="D47" s="8" t="n">
        <v>111.0</v>
      </c>
      <c r="E47" s="7" t="n">
        <v>31.59</v>
      </c>
      <c r="F47" s="7" t="n">
        <v>1.0</v>
      </c>
      <c r="G47" s="7" t="n">
        <v>100.0</v>
      </c>
      <c r="H47" s="7" t="n">
        <v>100.0</v>
      </c>
      <c r="I47" s="9" t="n">
        <f t="shared" si="1"/>
        <v>83.52861</v>
      </c>
      <c r="J47" s="9" t="n">
        <f t="shared" si="2"/>
        <v>75.9351</v>
      </c>
      <c r="K47" s="7" t="n">
        <v>2090961.0</v>
      </c>
      <c r="L47" s="7" t="s">
        <v>142</v>
      </c>
      <c r="M47" s="7" t="n">
        <v>2090961.0</v>
      </c>
      <c r="N47" s="7" t="s">
        <v>142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7" t="s">
        <v>130</v>
      </c>
      <c r="B48" s="7" t="s">
        <v>157</v>
      </c>
      <c r="C48" s="7" t="s">
        <v>161</v>
      </c>
      <c r="D48" s="8" t="n">
        <v>839.0</v>
      </c>
      <c r="E48" s="7" t="n">
        <v>45.65</v>
      </c>
      <c r="F48" s="7" t="n">
        <v>18.0</v>
      </c>
      <c r="G48" s="7" t="n">
        <v>49.78</v>
      </c>
      <c r="H48" s="7" t="n">
        <v>78.81</v>
      </c>
      <c r="I48" s="9" t="n">
        <f t="shared" si="1"/>
        <v>501.59615</v>
      </c>
      <c r="J48" s="9" t="n">
        <f t="shared" si="2"/>
        <v>455.9965</v>
      </c>
      <c r="K48" s="7" t="n">
        <v>2090961.0</v>
      </c>
      <c r="L48" s="7" t="s">
        <v>142</v>
      </c>
      <c r="M48" s="7" t="n">
        <v>2090961.0</v>
      </c>
      <c r="N48" s="10" t="s">
        <v>161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7" t="s">
        <v>130</v>
      </c>
      <c r="B49" s="7" t="s">
        <v>157</v>
      </c>
      <c r="C49" s="7" t="s">
        <v>162</v>
      </c>
      <c r="D49" s="8" t="n">
        <v>56.0</v>
      </c>
      <c r="E49" s="7" t="n">
        <v>38.29</v>
      </c>
      <c r="F49" s="7" t="n">
        <v>1.0</v>
      </c>
      <c r="G49" s="7" t="n">
        <v>0.0</v>
      </c>
      <c r="H49" s="7" t="n">
        <v>75.55</v>
      </c>
      <c r="I49" s="9" t="n">
        <f t="shared" si="1"/>
        <v>38.01336</v>
      </c>
      <c r="J49" s="9" t="n">
        <f t="shared" si="2"/>
        <v>34.5576</v>
      </c>
      <c r="K49" s="7" t="n">
        <v>2090961.0</v>
      </c>
      <c r="L49" s="7" t="s">
        <v>142</v>
      </c>
      <c r="M49" s="7" t="n">
        <v>2078295.0</v>
      </c>
      <c r="N49" s="10" t="s">
        <v>159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7" t="s">
        <v>130</v>
      </c>
      <c r="B50" s="7" t="s">
        <v>157</v>
      </c>
      <c r="C50" s="7" t="s">
        <v>159</v>
      </c>
      <c r="D50" s="8" t="n">
        <v>498.0</v>
      </c>
      <c r="E50" s="7" t="n">
        <v>30.62</v>
      </c>
      <c r="F50" s="7" t="n">
        <v>10.0</v>
      </c>
      <c r="G50" s="7" t="n">
        <v>30.17</v>
      </c>
      <c r="H50" s="7" t="n">
        <v>73.25</v>
      </c>
      <c r="I50" s="9" t="n">
        <f t="shared" si="1"/>
        <v>380.06364</v>
      </c>
      <c r="J50" s="9" t="n">
        <f t="shared" si="2"/>
        <v>345.5124</v>
      </c>
      <c r="K50" s="7" t="n">
        <v>2090961.0</v>
      </c>
      <c r="L50" s="7" t="s">
        <v>142</v>
      </c>
      <c r="M50" s="7" t="n">
        <v>2078295.0</v>
      </c>
      <c r="N50" s="10" t="s">
        <v>159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L14"/>
    <mergeCell ref="A15:L15"/>
    <mergeCell ref="A16:L16"/>
    <mergeCell ref="A17:L17"/>
    <mergeCell ref="A18:L18"/>
    <mergeCell ref="A19:L19"/>
    <mergeCell ref="A20:L20"/>
    <mergeCell ref="A24:N24"/>
    <mergeCell ref="A3:B3"/>
    <mergeCell ref="A6:L7"/>
    <mergeCell ref="A8:L8"/>
    <mergeCell ref="A9:L9"/>
    <mergeCell ref="A10:L10"/>
    <mergeCell ref="A12:L12"/>
    <mergeCell ref="A13:L13"/>
  </mergeCells>
  <dataValidations count="1">
    <dataValidation type="list" allowBlank="1" showErrorMessage="1" sqref="B1">
      <formula1>'listas de opções'!$A$2:$A$18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6.86" hidden="0" customWidth="1"/>
    <col min="2" max="2" width="18.43" hidden="0" customWidth="1"/>
    <col min="3" max="3" width="19.29" hidden="0" customWidth="1"/>
    <col min="4" max="4" width="19.14" hidden="0" customWidth="1"/>
    <col min="5" max="5" width="15.71" hidden="0" customWidth="1"/>
    <col min="6" max="6" width="12.71" hidden="0" customWidth="1"/>
    <col min="7" max="7" width="17.29" hidden="0" customWidth="1"/>
    <col min="8" max="8" width="18.14" hidden="0" customWidth="1"/>
    <col min="9" max="9" width="24.14" hidden="0" customWidth="1"/>
    <col min="10" max="10" width="23.71" hidden="0" customWidth="1"/>
  </cols>
  <sheetData>
    <row r="1" ht="14.25" customHeight="1">
      <c r="A1" s="30" t="s">
        <v>1</v>
      </c>
      <c r="B1" s="30" t="s">
        <v>163</v>
      </c>
      <c r="C1" s="30" t="s">
        <v>164</v>
      </c>
      <c r="D1" s="30" t="s">
        <v>165</v>
      </c>
      <c r="E1" s="31" t="s">
        <v>166</v>
      </c>
      <c r="F1" s="30" t="s">
        <v>123</v>
      </c>
      <c r="G1" s="30" t="s">
        <v>167</v>
      </c>
      <c r="H1" s="30" t="s">
        <v>168</v>
      </c>
      <c r="I1" s="30" t="s">
        <v>169</v>
      </c>
      <c r="J1" s="30" t="s">
        <v>170</v>
      </c>
    </row>
    <row r="2" ht="32.25" customHeight="1">
      <c r="A2" s="32" t="s">
        <v>11</v>
      </c>
      <c r="B2" s="32" t="s">
        <v>358</v>
      </c>
      <c r="C2" s="32" t="s">
        <v>132</v>
      </c>
      <c r="D2" s="33" t="n">
        <v>368.0</v>
      </c>
      <c r="E2" s="34" t="n">
        <v>46.15</v>
      </c>
      <c r="F2" s="32" t="n">
        <v>4.0</v>
      </c>
      <c r="G2" s="34" t="n">
        <v>17.04</v>
      </c>
      <c r="H2" s="34" t="n">
        <v>39.26</v>
      </c>
      <c r="I2" s="34" t="n">
        <f t="shared" ref="I2:I25" si="1">(D2*(1-E2/100)*1.1)</f>
        <v>217.9848</v>
      </c>
      <c r="J2" s="34" t="n">
        <f t="shared" ref="J2:J25" si="2">D2*(1-E2/100)</f>
        <v>198.168</v>
      </c>
    </row>
    <row r="3" ht="32.25" customHeight="1">
      <c r="A3" s="32" t="s">
        <v>11</v>
      </c>
      <c r="B3" s="32" t="s">
        <v>358</v>
      </c>
      <c r="C3" s="32" t="s">
        <v>11</v>
      </c>
      <c r="D3" s="33" t="n">
        <v>2527.0</v>
      </c>
      <c r="E3" s="34" t="n">
        <v>49.23</v>
      </c>
      <c r="F3" s="32" t="n">
        <v>38.0</v>
      </c>
      <c r="G3" s="34" t="n">
        <v>36.54</v>
      </c>
      <c r="H3" s="34" t="n">
        <v>60.64</v>
      </c>
      <c r="I3" s="34" t="n">
        <f t="shared" si="1"/>
        <v>1411.25369</v>
      </c>
      <c r="J3" s="34" t="n">
        <f t="shared" si="2"/>
        <v>1282.9579</v>
      </c>
    </row>
    <row r="4" ht="32.25" customHeight="1">
      <c r="A4" s="32" t="s">
        <v>11</v>
      </c>
      <c r="B4" s="32" t="s">
        <v>358</v>
      </c>
      <c r="C4" s="32" t="s">
        <v>134</v>
      </c>
      <c r="D4" s="33" t="n">
        <v>149.0</v>
      </c>
      <c r="E4" s="34" t="n">
        <v>23.62</v>
      </c>
      <c r="F4" s="32" t="n">
        <v>4.0</v>
      </c>
      <c r="G4" s="34" t="n">
        <v>69.36</v>
      </c>
      <c r="H4" s="34" t="n">
        <v>100.0</v>
      </c>
      <c r="I4" s="34" t="n">
        <f t="shared" si="1"/>
        <v>125.18682</v>
      </c>
      <c r="J4" s="34" t="n">
        <f t="shared" si="2"/>
        <v>113.8062</v>
      </c>
    </row>
    <row r="5" ht="32.25" customHeight="1">
      <c r="A5" s="32" t="s">
        <v>11</v>
      </c>
      <c r="B5" s="32" t="s">
        <v>358</v>
      </c>
      <c r="C5" s="32" t="s">
        <v>135</v>
      </c>
      <c r="D5" s="33" t="n">
        <v>73.0</v>
      </c>
      <c r="E5" s="34" t="n">
        <v>43.83</v>
      </c>
      <c r="F5" s="32" t="n">
        <v>2.0</v>
      </c>
      <c r="G5" s="34" t="n">
        <v>100.0</v>
      </c>
      <c r="H5" s="34" t="n">
        <v>100.0</v>
      </c>
      <c r="I5" s="34" t="n">
        <f t="shared" si="1"/>
        <v>45.10451</v>
      </c>
      <c r="J5" s="34" t="n">
        <f t="shared" si="2"/>
        <v>41.0041</v>
      </c>
    </row>
    <row r="6" ht="32.25" customHeight="1">
      <c r="A6" s="32" t="s">
        <v>11</v>
      </c>
      <c r="B6" s="32" t="s">
        <v>358</v>
      </c>
      <c r="C6" s="32" t="s">
        <v>136</v>
      </c>
      <c r="D6" s="33" t="n">
        <v>32.0</v>
      </c>
      <c r="E6" s="34" t="n">
        <v>37.61</v>
      </c>
      <c r="F6" s="32" t="n">
        <v>2.0</v>
      </c>
      <c r="G6" s="34" t="n">
        <v>72.51</v>
      </c>
      <c r="H6" s="34" t="n">
        <v>100.0</v>
      </c>
      <c r="I6" s="34" t="n">
        <f t="shared" si="1"/>
        <v>21.96128</v>
      </c>
      <c r="J6" s="34" t="n">
        <f t="shared" si="2"/>
        <v>19.9648</v>
      </c>
    </row>
    <row r="7" ht="32.25" customHeight="1">
      <c r="A7" s="32" t="s">
        <v>11</v>
      </c>
      <c r="B7" s="32" t="s">
        <v>358</v>
      </c>
      <c r="C7" s="32" t="s">
        <v>137</v>
      </c>
      <c r="D7" s="33" t="n">
        <v>81.0</v>
      </c>
      <c r="E7" s="34" t="n">
        <v>32.96</v>
      </c>
      <c r="F7" s="32" t="n">
        <v>3.0</v>
      </c>
      <c r="G7" s="34" t="n">
        <v>95.84</v>
      </c>
      <c r="H7" s="34" t="n">
        <v>100.0</v>
      </c>
      <c r="I7" s="34" t="n">
        <f t="shared" si="1"/>
        <v>59.73264</v>
      </c>
      <c r="J7" s="34" t="n">
        <f t="shared" si="2"/>
        <v>54.3024</v>
      </c>
    </row>
    <row r="8" ht="32.25" customHeight="1">
      <c r="A8" s="32" t="s">
        <v>11</v>
      </c>
      <c r="B8" s="32" t="s">
        <v>358</v>
      </c>
      <c r="C8" s="32" t="s">
        <v>357</v>
      </c>
      <c r="D8" s="33" t="n">
        <v>78.0</v>
      </c>
      <c r="E8" s="34" t="n">
        <v>50.67</v>
      </c>
      <c r="F8" s="32" t="n">
        <v>2.0</v>
      </c>
      <c r="G8" s="34" t="n">
        <v>39.13</v>
      </c>
      <c r="H8" s="34" t="n">
        <v>39.13</v>
      </c>
      <c r="I8" s="34" t="n">
        <f t="shared" si="1"/>
        <v>42.32514</v>
      </c>
      <c r="J8" s="34" t="n">
        <f t="shared" si="2"/>
        <v>38.4774</v>
      </c>
    </row>
    <row r="9" ht="32.25" customHeight="1">
      <c r="A9" s="32" t="s">
        <v>11</v>
      </c>
      <c r="B9" s="32" t="s">
        <v>358</v>
      </c>
      <c r="C9" s="32" t="s">
        <v>139</v>
      </c>
      <c r="D9" s="33" t="n">
        <v>17.0</v>
      </c>
      <c r="E9" s="34" t="n">
        <v>18.43</v>
      </c>
      <c r="F9" s="32" t="n">
        <v>1.0</v>
      </c>
      <c r="G9" s="34" t="n">
        <v>100.0</v>
      </c>
      <c r="H9" s="34" t="n">
        <v>100.0</v>
      </c>
      <c r="I9" s="34" t="n">
        <f t="shared" si="1"/>
        <v>15.25359</v>
      </c>
      <c r="J9" s="34" t="n">
        <f t="shared" si="2"/>
        <v>13.8669</v>
      </c>
    </row>
    <row r="10" ht="32.25" customHeight="1">
      <c r="A10" s="32" t="s">
        <v>11</v>
      </c>
      <c r="B10" s="32" t="s">
        <v>172</v>
      </c>
      <c r="C10" s="32" t="s">
        <v>141</v>
      </c>
      <c r="D10" s="33" t="n">
        <v>128.0</v>
      </c>
      <c r="E10" s="34" t="n">
        <v>13.32</v>
      </c>
      <c r="F10" s="32" t="n">
        <v>4.0</v>
      </c>
      <c r="G10" s="34" t="n">
        <v>64.5</v>
      </c>
      <c r="H10" s="34" t="n">
        <v>83.2</v>
      </c>
      <c r="I10" s="34" t="n">
        <f t="shared" si="1"/>
        <v>122.04544</v>
      </c>
      <c r="J10" s="34" t="n">
        <f t="shared" si="2"/>
        <v>110.9504</v>
      </c>
    </row>
    <row r="11" ht="32.25" customHeight="1">
      <c r="A11" s="32" t="s">
        <v>11</v>
      </c>
      <c r="B11" s="32" t="s">
        <v>172</v>
      </c>
      <c r="C11" s="32" t="s">
        <v>144</v>
      </c>
      <c r="D11" s="33" t="n">
        <v>680.0</v>
      </c>
      <c r="E11" s="34" t="n">
        <v>19.7</v>
      </c>
      <c r="F11" s="32" t="n">
        <v>10.0</v>
      </c>
      <c r="G11" s="34" t="n">
        <v>22.99</v>
      </c>
      <c r="H11" s="34" t="n">
        <v>52.97</v>
      </c>
      <c r="I11" s="34" t="n">
        <f t="shared" si="1"/>
        <v>600.644</v>
      </c>
      <c r="J11" s="34" t="n">
        <f t="shared" si="2"/>
        <v>546.04</v>
      </c>
    </row>
    <row r="12" ht="32.25" customHeight="1">
      <c r="A12" s="32" t="s">
        <v>11</v>
      </c>
      <c r="B12" s="32" t="s">
        <v>172</v>
      </c>
      <c r="C12" s="32" t="s">
        <v>146</v>
      </c>
      <c r="D12" s="33" t="n">
        <v>375.0</v>
      </c>
      <c r="E12" s="34" t="n">
        <v>23.49</v>
      </c>
      <c r="F12" s="32" t="n">
        <v>7.0</v>
      </c>
      <c r="G12" s="34" t="n">
        <v>8.0</v>
      </c>
      <c r="H12" s="34" t="n">
        <v>8.0</v>
      </c>
      <c r="I12" s="34" t="n">
        <f t="shared" si="1"/>
        <v>315.60375</v>
      </c>
      <c r="J12" s="34" t="n">
        <f t="shared" si="2"/>
        <v>286.9125</v>
      </c>
    </row>
    <row r="13" ht="32.25" customHeight="1">
      <c r="A13" s="32" t="s">
        <v>11</v>
      </c>
      <c r="B13" s="32" t="s">
        <v>172</v>
      </c>
      <c r="C13" s="32" t="s">
        <v>147</v>
      </c>
      <c r="D13" s="33" t="n">
        <v>92.0</v>
      </c>
      <c r="E13" s="34" t="n">
        <v>46.18</v>
      </c>
      <c r="F13" s="32" t="n">
        <v>3.0</v>
      </c>
      <c r="G13" s="34" t="n">
        <v>61.68</v>
      </c>
      <c r="H13" s="34" t="n">
        <v>61.68</v>
      </c>
      <c r="I13" s="34" t="n">
        <f t="shared" si="1"/>
        <v>54.46584</v>
      </c>
      <c r="J13" s="34" t="n">
        <f t="shared" si="2"/>
        <v>49.5144</v>
      </c>
    </row>
    <row r="14" ht="32.25" customHeight="1">
      <c r="A14" s="32" t="s">
        <v>11</v>
      </c>
      <c r="B14" s="32" t="s">
        <v>172</v>
      </c>
      <c r="C14" s="32" t="s">
        <v>148</v>
      </c>
      <c r="D14" s="33" t="n">
        <v>161.0</v>
      </c>
      <c r="E14" s="34" t="n">
        <v>26.92</v>
      </c>
      <c r="F14" s="32" t="n">
        <v>4.0</v>
      </c>
      <c r="G14" s="34" t="n">
        <v>62.74</v>
      </c>
      <c r="H14" s="34" t="n">
        <v>62.74</v>
      </c>
      <c r="I14" s="34" t="n">
        <f t="shared" si="1"/>
        <v>129.42468</v>
      </c>
      <c r="J14" s="34" t="n">
        <f t="shared" si="2"/>
        <v>117.6588</v>
      </c>
    </row>
    <row r="15" ht="32.25" customHeight="1">
      <c r="A15" s="32" t="s">
        <v>11</v>
      </c>
      <c r="B15" s="32" t="s">
        <v>359</v>
      </c>
      <c r="C15" s="32" t="s">
        <v>150</v>
      </c>
      <c r="D15" s="33" t="n">
        <v>324.0</v>
      </c>
      <c r="E15" s="34" t="n">
        <v>41.08</v>
      </c>
      <c r="F15" s="32" t="n">
        <v>9.0</v>
      </c>
      <c r="G15" s="34" t="n">
        <v>51.16</v>
      </c>
      <c r="H15" s="34" t="n">
        <v>60.06</v>
      </c>
      <c r="I15" s="34" t="n">
        <f t="shared" si="1"/>
        <v>209.99088</v>
      </c>
      <c r="J15" s="34" t="n">
        <f t="shared" si="2"/>
        <v>190.9008</v>
      </c>
    </row>
    <row r="16" ht="32.25" customHeight="1">
      <c r="A16" s="32" t="s">
        <v>11</v>
      </c>
      <c r="B16" s="32" t="s">
        <v>359</v>
      </c>
      <c r="C16" s="32" t="s">
        <v>152</v>
      </c>
      <c r="D16" s="33" t="n">
        <v>81.66666666666667</v>
      </c>
      <c r="E16" s="34" t="n">
        <v>25.74</v>
      </c>
      <c r="F16" s="32" t="n">
        <v>3.0</v>
      </c>
      <c r="G16" s="34" t="n">
        <v>100.0</v>
      </c>
      <c r="H16" s="34" t="n">
        <v>100.0</v>
      </c>
      <c r="I16" s="34" t="n">
        <f t="shared" si="1"/>
        <v>66.71023333</v>
      </c>
      <c r="J16" s="34" t="n">
        <f t="shared" si="2"/>
        <v>60.64566667</v>
      </c>
    </row>
    <row r="17" ht="32.25" customHeight="1">
      <c r="A17" s="32" t="s">
        <v>11</v>
      </c>
      <c r="B17" s="32" t="s">
        <v>359</v>
      </c>
      <c r="C17" s="32" t="s">
        <v>153</v>
      </c>
      <c r="D17" s="33" t="n">
        <v>420.0</v>
      </c>
      <c r="E17" s="34" t="n">
        <v>25.68</v>
      </c>
      <c r="F17" s="32" t="n">
        <v>6.0</v>
      </c>
      <c r="G17" s="34" t="n">
        <v>49.14</v>
      </c>
      <c r="H17" s="34" t="n">
        <v>49.14</v>
      </c>
      <c r="I17" s="34" t="n">
        <f t="shared" si="1"/>
        <v>343.3584</v>
      </c>
      <c r="J17" s="34" t="n">
        <f t="shared" si="2"/>
        <v>312.144</v>
      </c>
    </row>
    <row r="18" ht="32.25" customHeight="1">
      <c r="A18" s="32" t="s">
        <v>11</v>
      </c>
      <c r="B18" s="32" t="s">
        <v>359</v>
      </c>
      <c r="C18" s="32" t="s">
        <v>154</v>
      </c>
      <c r="D18" s="33" t="n">
        <v>532.0</v>
      </c>
      <c r="E18" s="34" t="n">
        <v>43.95</v>
      </c>
      <c r="F18" s="32" t="n">
        <v>11.0</v>
      </c>
      <c r="G18" s="34" t="n">
        <v>61.44</v>
      </c>
      <c r="H18" s="34" t="n">
        <v>61.44</v>
      </c>
      <c r="I18" s="34" t="n">
        <f t="shared" si="1"/>
        <v>328.0046</v>
      </c>
      <c r="J18" s="34" t="n">
        <f t="shared" si="2"/>
        <v>298.186</v>
      </c>
    </row>
    <row r="19" ht="32.25" customHeight="1">
      <c r="A19" s="32" t="s">
        <v>11</v>
      </c>
      <c r="B19" s="32" t="s">
        <v>359</v>
      </c>
      <c r="C19" s="32" t="s">
        <v>155</v>
      </c>
      <c r="D19" s="33" t="n">
        <v>113.0</v>
      </c>
      <c r="E19" s="34" t="n">
        <v>18.94</v>
      </c>
      <c r="F19" s="32" t="n">
        <v>3.0</v>
      </c>
      <c r="G19" s="34" t="n">
        <v>52.2</v>
      </c>
      <c r="H19" s="34" t="n">
        <v>52.2</v>
      </c>
      <c r="I19" s="34" t="n">
        <f t="shared" si="1"/>
        <v>100.75758</v>
      </c>
      <c r="J19" s="34" t="n">
        <f t="shared" si="2"/>
        <v>91.5978</v>
      </c>
    </row>
    <row r="20" ht="32.25" customHeight="1">
      <c r="A20" s="32" t="s">
        <v>11</v>
      </c>
      <c r="B20" s="32" t="s">
        <v>359</v>
      </c>
      <c r="C20" s="32" t="s">
        <v>156</v>
      </c>
      <c r="D20" s="33" t="n">
        <v>2631.0</v>
      </c>
      <c r="E20" s="34" t="n">
        <v>44.11</v>
      </c>
      <c r="F20" s="32" t="n">
        <v>35.0</v>
      </c>
      <c r="G20" s="34" t="n">
        <v>28.75</v>
      </c>
      <c r="H20" s="34" t="n">
        <v>52.56</v>
      </c>
      <c r="I20" s="34" t="n">
        <f t="shared" si="1"/>
        <v>1617.51249</v>
      </c>
      <c r="J20" s="34" t="n">
        <f t="shared" si="2"/>
        <v>1470.4659</v>
      </c>
    </row>
    <row r="21" ht="32.25" customHeight="1">
      <c r="A21" s="32" t="s">
        <v>11</v>
      </c>
      <c r="B21" s="32" t="s">
        <v>174</v>
      </c>
      <c r="C21" s="32" t="s">
        <v>158</v>
      </c>
      <c r="D21" s="33" t="n">
        <v>19.0</v>
      </c>
      <c r="E21" s="34" t="n">
        <v>21.71</v>
      </c>
      <c r="F21" s="32" t="n">
        <v>1.0</v>
      </c>
      <c r="G21" s="34" t="n">
        <v>100.0</v>
      </c>
      <c r="H21" s="34" t="n">
        <v>100.0</v>
      </c>
      <c r="I21" s="34" t="n">
        <f t="shared" si="1"/>
        <v>16.36261</v>
      </c>
      <c r="J21" s="34" t="n">
        <f t="shared" si="2"/>
        <v>14.8751</v>
      </c>
    </row>
    <row r="22" ht="32.25" customHeight="1">
      <c r="A22" s="32" t="s">
        <v>11</v>
      </c>
      <c r="B22" s="32" t="s">
        <v>174</v>
      </c>
      <c r="C22" s="32" t="s">
        <v>160</v>
      </c>
      <c r="D22" s="33" t="n">
        <v>111.0</v>
      </c>
      <c r="E22" s="34" t="n">
        <v>31.59</v>
      </c>
      <c r="F22" s="32" t="n">
        <v>1.0</v>
      </c>
      <c r="G22" s="34" t="n">
        <v>100.0</v>
      </c>
      <c r="H22" s="34" t="n">
        <v>100.0</v>
      </c>
      <c r="I22" s="34" t="n">
        <f t="shared" si="1"/>
        <v>83.52861</v>
      </c>
      <c r="J22" s="34" t="n">
        <f t="shared" si="2"/>
        <v>75.9351</v>
      </c>
    </row>
    <row r="23" ht="32.25" customHeight="1">
      <c r="A23" s="32" t="s">
        <v>11</v>
      </c>
      <c r="B23" s="32" t="s">
        <v>174</v>
      </c>
      <c r="C23" s="32" t="s">
        <v>161</v>
      </c>
      <c r="D23" s="33" t="n">
        <v>839.0</v>
      </c>
      <c r="E23" s="34" t="n">
        <v>45.65</v>
      </c>
      <c r="F23" s="32" t="n">
        <v>18.0</v>
      </c>
      <c r="G23" s="34" t="n">
        <v>49.78</v>
      </c>
      <c r="H23" s="34" t="n">
        <v>78.81</v>
      </c>
      <c r="I23" s="34" t="n">
        <f t="shared" si="1"/>
        <v>501.59615</v>
      </c>
      <c r="J23" s="34" t="n">
        <f t="shared" si="2"/>
        <v>455.9965</v>
      </c>
    </row>
    <row r="24" ht="32.25" customHeight="1">
      <c r="A24" s="32" t="s">
        <v>11</v>
      </c>
      <c r="B24" s="32" t="s">
        <v>174</v>
      </c>
      <c r="C24" s="32" t="s">
        <v>162</v>
      </c>
      <c r="D24" s="33" t="n">
        <v>56.0</v>
      </c>
      <c r="E24" s="34" t="n">
        <v>38.29</v>
      </c>
      <c r="F24" s="32" t="n">
        <v>1.0</v>
      </c>
      <c r="G24" s="34" t="n">
        <v>0.0</v>
      </c>
      <c r="H24" s="34" t="n">
        <v>75.55</v>
      </c>
      <c r="I24" s="34" t="n">
        <f t="shared" si="1"/>
        <v>38.01336</v>
      </c>
      <c r="J24" s="34" t="n">
        <f t="shared" si="2"/>
        <v>34.5576</v>
      </c>
    </row>
    <row r="25" ht="32.25" customHeight="1">
      <c r="A25" s="32" t="s">
        <v>11</v>
      </c>
      <c r="B25" s="32" t="s">
        <v>174</v>
      </c>
      <c r="C25" s="32" t="s">
        <v>159</v>
      </c>
      <c r="D25" s="33" t="n">
        <v>498.0</v>
      </c>
      <c r="E25" s="34" t="n">
        <v>30.62</v>
      </c>
      <c r="F25" s="32" t="n">
        <v>10.0</v>
      </c>
      <c r="G25" s="34" t="n">
        <v>30.17</v>
      </c>
      <c r="H25" s="34" t="n">
        <v>73.25</v>
      </c>
      <c r="I25" s="34" t="n">
        <f t="shared" si="1"/>
        <v>380.06364</v>
      </c>
      <c r="J25" s="34" t="n">
        <f t="shared" si="2"/>
        <v>345.5124</v>
      </c>
    </row>
    <row r="26" ht="14.25" customHeight="1">
      <c r="A26" s="35"/>
      <c r="B26" s="35"/>
      <c r="C26" s="35"/>
      <c r="D26" s="35"/>
      <c r="E26" s="36"/>
      <c r="F26" s="35"/>
      <c r="G26" s="35"/>
      <c r="H26" s="35"/>
      <c r="I26" s="35"/>
      <c r="J26" s="35"/>
    </row>
    <row r="27" ht="14.2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</row>
    <row r="28" ht="14.2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</row>
    <row r="29" ht="14.2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</row>
    <row r="30" ht="14.2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</row>
    <row r="31" ht="14.2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</row>
    <row r="32" ht="14.2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</row>
    <row r="33" ht="14.2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</row>
    <row r="34" ht="14.2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</row>
    <row r="35" ht="14.2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</row>
    <row r="36" ht="14.2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ht="14.2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ht="14.2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</row>
    <row r="39" ht="14.2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</row>
    <row r="40" ht="14.2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</row>
    <row r="41" ht="14.2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</row>
    <row r="42" ht="14.2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</row>
    <row r="43" ht="14.2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</row>
    <row r="44" ht="14.2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</row>
    <row r="45" ht="14.2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</row>
    <row r="46" ht="14.2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</row>
    <row r="47" ht="14.2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</row>
    <row r="48" ht="14.2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</row>
    <row r="49" ht="14.2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</row>
    <row r="50" ht="14.2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</row>
    <row r="51" ht="14.2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</row>
    <row r="52" ht="14.2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</row>
    <row r="53" ht="14.2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</row>
    <row r="54" ht="14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</row>
    <row r="55" ht="14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</row>
    <row r="56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</row>
    <row r="57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</row>
    <row r="58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</row>
    <row r="59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</row>
    <row r="60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</row>
    <row r="6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</row>
    <row r="62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</row>
    <row r="63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</row>
    <row r="64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</row>
    <row r="65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</row>
    <row r="66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</row>
    <row r="67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</row>
    <row r="68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</row>
    <row r="69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</row>
    <row r="70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</row>
    <row r="7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</row>
    <row r="72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</row>
    <row r="73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</row>
    <row r="74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</row>
    <row r="75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</row>
    <row r="76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</row>
    <row r="77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</row>
    <row r="78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</row>
    <row r="79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</row>
    <row r="80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</row>
    <row r="82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</row>
    <row r="83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</row>
    <row r="84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</row>
    <row r="85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</row>
    <row r="86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</row>
    <row r="87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</row>
    <row r="88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</row>
    <row r="89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</row>
    <row r="90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</row>
    <row r="9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</row>
    <row r="92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</row>
    <row r="93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</row>
    <row r="94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</row>
    <row r="95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</row>
    <row r="96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</row>
    <row r="97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</row>
    <row r="98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</row>
    <row r="99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</row>
    <row r="100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</row>
    <row r="101" ht="14.2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</row>
    <row r="102" ht="14.2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</row>
    <row r="103" ht="14.2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</row>
    <row r="104" ht="14.2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</row>
    <row r="105" ht="14.2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</row>
    <row r="106" ht="14.2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</row>
    <row r="107" ht="14.2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</row>
    <row r="108" ht="14.2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</row>
    <row r="109" ht="14.2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</row>
    <row r="110" ht="14.2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</row>
    <row r="111" ht="14.2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</row>
    <row r="112" ht="14.2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</row>
    <row r="113" ht="14.2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</row>
    <row r="114" ht="14.2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</row>
    <row r="115" ht="14.2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</row>
    <row r="116" ht="14.2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</row>
    <row r="117" ht="14.2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</row>
    <row r="118" ht="14.2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</row>
    <row r="119" ht="14.2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</row>
    <row r="120" ht="14.2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</row>
    <row r="121" ht="14.2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</row>
    <row r="122" ht="14.2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</row>
    <row r="123" ht="14.2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ht="14.2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</row>
    <row r="125" ht="14.2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</row>
    <row r="126" ht="14.2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</row>
    <row r="127" ht="14.2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</row>
    <row r="128" ht="14.2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</row>
    <row r="129" ht="14.2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</row>
    <row r="130" ht="14.2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</row>
    <row r="131" ht="14.2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</row>
    <row r="132" ht="14.2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</row>
    <row r="133" ht="14.2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</row>
    <row r="134" ht="14.2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</row>
    <row r="135" ht="14.2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</row>
    <row r="136" ht="14.2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</row>
    <row r="137" ht="14.2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</row>
    <row r="138" ht="14.2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</row>
    <row r="139" ht="14.2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</row>
    <row r="140" ht="14.2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</row>
    <row r="141" ht="14.2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</row>
    <row r="142" ht="14.2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</row>
    <row r="143" ht="14.2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</row>
    <row r="144" ht="14.2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</row>
    <row r="145" ht="14.2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</row>
    <row r="146" ht="14.2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</row>
    <row r="147" ht="14.2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</row>
    <row r="148" ht="14.2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</row>
    <row r="149" ht="14.2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</row>
    <row r="150" ht="14.2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</row>
    <row r="151" ht="14.2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</row>
    <row r="152" ht="14.2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</row>
    <row r="153" ht="14.2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</row>
    <row r="154" ht="14.2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</row>
    <row r="155" ht="14.2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</row>
    <row r="156" ht="14.2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</row>
    <row r="157" ht="14.2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</row>
    <row r="158" ht="14.2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</row>
    <row r="159" ht="14.2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</row>
    <row r="160" ht="14.2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</row>
    <row r="161" ht="14.2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</row>
    <row r="162" ht="14.2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</row>
    <row r="163" ht="14.2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</row>
    <row r="164" ht="14.2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</row>
    <row r="165" ht="14.2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</row>
    <row r="166" ht="14.2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ht="14.2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</row>
    <row r="168" ht="14.2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</row>
    <row r="169" ht="14.2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</row>
    <row r="170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</row>
    <row r="171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</row>
    <row r="172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</row>
    <row r="173" ht="14.2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</row>
    <row r="174" ht="14.2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</row>
    <row r="175" ht="14.2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</row>
    <row r="176" ht="14.2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</row>
    <row r="177" ht="14.2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</row>
    <row r="178" ht="14.2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</row>
    <row r="179" ht="14.2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</row>
    <row r="180" ht="14.2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</row>
    <row r="181" ht="14.2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</row>
    <row r="182" ht="14.2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</row>
    <row r="183" ht="14.2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</row>
    <row r="184" ht="14.2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</row>
    <row r="185" ht="14.2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</row>
    <row r="186" ht="14.2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</row>
    <row r="187" ht="14.2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</row>
    <row r="188" ht="14.2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</row>
    <row r="189" ht="14.2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</row>
    <row r="190" ht="14.2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</row>
    <row r="191" ht="14.2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</row>
    <row r="192" ht="14.2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</row>
    <row r="193" ht="14.2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</row>
    <row r="194" ht="14.2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</row>
    <row r="195" ht="14.2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</row>
    <row r="196" ht="14.2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</row>
    <row r="197" ht="14.2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</row>
    <row r="198" ht="14.2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</row>
    <row r="199" ht="14.2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</row>
    <row r="200" ht="14.2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</row>
    <row r="201" ht="14.2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</row>
    <row r="202" ht="14.2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</row>
    <row r="203" ht="14.2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</row>
    <row r="204" ht="14.2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</row>
    <row r="205" ht="14.2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</row>
    <row r="206" ht="14.2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</row>
    <row r="207" ht="14.2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</row>
    <row r="208" ht="14.2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</row>
    <row r="209" ht="14.2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ht="14.2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</row>
    <row r="211" ht="14.2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</row>
    <row r="212" ht="14.2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</row>
    <row r="213" ht="14.2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</row>
    <row r="214" ht="14.2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</row>
    <row r="215" ht="14.2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</row>
    <row r="216" ht="14.2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</row>
    <row r="217" ht="14.2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</row>
    <row r="218" ht="14.2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</row>
    <row r="219" ht="14.2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</row>
    <row r="220" ht="14.2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</row>
    <row r="221" ht="14.2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</row>
    <row r="222" ht="14.2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</row>
    <row r="223" ht="14.2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</row>
    <row r="224" ht="14.2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</row>
    <row r="225" ht="14.2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</row>
    <row r="226" ht="14.2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ageMargins bottom="0.787401575" footer="0.0" header="0.0" left="0.511811024" right="0.511811024" top="0.78740157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20.86" hidden="0" customWidth="1"/>
    <col min="2" max="2" width="20.71" hidden="0" customWidth="1"/>
    <col min="3" max="3" width="22.43" hidden="0" customWidth="1"/>
    <col min="4" max="4" width="29.14" hidden="0" customWidth="1"/>
    <col min="5" max="5" width="35.86" hidden="0" customWidth="1"/>
    <col min="6" max="6" width="26.71" hidden="0" customWidth="1"/>
  </cols>
  <sheetData>
    <row r="1" ht="14.25" customHeight="1">
      <c r="A1" s="30" t="s">
        <v>1</v>
      </c>
      <c r="B1" s="30" t="s">
        <v>163</v>
      </c>
      <c r="C1" s="30" t="s">
        <v>164</v>
      </c>
      <c r="D1" s="30" t="s">
        <v>175</v>
      </c>
      <c r="E1" s="30" t="s">
        <v>176</v>
      </c>
      <c r="F1" s="30" t="s">
        <v>177</v>
      </c>
    </row>
    <row r="2" ht="28.5" customHeight="1">
      <c r="A2" s="32" t="s">
        <v>11</v>
      </c>
      <c r="B2" s="32" t="s">
        <v>171</v>
      </c>
      <c r="C2" s="32" t="s">
        <v>132</v>
      </c>
      <c r="D2" s="32" t="n">
        <v>9424377.0</v>
      </c>
      <c r="E2" s="32" t="s">
        <v>178</v>
      </c>
      <c r="F2" s="32" t="s">
        <v>133</v>
      </c>
    </row>
    <row r="3" ht="28.5" customHeight="1">
      <c r="A3" s="32" t="s">
        <v>11</v>
      </c>
      <c r="B3" s="32" t="s">
        <v>171</v>
      </c>
      <c r="C3" s="32" t="s">
        <v>11</v>
      </c>
      <c r="D3" s="32" t="n">
        <v>9424377.0</v>
      </c>
      <c r="E3" s="32" t="s">
        <v>178</v>
      </c>
      <c r="F3" s="32" t="s">
        <v>133</v>
      </c>
    </row>
    <row r="4" ht="28.5" customHeight="1">
      <c r="A4" s="32" t="s">
        <v>11</v>
      </c>
      <c r="B4" s="32" t="s">
        <v>171</v>
      </c>
      <c r="C4" s="32" t="s">
        <v>134</v>
      </c>
      <c r="D4" s="32" t="n">
        <v>9424377.0</v>
      </c>
      <c r="E4" s="32" t="s">
        <v>178</v>
      </c>
      <c r="F4" s="32" t="s">
        <v>133</v>
      </c>
    </row>
    <row r="5" ht="28.5" customHeight="1">
      <c r="A5" s="32" t="s">
        <v>11</v>
      </c>
      <c r="B5" s="32" t="s">
        <v>171</v>
      </c>
      <c r="C5" s="32" t="s">
        <v>135</v>
      </c>
      <c r="D5" s="32" t="n">
        <v>9424377.0</v>
      </c>
      <c r="E5" s="32" t="s">
        <v>178</v>
      </c>
      <c r="F5" s="32" t="s">
        <v>133</v>
      </c>
    </row>
    <row r="6" ht="28.5" customHeight="1">
      <c r="A6" s="32" t="s">
        <v>11</v>
      </c>
      <c r="B6" s="32" t="s">
        <v>171</v>
      </c>
      <c r="C6" s="32" t="s">
        <v>136</v>
      </c>
      <c r="D6" s="32" t="n">
        <v>9424377.0</v>
      </c>
      <c r="E6" s="32" t="s">
        <v>178</v>
      </c>
      <c r="F6" s="32" t="s">
        <v>133</v>
      </c>
    </row>
    <row r="7" ht="28.5" customHeight="1">
      <c r="A7" s="32" t="s">
        <v>11</v>
      </c>
      <c r="B7" s="32" t="s">
        <v>171</v>
      </c>
      <c r="C7" s="32" t="s">
        <v>137</v>
      </c>
      <c r="D7" s="32" t="n">
        <v>9424377.0</v>
      </c>
      <c r="E7" s="32" t="s">
        <v>178</v>
      </c>
      <c r="F7" s="32" t="s">
        <v>133</v>
      </c>
    </row>
    <row r="8" ht="28.5" customHeight="1">
      <c r="A8" s="32" t="s">
        <v>11</v>
      </c>
      <c r="B8" s="32" t="s">
        <v>171</v>
      </c>
      <c r="C8" s="32" t="s">
        <v>138</v>
      </c>
      <c r="D8" s="32" t="n">
        <v>9424377.0</v>
      </c>
      <c r="E8" s="32" t="s">
        <v>178</v>
      </c>
      <c r="F8" s="32" t="s">
        <v>133</v>
      </c>
    </row>
    <row r="9" ht="28.5" customHeight="1">
      <c r="A9" s="32" t="s">
        <v>11</v>
      </c>
      <c r="B9" s="32" t="s">
        <v>171</v>
      </c>
      <c r="C9" s="32" t="s">
        <v>139</v>
      </c>
      <c r="D9" s="32" t="n">
        <v>9424377.0</v>
      </c>
      <c r="E9" s="32" t="s">
        <v>178</v>
      </c>
      <c r="F9" s="32" t="s">
        <v>133</v>
      </c>
    </row>
    <row r="10" ht="28.5" customHeight="1">
      <c r="A10" s="32" t="s">
        <v>11</v>
      </c>
      <c r="B10" s="32" t="s">
        <v>172</v>
      </c>
      <c r="C10" s="32" t="s">
        <v>141</v>
      </c>
      <c r="D10" s="32" t="n">
        <v>2090961.0</v>
      </c>
      <c r="E10" s="32" t="s">
        <v>179</v>
      </c>
      <c r="F10" s="32" t="s">
        <v>142</v>
      </c>
    </row>
    <row r="11" ht="28.5" customHeight="1">
      <c r="A11" s="32" t="s">
        <v>11</v>
      </c>
      <c r="B11" s="32" t="s">
        <v>172</v>
      </c>
      <c r="C11" s="32" t="s">
        <v>144</v>
      </c>
      <c r="D11" s="32" t="n">
        <v>2090961.0</v>
      </c>
      <c r="E11" s="32" t="s">
        <v>179</v>
      </c>
      <c r="F11" s="32" t="s">
        <v>142</v>
      </c>
    </row>
    <row r="12" ht="28.5" customHeight="1">
      <c r="A12" s="32" t="s">
        <v>11</v>
      </c>
      <c r="B12" s="32" t="s">
        <v>172</v>
      </c>
      <c r="C12" s="32" t="s">
        <v>146</v>
      </c>
      <c r="D12" s="32" t="n">
        <v>2090961.0</v>
      </c>
      <c r="E12" s="32" t="s">
        <v>179</v>
      </c>
      <c r="F12" s="32" t="s">
        <v>142</v>
      </c>
    </row>
    <row r="13" ht="28.5" customHeight="1">
      <c r="A13" s="32" t="s">
        <v>11</v>
      </c>
      <c r="B13" s="32" t="s">
        <v>172</v>
      </c>
      <c r="C13" s="32" t="s">
        <v>147</v>
      </c>
      <c r="D13" s="32" t="n">
        <v>2090961.0</v>
      </c>
      <c r="E13" s="32" t="s">
        <v>179</v>
      </c>
      <c r="F13" s="32" t="s">
        <v>142</v>
      </c>
    </row>
    <row r="14" ht="28.5" customHeight="1">
      <c r="A14" s="32" t="s">
        <v>11</v>
      </c>
      <c r="B14" s="32" t="s">
        <v>172</v>
      </c>
      <c r="C14" s="32" t="s">
        <v>148</v>
      </c>
      <c r="D14" s="32" t="n">
        <v>2090961.0</v>
      </c>
      <c r="E14" s="32" t="s">
        <v>179</v>
      </c>
      <c r="F14" s="32" t="s">
        <v>142</v>
      </c>
    </row>
    <row r="15" ht="28.5" customHeight="1">
      <c r="A15" s="32" t="s">
        <v>11</v>
      </c>
      <c r="B15" s="32" t="s">
        <v>173</v>
      </c>
      <c r="C15" s="32" t="s">
        <v>150</v>
      </c>
      <c r="D15" s="32" t="n">
        <v>2080931.0</v>
      </c>
      <c r="E15" s="32" t="s">
        <v>179</v>
      </c>
      <c r="F15" s="32" t="s">
        <v>151</v>
      </c>
    </row>
    <row r="16" ht="28.5" customHeight="1">
      <c r="A16" s="32" t="s">
        <v>11</v>
      </c>
      <c r="B16" s="32" t="s">
        <v>173</v>
      </c>
      <c r="C16" s="32" t="s">
        <v>152</v>
      </c>
      <c r="D16" s="32" t="n">
        <v>2080931.0</v>
      </c>
      <c r="E16" s="32" t="s">
        <v>179</v>
      </c>
      <c r="F16" s="32" t="s">
        <v>151</v>
      </c>
    </row>
    <row r="17" ht="28.5" customHeight="1">
      <c r="A17" s="32" t="s">
        <v>11</v>
      </c>
      <c r="B17" s="32" t="s">
        <v>173</v>
      </c>
      <c r="C17" s="32" t="s">
        <v>153</v>
      </c>
      <c r="D17" s="32" t="n">
        <v>2080931.0</v>
      </c>
      <c r="E17" s="32" t="s">
        <v>179</v>
      </c>
      <c r="F17" s="32" t="s">
        <v>151</v>
      </c>
    </row>
    <row r="18" ht="28.5" customHeight="1">
      <c r="A18" s="32" t="s">
        <v>11</v>
      </c>
      <c r="B18" s="32" t="s">
        <v>173</v>
      </c>
      <c r="C18" s="32" t="s">
        <v>154</v>
      </c>
      <c r="D18" s="32" t="n">
        <v>2080931.0</v>
      </c>
      <c r="E18" s="32" t="s">
        <v>179</v>
      </c>
      <c r="F18" s="32" t="s">
        <v>151</v>
      </c>
    </row>
    <row r="19" ht="28.5" customHeight="1">
      <c r="A19" s="32" t="s">
        <v>11</v>
      </c>
      <c r="B19" s="32" t="s">
        <v>173</v>
      </c>
      <c r="C19" s="32" t="s">
        <v>155</v>
      </c>
      <c r="D19" s="32" t="n">
        <v>2080931.0</v>
      </c>
      <c r="E19" s="32" t="s">
        <v>179</v>
      </c>
      <c r="F19" s="32" t="s">
        <v>151</v>
      </c>
    </row>
    <row r="20" ht="28.5" customHeight="1">
      <c r="A20" s="32" t="s">
        <v>11</v>
      </c>
      <c r="B20" s="32" t="s">
        <v>173</v>
      </c>
      <c r="C20" s="32" t="s">
        <v>156</v>
      </c>
      <c r="D20" s="32" t="n">
        <v>2080931.0</v>
      </c>
      <c r="E20" s="32" t="s">
        <v>179</v>
      </c>
      <c r="F20" s="32" t="s">
        <v>151</v>
      </c>
    </row>
    <row r="21" ht="28.5" customHeight="1">
      <c r="A21" s="32" t="s">
        <v>11</v>
      </c>
      <c r="B21" s="32" t="s">
        <v>174</v>
      </c>
      <c r="C21" s="32" t="s">
        <v>158</v>
      </c>
      <c r="D21" s="32" t="n">
        <v>2090961.0</v>
      </c>
      <c r="E21" s="32" t="s">
        <v>179</v>
      </c>
      <c r="F21" s="32" t="s">
        <v>142</v>
      </c>
    </row>
    <row r="22" ht="28.5" customHeight="1">
      <c r="A22" s="32" t="s">
        <v>11</v>
      </c>
      <c r="B22" s="32" t="s">
        <v>174</v>
      </c>
      <c r="C22" s="32" t="s">
        <v>160</v>
      </c>
      <c r="D22" s="32" t="n">
        <v>2090961.0</v>
      </c>
      <c r="E22" s="32" t="s">
        <v>179</v>
      </c>
      <c r="F22" s="32" t="s">
        <v>142</v>
      </c>
    </row>
    <row r="23" ht="28.5" customHeight="1">
      <c r="A23" s="32" t="s">
        <v>11</v>
      </c>
      <c r="B23" s="32" t="s">
        <v>174</v>
      </c>
      <c r="C23" s="32" t="s">
        <v>161</v>
      </c>
      <c r="D23" s="32" t="n">
        <v>2090961.0</v>
      </c>
      <c r="E23" s="32" t="s">
        <v>179</v>
      </c>
      <c r="F23" s="32" t="s">
        <v>142</v>
      </c>
    </row>
    <row r="24" ht="28.5" customHeight="1">
      <c r="A24" s="32" t="s">
        <v>11</v>
      </c>
      <c r="B24" s="32" t="s">
        <v>174</v>
      </c>
      <c r="C24" s="32" t="s">
        <v>162</v>
      </c>
      <c r="D24" s="32" t="n">
        <v>2090961.0</v>
      </c>
      <c r="E24" s="32" t="s">
        <v>179</v>
      </c>
      <c r="F24" s="32" t="s">
        <v>142</v>
      </c>
    </row>
    <row r="25" ht="28.5" customHeight="1">
      <c r="A25" s="32" t="s">
        <v>11</v>
      </c>
      <c r="B25" s="32" t="s">
        <v>174</v>
      </c>
      <c r="C25" s="32" t="s">
        <v>159</v>
      </c>
      <c r="D25" s="32" t="n">
        <v>2090961.0</v>
      </c>
      <c r="E25" s="32" t="s">
        <v>179</v>
      </c>
      <c r="F25" s="32" t="s">
        <v>142</v>
      </c>
    </row>
    <row r="26" ht="28.5" customHeight="1">
      <c r="A26" s="37"/>
      <c r="B26" s="37"/>
      <c r="C26" s="37"/>
      <c r="D26" s="37"/>
      <c r="E26" s="37"/>
      <c r="F26" s="37"/>
    </row>
    <row r="27" ht="14.25" customHeight="1">
      <c r="A27" s="37"/>
      <c r="B27" s="37"/>
      <c r="C27" s="37"/>
      <c r="D27" s="37"/>
      <c r="E27" s="37"/>
      <c r="F27" s="37"/>
    </row>
    <row r="28" ht="14.25" customHeight="1">
      <c r="A28" s="37"/>
      <c r="B28" s="37"/>
      <c r="C28" s="37"/>
      <c r="D28" s="37"/>
      <c r="E28" s="37"/>
      <c r="F28" s="37"/>
    </row>
    <row r="29" ht="14.25" customHeight="1">
      <c r="A29" s="37"/>
      <c r="B29" s="37"/>
      <c r="C29" s="37"/>
      <c r="D29" s="37"/>
      <c r="E29" s="37"/>
      <c r="F29" s="37"/>
    </row>
    <row r="30" ht="14.25" customHeight="1">
      <c r="A30" s="37"/>
      <c r="B30" s="37"/>
      <c r="C30" s="37"/>
      <c r="D30" s="37"/>
      <c r="E30" s="37"/>
      <c r="F30" s="37"/>
    </row>
    <row r="31" ht="14.25" customHeight="1">
      <c r="A31" s="37"/>
      <c r="B31" s="37"/>
      <c r="C31" s="37"/>
      <c r="D31" s="37"/>
      <c r="E31" s="37"/>
      <c r="F31" s="37"/>
    </row>
    <row r="32" ht="14.25" customHeight="1">
      <c r="A32" s="37"/>
      <c r="B32" s="37"/>
      <c r="C32" s="37"/>
      <c r="D32" s="37"/>
      <c r="E32" s="37"/>
      <c r="F32" s="37"/>
    </row>
    <row r="33" ht="14.25" customHeight="1">
      <c r="A33" s="37"/>
      <c r="B33" s="37"/>
      <c r="C33" s="37"/>
      <c r="D33" s="37"/>
      <c r="E33" s="37"/>
      <c r="F33" s="37"/>
    </row>
    <row r="34" ht="14.25" customHeight="1">
      <c r="A34" s="37"/>
      <c r="B34" s="37"/>
      <c r="C34" s="37"/>
      <c r="D34" s="37"/>
      <c r="E34" s="37"/>
      <c r="F34" s="37"/>
    </row>
    <row r="35" ht="14.25" customHeight="1">
      <c r="A35" s="37"/>
      <c r="B35" s="37"/>
      <c r="C35" s="37"/>
      <c r="D35" s="37"/>
      <c r="E35" s="37"/>
      <c r="F35" s="37"/>
    </row>
    <row r="36" ht="14.25" customHeight="1">
      <c r="A36" s="37"/>
      <c r="B36" s="37"/>
      <c r="C36" s="37"/>
      <c r="D36" s="37"/>
      <c r="E36" s="37"/>
      <c r="F36" s="37"/>
    </row>
    <row r="37" ht="14.25" customHeight="1">
      <c r="A37" s="37"/>
      <c r="B37" s="37"/>
      <c r="C37" s="37"/>
      <c r="D37" s="37"/>
      <c r="E37" s="37"/>
      <c r="F37" s="37"/>
    </row>
    <row r="38" ht="14.25" customHeight="1">
      <c r="A38" s="37"/>
      <c r="B38" s="37"/>
      <c r="C38" s="37"/>
      <c r="D38" s="37"/>
      <c r="E38" s="37"/>
      <c r="F38" s="37"/>
    </row>
    <row r="39" ht="14.25" customHeight="1">
      <c r="A39" s="37"/>
      <c r="B39" s="37"/>
      <c r="C39" s="37"/>
      <c r="D39" s="37"/>
      <c r="E39" s="37"/>
      <c r="F39" s="37"/>
    </row>
    <row r="40" ht="14.25" customHeight="1">
      <c r="A40" s="37"/>
      <c r="B40" s="37"/>
      <c r="C40" s="37"/>
      <c r="D40" s="37"/>
      <c r="E40" s="37"/>
      <c r="F40" s="37"/>
    </row>
    <row r="41" ht="14.25" customHeight="1">
      <c r="A41" s="37"/>
      <c r="B41" s="37"/>
      <c r="C41" s="37"/>
      <c r="D41" s="37"/>
      <c r="E41" s="37"/>
      <c r="F41" s="37"/>
    </row>
    <row r="42" ht="14.25" customHeight="1">
      <c r="A42" s="37"/>
      <c r="B42" s="37"/>
      <c r="C42" s="37"/>
      <c r="D42" s="37"/>
      <c r="E42" s="37"/>
      <c r="F42" s="37"/>
    </row>
    <row r="43" ht="14.25" customHeight="1">
      <c r="A43" s="37"/>
      <c r="B43" s="37"/>
      <c r="C43" s="37"/>
      <c r="D43" s="37"/>
      <c r="E43" s="37"/>
      <c r="F43" s="37"/>
    </row>
    <row r="44" ht="14.25" customHeight="1">
      <c r="A44" s="37"/>
      <c r="B44" s="37"/>
      <c r="C44" s="37"/>
      <c r="D44" s="37"/>
      <c r="E44" s="37"/>
      <c r="F44" s="37"/>
    </row>
    <row r="45" ht="14.25" customHeight="1">
      <c r="A45" s="37"/>
      <c r="B45" s="37"/>
      <c r="C45" s="37"/>
      <c r="D45" s="37"/>
      <c r="E45" s="37"/>
      <c r="F45" s="37"/>
    </row>
    <row r="46" ht="14.25" customHeight="1">
      <c r="A46" s="37"/>
      <c r="B46" s="37"/>
      <c r="C46" s="37"/>
      <c r="D46" s="37"/>
      <c r="E46" s="37"/>
      <c r="F46" s="37"/>
    </row>
    <row r="47" ht="14.25" customHeight="1">
      <c r="A47" s="37"/>
      <c r="B47" s="37"/>
      <c r="C47" s="37"/>
      <c r="D47" s="37"/>
      <c r="E47" s="37"/>
      <c r="F47" s="37"/>
    </row>
    <row r="48" ht="14.25" customHeight="1">
      <c r="A48" s="37"/>
      <c r="B48" s="37"/>
      <c r="C48" s="37"/>
      <c r="D48" s="37"/>
      <c r="E48" s="37"/>
      <c r="F48" s="37"/>
    </row>
    <row r="49" ht="14.25" customHeight="1">
      <c r="A49" s="37"/>
      <c r="B49" s="37"/>
      <c r="C49" s="37"/>
      <c r="D49" s="37"/>
      <c r="E49" s="37"/>
      <c r="F49" s="37"/>
    </row>
    <row r="50" ht="14.25" customHeight="1">
      <c r="A50" s="37"/>
      <c r="B50" s="37"/>
      <c r="C50" s="37"/>
      <c r="D50" s="37"/>
      <c r="E50" s="37"/>
      <c r="F50" s="37"/>
    </row>
    <row r="51" ht="14.25" customHeight="1">
      <c r="A51" s="37"/>
      <c r="B51" s="37"/>
      <c r="C51" s="37"/>
      <c r="D51" s="37"/>
      <c r="E51" s="37"/>
      <c r="F51" s="37"/>
    </row>
    <row r="52" ht="14.25" customHeight="1">
      <c r="A52" s="37"/>
      <c r="B52" s="37"/>
      <c r="C52" s="37"/>
      <c r="D52" s="37"/>
      <c r="E52" s="37"/>
      <c r="F52" s="37"/>
    </row>
    <row r="53" ht="14.25" customHeight="1">
      <c r="A53" s="37"/>
      <c r="B53" s="37"/>
      <c r="C53" s="37"/>
      <c r="D53" s="37"/>
      <c r="E53" s="37"/>
      <c r="F53" s="37"/>
    </row>
    <row r="54" ht="14.25" customHeight="1">
      <c r="A54" s="37"/>
      <c r="B54" s="37"/>
      <c r="C54" s="37"/>
      <c r="D54" s="37"/>
      <c r="E54" s="37"/>
      <c r="F54" s="37"/>
    </row>
    <row r="55" ht="14.25" customHeight="1">
      <c r="A55" s="37"/>
      <c r="B55" s="37"/>
      <c r="C55" s="37"/>
      <c r="D55" s="37"/>
      <c r="E55" s="37"/>
      <c r="F55" s="37"/>
    </row>
    <row r="56" ht="14.25" customHeight="1">
      <c r="A56" s="37"/>
      <c r="B56" s="37"/>
      <c r="C56" s="37"/>
      <c r="D56" s="37"/>
      <c r="E56" s="37"/>
      <c r="F56" s="37"/>
    </row>
    <row r="57" ht="14.25" customHeight="1">
      <c r="A57" s="37"/>
      <c r="B57" s="37"/>
      <c r="C57" s="37"/>
      <c r="D57" s="37"/>
      <c r="E57" s="37"/>
      <c r="F57" s="37"/>
    </row>
    <row r="58" ht="14.25" customHeight="1">
      <c r="A58" s="37"/>
      <c r="B58" s="37"/>
      <c r="C58" s="37"/>
      <c r="D58" s="37"/>
      <c r="E58" s="37"/>
      <c r="F58" s="37"/>
    </row>
    <row r="59" ht="14.25" customHeight="1">
      <c r="A59" s="37"/>
      <c r="B59" s="37"/>
      <c r="C59" s="37"/>
      <c r="D59" s="37"/>
      <c r="E59" s="37"/>
      <c r="F59" s="37"/>
    </row>
    <row r="60" ht="14.25" customHeight="1">
      <c r="A60" s="37"/>
      <c r="B60" s="37"/>
      <c r="C60" s="37"/>
      <c r="D60" s="37"/>
      <c r="E60" s="37"/>
      <c r="F60" s="37"/>
    </row>
    <row r="61" ht="14.25" customHeight="1">
      <c r="A61" s="37"/>
      <c r="B61" s="37"/>
      <c r="C61" s="37"/>
      <c r="D61" s="37"/>
      <c r="E61" s="37"/>
      <c r="F61" s="37"/>
    </row>
    <row r="62" ht="14.25" customHeight="1">
      <c r="A62" s="37"/>
      <c r="B62" s="37"/>
      <c r="C62" s="37"/>
      <c r="D62" s="37"/>
      <c r="E62" s="37"/>
      <c r="F62" s="37"/>
    </row>
    <row r="63" ht="14.25" customHeight="1">
      <c r="A63" s="37"/>
      <c r="B63" s="37"/>
      <c r="C63" s="37"/>
      <c r="D63" s="37"/>
      <c r="E63" s="37"/>
      <c r="F63" s="37"/>
    </row>
    <row r="64" ht="14.25" customHeight="1">
      <c r="A64" s="37"/>
      <c r="B64" s="37"/>
      <c r="C64" s="37"/>
      <c r="D64" s="37"/>
      <c r="E64" s="37"/>
      <c r="F64" s="37"/>
    </row>
    <row r="65" ht="14.25" customHeight="1">
      <c r="A65" s="37"/>
      <c r="B65" s="37"/>
      <c r="C65" s="37"/>
      <c r="D65" s="37"/>
      <c r="E65" s="37"/>
      <c r="F65" s="37"/>
    </row>
    <row r="66" ht="14.25" customHeight="1">
      <c r="A66" s="37"/>
      <c r="B66" s="37"/>
      <c r="C66" s="37"/>
      <c r="D66" s="37"/>
      <c r="E66" s="37"/>
      <c r="F66" s="37"/>
    </row>
    <row r="67" ht="14.25" customHeight="1">
      <c r="A67" s="37"/>
      <c r="B67" s="37"/>
      <c r="C67" s="37"/>
      <c r="D67" s="37"/>
      <c r="E67" s="37"/>
      <c r="F67" s="37"/>
    </row>
    <row r="68" ht="14.25" customHeight="1">
      <c r="A68" s="37"/>
      <c r="B68" s="37"/>
      <c r="C68" s="37"/>
      <c r="D68" s="37"/>
      <c r="E68" s="37"/>
      <c r="F68" s="37"/>
    </row>
    <row r="69" ht="14.25" customHeight="1">
      <c r="A69" s="37"/>
      <c r="B69" s="37"/>
      <c r="C69" s="37"/>
      <c r="D69" s="37"/>
      <c r="E69" s="37"/>
      <c r="F69" s="37"/>
    </row>
    <row r="70" ht="14.25" customHeight="1">
      <c r="A70" s="37"/>
      <c r="B70" s="37"/>
      <c r="C70" s="37"/>
      <c r="D70" s="37"/>
      <c r="E70" s="37"/>
      <c r="F70" s="37"/>
    </row>
    <row r="71" ht="14.25" customHeight="1">
      <c r="A71" s="37"/>
      <c r="B71" s="37"/>
      <c r="C71" s="37"/>
      <c r="D71" s="37"/>
      <c r="E71" s="37"/>
      <c r="F71" s="37"/>
    </row>
    <row r="72" ht="14.25" customHeight="1">
      <c r="A72" s="37"/>
      <c r="B72" s="37"/>
      <c r="C72" s="37"/>
      <c r="D72" s="37"/>
      <c r="E72" s="37"/>
      <c r="F72" s="37"/>
    </row>
    <row r="73" ht="14.25" customHeight="1">
      <c r="A73" s="37"/>
      <c r="B73" s="37"/>
      <c r="C73" s="37"/>
      <c r="D73" s="37"/>
      <c r="E73" s="37"/>
      <c r="F73" s="37"/>
    </row>
    <row r="74" ht="14.25" customHeight="1">
      <c r="A74" s="37"/>
      <c r="B74" s="37"/>
      <c r="C74" s="37"/>
      <c r="D74" s="37"/>
      <c r="E74" s="37"/>
      <c r="F74" s="37"/>
    </row>
    <row r="75" ht="14.25" customHeight="1">
      <c r="A75" s="37"/>
      <c r="B75" s="37"/>
      <c r="C75" s="37"/>
      <c r="D75" s="37"/>
      <c r="E75" s="37"/>
      <c r="F75" s="37"/>
    </row>
    <row r="76" ht="14.25" customHeight="1">
      <c r="A76" s="37"/>
      <c r="B76" s="37"/>
      <c r="C76" s="37"/>
      <c r="D76" s="37"/>
      <c r="E76" s="37"/>
      <c r="F76" s="37"/>
    </row>
    <row r="77" ht="14.25" customHeight="1">
      <c r="A77" s="37"/>
      <c r="B77" s="37"/>
      <c r="C77" s="37"/>
      <c r="D77" s="37"/>
      <c r="E77" s="37"/>
      <c r="F77" s="37"/>
    </row>
    <row r="78" ht="14.25" customHeight="1">
      <c r="A78" s="37"/>
      <c r="B78" s="37"/>
      <c r="C78" s="37"/>
      <c r="D78" s="37"/>
      <c r="E78" s="37"/>
      <c r="F78" s="37"/>
    </row>
    <row r="79" ht="14.25" customHeight="1">
      <c r="A79" s="37"/>
      <c r="B79" s="37"/>
      <c r="C79" s="37"/>
      <c r="D79" s="37"/>
      <c r="E79" s="37"/>
      <c r="F79" s="37"/>
    </row>
    <row r="80" ht="14.25" customHeight="1">
      <c r="A80" s="37"/>
      <c r="B80" s="37"/>
      <c r="C80" s="37"/>
      <c r="D80" s="37"/>
      <c r="E80" s="37"/>
      <c r="F80" s="37"/>
    </row>
    <row r="81" ht="14.25" customHeight="1">
      <c r="A81" s="37"/>
      <c r="B81" s="37"/>
      <c r="C81" s="37"/>
      <c r="D81" s="37"/>
      <c r="E81" s="37"/>
      <c r="F81" s="37"/>
    </row>
    <row r="82" ht="14.25" customHeight="1">
      <c r="A82" s="37"/>
      <c r="B82" s="37"/>
      <c r="C82" s="37"/>
      <c r="D82" s="37"/>
      <c r="E82" s="37"/>
      <c r="F82" s="37"/>
    </row>
    <row r="83" ht="14.25" customHeight="1">
      <c r="A83" s="37"/>
      <c r="B83" s="37"/>
      <c r="C83" s="37"/>
      <c r="D83" s="37"/>
      <c r="E83" s="37"/>
      <c r="F83" s="37"/>
    </row>
    <row r="84" ht="14.25" customHeight="1">
      <c r="A84" s="37"/>
      <c r="B84" s="37"/>
      <c r="C84" s="37"/>
      <c r="D84" s="37"/>
      <c r="E84" s="37"/>
      <c r="F84" s="37"/>
    </row>
    <row r="85" ht="14.25" customHeight="1">
      <c r="A85" s="37"/>
      <c r="B85" s="37"/>
      <c r="C85" s="37"/>
      <c r="D85" s="37"/>
      <c r="E85" s="37"/>
      <c r="F85" s="37"/>
    </row>
    <row r="86" ht="14.25" customHeight="1">
      <c r="A86" s="37"/>
      <c r="B86" s="37"/>
      <c r="C86" s="37"/>
      <c r="D86" s="37"/>
      <c r="E86" s="37"/>
      <c r="F86" s="37"/>
    </row>
    <row r="87" ht="14.25" customHeight="1">
      <c r="A87" s="37"/>
      <c r="B87" s="37"/>
      <c r="C87" s="37"/>
      <c r="D87" s="37"/>
      <c r="E87" s="37"/>
      <c r="F87" s="37"/>
    </row>
    <row r="88" ht="14.25" customHeight="1">
      <c r="A88" s="37"/>
      <c r="B88" s="37"/>
      <c r="C88" s="37"/>
      <c r="D88" s="37"/>
      <c r="E88" s="37"/>
      <c r="F88" s="37"/>
    </row>
    <row r="89" ht="14.25" customHeight="1">
      <c r="A89" s="37"/>
      <c r="B89" s="37"/>
      <c r="C89" s="37"/>
      <c r="D89" s="37"/>
      <c r="E89" s="37"/>
      <c r="F89" s="37"/>
    </row>
    <row r="90" ht="14.25" customHeight="1">
      <c r="A90" s="37"/>
      <c r="B90" s="37"/>
      <c r="C90" s="37"/>
      <c r="D90" s="37"/>
      <c r="E90" s="37"/>
      <c r="F90" s="37"/>
    </row>
    <row r="91" ht="14.25" customHeight="1">
      <c r="A91" s="37"/>
      <c r="B91" s="37"/>
      <c r="C91" s="37"/>
      <c r="D91" s="37"/>
      <c r="E91" s="37"/>
      <c r="F91" s="37"/>
    </row>
    <row r="92" ht="14.25" customHeight="1">
      <c r="A92" s="37"/>
      <c r="B92" s="37"/>
      <c r="C92" s="37"/>
      <c r="D92" s="37"/>
      <c r="E92" s="37"/>
      <c r="F92" s="37"/>
    </row>
    <row r="93" ht="14.25" customHeight="1">
      <c r="A93" s="37"/>
      <c r="B93" s="37"/>
      <c r="C93" s="37"/>
      <c r="D93" s="37"/>
      <c r="E93" s="37"/>
      <c r="F93" s="37"/>
    </row>
    <row r="94" ht="14.25" customHeight="1">
      <c r="A94" s="37"/>
      <c r="B94" s="37"/>
      <c r="C94" s="37"/>
      <c r="D94" s="37"/>
      <c r="E94" s="37"/>
      <c r="F94" s="37"/>
    </row>
    <row r="95" ht="14.25" customHeight="1">
      <c r="A95" s="37"/>
      <c r="B95" s="37"/>
      <c r="C95" s="37"/>
      <c r="D95" s="37"/>
      <c r="E95" s="37"/>
      <c r="F95" s="37"/>
    </row>
    <row r="96" ht="14.25" customHeight="1">
      <c r="A96" s="37"/>
      <c r="B96" s="37"/>
      <c r="C96" s="37"/>
      <c r="D96" s="37"/>
      <c r="E96" s="37"/>
      <c r="F96" s="37"/>
    </row>
    <row r="97" ht="14.25" customHeight="1">
      <c r="A97" s="37"/>
      <c r="B97" s="37"/>
      <c r="C97" s="37"/>
      <c r="D97" s="37"/>
      <c r="E97" s="37"/>
      <c r="F97" s="37"/>
    </row>
    <row r="98" ht="14.25" customHeight="1">
      <c r="A98" s="37"/>
      <c r="B98" s="37"/>
      <c r="C98" s="37"/>
      <c r="D98" s="37"/>
      <c r="E98" s="37"/>
      <c r="F98" s="37"/>
    </row>
    <row r="99" ht="14.25" customHeight="1">
      <c r="A99" s="37"/>
      <c r="B99" s="37"/>
      <c r="C99" s="37"/>
      <c r="D99" s="37"/>
      <c r="E99" s="37"/>
      <c r="F99" s="37"/>
    </row>
    <row r="100" ht="14.25" customHeight="1">
      <c r="A100" s="37"/>
      <c r="B100" s="37"/>
      <c r="C100" s="37"/>
      <c r="D100" s="37"/>
      <c r="E100" s="37"/>
      <c r="F100" s="37"/>
    </row>
    <row r="101" ht="14.25" customHeight="1">
      <c r="A101" s="37"/>
      <c r="B101" s="37"/>
      <c r="C101" s="37"/>
      <c r="D101" s="37"/>
      <c r="E101" s="37"/>
      <c r="F101" s="37"/>
    </row>
    <row r="102" ht="14.25" customHeight="1">
      <c r="A102" s="37"/>
      <c r="B102" s="37"/>
      <c r="C102" s="37"/>
      <c r="D102" s="37"/>
      <c r="E102" s="37"/>
      <c r="F102" s="37"/>
    </row>
    <row r="103" ht="14.25" customHeight="1">
      <c r="A103" s="37"/>
      <c r="B103" s="37"/>
      <c r="C103" s="37"/>
      <c r="D103" s="37"/>
      <c r="E103" s="37"/>
      <c r="F103" s="37"/>
    </row>
    <row r="104" ht="14.25" customHeight="1">
      <c r="A104" s="37"/>
      <c r="B104" s="37"/>
      <c r="C104" s="37"/>
      <c r="D104" s="37"/>
      <c r="E104" s="37"/>
      <c r="F104" s="37"/>
    </row>
    <row r="105" ht="14.25" customHeight="1">
      <c r="A105" s="37"/>
      <c r="B105" s="37"/>
      <c r="C105" s="37"/>
      <c r="D105" s="37"/>
      <c r="E105" s="37"/>
      <c r="F105" s="37"/>
    </row>
    <row r="106" ht="14.25" customHeight="1">
      <c r="A106" s="37"/>
      <c r="B106" s="37"/>
      <c r="C106" s="37"/>
      <c r="D106" s="37"/>
      <c r="E106" s="37"/>
      <c r="F106" s="37"/>
    </row>
    <row r="107" ht="14.25" customHeight="1">
      <c r="A107" s="37"/>
      <c r="B107" s="37"/>
      <c r="C107" s="37"/>
      <c r="D107" s="37"/>
      <c r="E107" s="37"/>
      <c r="F107" s="37"/>
    </row>
    <row r="108" ht="14.25" customHeight="1">
      <c r="A108" s="37"/>
      <c r="B108" s="37"/>
      <c r="C108" s="37"/>
      <c r="D108" s="37"/>
      <c r="E108" s="37"/>
      <c r="F108" s="37"/>
    </row>
    <row r="109" ht="14.25" customHeight="1">
      <c r="A109" s="37"/>
      <c r="B109" s="37"/>
      <c r="C109" s="37"/>
      <c r="D109" s="37"/>
      <c r="E109" s="37"/>
      <c r="F109" s="37"/>
    </row>
    <row r="110" ht="14.25" customHeight="1">
      <c r="A110" s="37"/>
      <c r="B110" s="37"/>
      <c r="C110" s="37"/>
      <c r="D110" s="37"/>
      <c r="E110" s="37"/>
      <c r="F110" s="37"/>
    </row>
    <row r="111" ht="14.25" customHeight="1">
      <c r="A111" s="37"/>
      <c r="B111" s="37"/>
      <c r="C111" s="37"/>
      <c r="D111" s="37"/>
      <c r="E111" s="37"/>
      <c r="F111" s="37"/>
    </row>
    <row r="112" ht="14.25" customHeight="1">
      <c r="A112" s="37"/>
      <c r="B112" s="37"/>
      <c r="C112" s="37"/>
      <c r="D112" s="37"/>
      <c r="E112" s="37"/>
      <c r="F112" s="37"/>
    </row>
    <row r="113" ht="14.25" customHeight="1">
      <c r="A113" s="37"/>
      <c r="B113" s="37"/>
      <c r="C113" s="37"/>
      <c r="D113" s="37"/>
      <c r="E113" s="37"/>
      <c r="F113" s="37"/>
    </row>
    <row r="114" ht="14.25" customHeight="1">
      <c r="A114" s="37"/>
      <c r="B114" s="37"/>
      <c r="C114" s="37"/>
      <c r="D114" s="37"/>
      <c r="E114" s="37"/>
      <c r="F114" s="37"/>
    </row>
    <row r="115" ht="14.25" customHeight="1">
      <c r="A115" s="37"/>
      <c r="B115" s="37"/>
      <c r="C115" s="37"/>
      <c r="D115" s="37"/>
      <c r="E115" s="37"/>
      <c r="F115" s="37"/>
    </row>
    <row r="116" ht="14.25" customHeight="1">
      <c r="A116" s="37"/>
      <c r="B116" s="37"/>
      <c r="C116" s="37"/>
      <c r="D116" s="37"/>
      <c r="E116" s="37"/>
      <c r="F116" s="37"/>
    </row>
    <row r="117" ht="14.25" customHeight="1">
      <c r="A117" s="37"/>
      <c r="B117" s="37"/>
      <c r="C117" s="37"/>
      <c r="D117" s="37"/>
      <c r="E117" s="37"/>
      <c r="F117" s="37"/>
    </row>
    <row r="118" ht="14.25" customHeight="1">
      <c r="A118" s="37"/>
      <c r="B118" s="37"/>
      <c r="C118" s="37"/>
      <c r="D118" s="37"/>
      <c r="E118" s="37"/>
      <c r="F118" s="37"/>
    </row>
    <row r="119" ht="14.25" customHeight="1">
      <c r="A119" s="37"/>
      <c r="B119" s="37"/>
      <c r="C119" s="37"/>
      <c r="D119" s="37"/>
      <c r="E119" s="37"/>
      <c r="F119" s="37"/>
    </row>
    <row r="120" ht="14.25" customHeight="1">
      <c r="A120" s="37"/>
      <c r="B120" s="37"/>
      <c r="C120" s="37"/>
      <c r="D120" s="37"/>
      <c r="E120" s="37"/>
      <c r="F120" s="37"/>
    </row>
    <row r="121" ht="14.25" customHeight="1">
      <c r="A121" s="37"/>
      <c r="B121" s="37"/>
      <c r="C121" s="37"/>
      <c r="D121" s="37"/>
      <c r="E121" s="37"/>
      <c r="F121" s="37"/>
    </row>
    <row r="122" ht="14.25" customHeight="1">
      <c r="A122" s="37"/>
      <c r="B122" s="37"/>
      <c r="C122" s="37"/>
      <c r="D122" s="37"/>
      <c r="E122" s="37"/>
      <c r="F122" s="37"/>
    </row>
    <row r="123" ht="14.25" customHeight="1">
      <c r="A123" s="37"/>
      <c r="B123" s="37"/>
      <c r="C123" s="37"/>
      <c r="D123" s="37"/>
      <c r="E123" s="37"/>
      <c r="F123" s="37"/>
    </row>
    <row r="124" ht="14.25" customHeight="1">
      <c r="A124" s="37"/>
      <c r="B124" s="37"/>
      <c r="C124" s="37"/>
      <c r="D124" s="37"/>
      <c r="E124" s="37"/>
      <c r="F124" s="37"/>
    </row>
    <row r="125" ht="14.25" customHeight="1">
      <c r="A125" s="37"/>
      <c r="B125" s="37"/>
      <c r="C125" s="37"/>
      <c r="D125" s="37"/>
      <c r="E125" s="37"/>
      <c r="F125" s="37"/>
    </row>
    <row r="126" ht="14.25" customHeight="1">
      <c r="A126" s="37"/>
      <c r="B126" s="37"/>
      <c r="C126" s="37"/>
      <c r="D126" s="37"/>
      <c r="E126" s="37"/>
      <c r="F126" s="37"/>
    </row>
    <row r="127" ht="14.25" customHeight="1">
      <c r="A127" s="37"/>
      <c r="B127" s="37"/>
      <c r="C127" s="37"/>
      <c r="D127" s="37"/>
      <c r="E127" s="37"/>
      <c r="F127" s="37"/>
    </row>
    <row r="128" ht="14.25" customHeight="1">
      <c r="A128" s="37"/>
      <c r="B128" s="37"/>
      <c r="C128" s="37"/>
      <c r="D128" s="37"/>
      <c r="E128" s="37"/>
      <c r="F128" s="37"/>
    </row>
    <row r="129" ht="14.25" customHeight="1">
      <c r="A129" s="37"/>
      <c r="B129" s="37"/>
      <c r="C129" s="37"/>
      <c r="D129" s="37"/>
      <c r="E129" s="37"/>
      <c r="F129" s="37"/>
    </row>
    <row r="130" ht="14.25" customHeight="1">
      <c r="A130" s="37"/>
      <c r="B130" s="37"/>
      <c r="C130" s="37"/>
      <c r="D130" s="37"/>
      <c r="E130" s="37"/>
      <c r="F130" s="37"/>
    </row>
    <row r="131" ht="14.25" customHeight="1">
      <c r="A131" s="37"/>
      <c r="B131" s="37"/>
      <c r="C131" s="37"/>
      <c r="D131" s="37"/>
      <c r="E131" s="37"/>
      <c r="F131" s="37"/>
    </row>
    <row r="132" ht="14.25" customHeight="1">
      <c r="A132" s="37"/>
      <c r="B132" s="37"/>
      <c r="C132" s="37"/>
      <c r="D132" s="37"/>
      <c r="E132" s="37"/>
      <c r="F132" s="37"/>
    </row>
    <row r="133" ht="14.25" customHeight="1">
      <c r="A133" s="37"/>
      <c r="B133" s="37"/>
      <c r="C133" s="37"/>
      <c r="D133" s="37"/>
      <c r="E133" s="37"/>
      <c r="F133" s="37"/>
    </row>
    <row r="134" ht="14.25" customHeight="1">
      <c r="A134" s="37"/>
      <c r="B134" s="37"/>
      <c r="C134" s="37"/>
      <c r="D134" s="37"/>
      <c r="E134" s="37"/>
      <c r="F134" s="37"/>
    </row>
    <row r="135" ht="14.25" customHeight="1">
      <c r="A135" s="37"/>
      <c r="B135" s="37"/>
      <c r="C135" s="37"/>
      <c r="D135" s="37"/>
      <c r="E135" s="37"/>
      <c r="F135" s="37"/>
    </row>
    <row r="136" ht="14.25" customHeight="1">
      <c r="A136" s="37"/>
      <c r="B136" s="37"/>
      <c r="C136" s="37"/>
      <c r="D136" s="37"/>
      <c r="E136" s="37"/>
      <c r="F136" s="37"/>
    </row>
    <row r="137" ht="14.25" customHeight="1">
      <c r="A137" s="37"/>
      <c r="B137" s="37"/>
      <c r="C137" s="37"/>
      <c r="D137" s="37"/>
      <c r="E137" s="37"/>
      <c r="F137" s="37"/>
    </row>
    <row r="138" ht="14.25" customHeight="1">
      <c r="A138" s="37"/>
      <c r="B138" s="37"/>
      <c r="C138" s="37"/>
      <c r="D138" s="37"/>
      <c r="E138" s="37"/>
      <c r="F138" s="37"/>
    </row>
    <row r="139" ht="14.25" customHeight="1">
      <c r="A139" s="37"/>
      <c r="B139" s="37"/>
      <c r="C139" s="37"/>
      <c r="D139" s="37"/>
      <c r="E139" s="37"/>
      <c r="F139" s="37"/>
    </row>
    <row r="140" ht="14.25" customHeight="1">
      <c r="A140" s="37"/>
      <c r="B140" s="37"/>
      <c r="C140" s="37"/>
      <c r="D140" s="37"/>
      <c r="E140" s="37"/>
      <c r="F140" s="37"/>
    </row>
    <row r="141" ht="14.25" customHeight="1">
      <c r="A141" s="37"/>
      <c r="B141" s="37"/>
      <c r="C141" s="37"/>
      <c r="D141" s="37"/>
      <c r="E141" s="37"/>
      <c r="F141" s="37"/>
    </row>
    <row r="142" ht="14.25" customHeight="1">
      <c r="A142" s="37"/>
      <c r="B142" s="37"/>
      <c r="C142" s="37"/>
      <c r="D142" s="37"/>
      <c r="E142" s="37"/>
      <c r="F142" s="37"/>
    </row>
    <row r="143" ht="14.25" customHeight="1">
      <c r="A143" s="37"/>
      <c r="B143" s="37"/>
      <c r="C143" s="37"/>
      <c r="D143" s="37"/>
      <c r="E143" s="37"/>
      <c r="F143" s="37"/>
    </row>
    <row r="144" ht="14.25" customHeight="1">
      <c r="A144" s="37"/>
      <c r="B144" s="37"/>
      <c r="C144" s="37"/>
      <c r="D144" s="37"/>
      <c r="E144" s="37"/>
      <c r="F144" s="37"/>
    </row>
    <row r="145" ht="14.25" customHeight="1">
      <c r="A145" s="37"/>
      <c r="B145" s="37"/>
      <c r="C145" s="37"/>
      <c r="D145" s="37"/>
      <c r="E145" s="37"/>
      <c r="F145" s="37"/>
    </row>
    <row r="146" ht="14.25" customHeight="1">
      <c r="A146" s="37"/>
      <c r="B146" s="37"/>
      <c r="C146" s="37"/>
      <c r="D146" s="37"/>
      <c r="E146" s="37"/>
      <c r="F146" s="37"/>
    </row>
    <row r="147" ht="14.25" customHeight="1">
      <c r="A147" s="37"/>
      <c r="B147" s="37"/>
      <c r="C147" s="37"/>
      <c r="D147" s="37"/>
      <c r="E147" s="37"/>
      <c r="F147" s="37"/>
    </row>
    <row r="148" ht="14.25" customHeight="1">
      <c r="A148" s="37"/>
      <c r="B148" s="37"/>
      <c r="C148" s="37"/>
      <c r="D148" s="37"/>
      <c r="E148" s="37"/>
      <c r="F148" s="37"/>
    </row>
    <row r="149" ht="14.25" customHeight="1">
      <c r="A149" s="37"/>
      <c r="B149" s="37"/>
      <c r="C149" s="37"/>
      <c r="D149" s="37"/>
      <c r="E149" s="37"/>
      <c r="F149" s="37"/>
    </row>
    <row r="150" ht="14.25" customHeight="1">
      <c r="A150" s="37"/>
      <c r="B150" s="37"/>
      <c r="C150" s="37"/>
      <c r="D150" s="37"/>
      <c r="E150" s="37"/>
      <c r="F150" s="37"/>
    </row>
    <row r="151" ht="14.25" customHeight="1">
      <c r="A151" s="37"/>
      <c r="B151" s="37"/>
      <c r="C151" s="37"/>
      <c r="D151" s="37"/>
      <c r="E151" s="37"/>
      <c r="F151" s="37"/>
    </row>
    <row r="152" ht="14.25" customHeight="1">
      <c r="A152" s="37"/>
      <c r="B152" s="37"/>
      <c r="C152" s="37"/>
      <c r="D152" s="37"/>
      <c r="E152" s="37"/>
      <c r="F152" s="37"/>
    </row>
    <row r="153" ht="14.25" customHeight="1">
      <c r="A153" s="37"/>
      <c r="B153" s="37"/>
      <c r="C153" s="37"/>
      <c r="D153" s="37"/>
      <c r="E153" s="37"/>
      <c r="F153" s="37"/>
    </row>
    <row r="154" ht="14.25" customHeight="1">
      <c r="A154" s="37"/>
      <c r="B154" s="37"/>
      <c r="C154" s="37"/>
      <c r="D154" s="37"/>
      <c r="E154" s="37"/>
      <c r="F154" s="37"/>
    </row>
    <row r="155" ht="14.25" customHeight="1">
      <c r="A155" s="37"/>
      <c r="B155" s="37"/>
      <c r="C155" s="37"/>
      <c r="D155" s="37"/>
      <c r="E155" s="37"/>
      <c r="F155" s="37"/>
    </row>
    <row r="156" ht="14.25" customHeight="1">
      <c r="A156" s="37"/>
      <c r="B156" s="37"/>
      <c r="C156" s="37"/>
      <c r="D156" s="37"/>
      <c r="E156" s="37"/>
      <c r="F156" s="37"/>
    </row>
    <row r="157" ht="14.25" customHeight="1">
      <c r="A157" s="37"/>
      <c r="B157" s="37"/>
      <c r="C157" s="37"/>
      <c r="D157" s="37"/>
      <c r="E157" s="37"/>
      <c r="F157" s="37"/>
    </row>
    <row r="158" ht="14.25" customHeight="1">
      <c r="A158" s="37"/>
      <c r="B158" s="37"/>
      <c r="C158" s="37"/>
      <c r="D158" s="37"/>
      <c r="E158" s="37"/>
      <c r="F158" s="37"/>
    </row>
    <row r="159" ht="14.25" customHeight="1">
      <c r="A159" s="37"/>
      <c r="B159" s="37"/>
      <c r="C159" s="37"/>
      <c r="D159" s="37"/>
      <c r="E159" s="37"/>
      <c r="F159" s="37"/>
    </row>
    <row r="160" ht="14.25" customHeight="1">
      <c r="A160" s="37"/>
      <c r="B160" s="37"/>
      <c r="C160" s="37"/>
      <c r="D160" s="37"/>
      <c r="E160" s="37"/>
      <c r="F160" s="37"/>
    </row>
    <row r="161" ht="14.25" customHeight="1">
      <c r="A161" s="37"/>
      <c r="B161" s="37"/>
      <c r="C161" s="37"/>
      <c r="D161" s="37"/>
      <c r="E161" s="37"/>
      <c r="F161" s="37"/>
    </row>
    <row r="162" ht="14.25" customHeight="1">
      <c r="A162" s="37"/>
      <c r="B162" s="37"/>
      <c r="C162" s="37"/>
      <c r="D162" s="37"/>
      <c r="E162" s="37"/>
      <c r="F162" s="37"/>
    </row>
    <row r="163" ht="14.25" customHeight="1">
      <c r="A163" s="37"/>
      <c r="B163" s="37"/>
      <c r="C163" s="37"/>
      <c r="D163" s="37"/>
      <c r="E163" s="37"/>
      <c r="F163" s="37"/>
    </row>
    <row r="164" ht="14.25" customHeight="1">
      <c r="A164" s="37"/>
      <c r="B164" s="37"/>
      <c r="C164" s="37"/>
      <c r="D164" s="37"/>
      <c r="E164" s="37"/>
      <c r="F164" s="37"/>
    </row>
    <row r="165" ht="14.25" customHeight="1">
      <c r="A165" s="37"/>
      <c r="B165" s="37"/>
      <c r="C165" s="37"/>
      <c r="D165" s="37"/>
      <c r="E165" s="37"/>
      <c r="F165" s="37"/>
    </row>
    <row r="166" ht="14.25" customHeight="1">
      <c r="A166" s="37"/>
      <c r="B166" s="37"/>
      <c r="C166" s="37"/>
      <c r="D166" s="37"/>
      <c r="E166" s="37"/>
      <c r="F166" s="37"/>
    </row>
    <row r="167" ht="14.25" customHeight="1">
      <c r="A167" s="37"/>
      <c r="B167" s="37"/>
      <c r="C167" s="37"/>
      <c r="D167" s="37"/>
      <c r="E167" s="37"/>
      <c r="F167" s="37"/>
    </row>
    <row r="168" ht="14.25" customHeight="1">
      <c r="A168" s="37"/>
      <c r="B168" s="37"/>
      <c r="C168" s="37"/>
      <c r="D168" s="37"/>
      <c r="E168" s="37"/>
      <c r="F168" s="37"/>
    </row>
    <row r="169" ht="14.25" customHeight="1">
      <c r="A169" s="37"/>
      <c r="B169" s="37"/>
      <c r="C169" s="37"/>
      <c r="D169" s="37"/>
      <c r="E169" s="37"/>
      <c r="F169" s="37"/>
    </row>
    <row r="170" ht="14.25" customHeight="1">
      <c r="A170" s="37"/>
      <c r="B170" s="37"/>
      <c r="C170" s="37"/>
      <c r="D170" s="37"/>
      <c r="E170" s="37"/>
      <c r="F170" s="37"/>
    </row>
    <row r="171" ht="14.25" customHeight="1">
      <c r="A171" s="37"/>
      <c r="B171" s="37"/>
      <c r="C171" s="37"/>
      <c r="D171" s="37"/>
      <c r="E171" s="37"/>
      <c r="F171" s="37"/>
    </row>
    <row r="172" ht="14.25" customHeight="1">
      <c r="A172" s="37"/>
      <c r="B172" s="37"/>
      <c r="C172" s="37"/>
      <c r="D172" s="37"/>
      <c r="E172" s="37"/>
      <c r="F172" s="37"/>
    </row>
    <row r="173" ht="14.25" customHeight="1">
      <c r="A173" s="37"/>
      <c r="B173" s="37"/>
      <c r="C173" s="37"/>
      <c r="D173" s="37"/>
      <c r="E173" s="37"/>
      <c r="F173" s="37"/>
    </row>
    <row r="174" ht="14.25" customHeight="1">
      <c r="A174" s="37"/>
      <c r="B174" s="37"/>
      <c r="C174" s="37"/>
      <c r="D174" s="37"/>
      <c r="E174" s="37"/>
      <c r="F174" s="37"/>
    </row>
    <row r="175" ht="14.25" customHeight="1">
      <c r="A175" s="37"/>
      <c r="B175" s="37"/>
      <c r="C175" s="37"/>
      <c r="D175" s="37"/>
      <c r="E175" s="37"/>
      <c r="F175" s="37"/>
    </row>
    <row r="176" ht="14.25" customHeight="1">
      <c r="A176" s="37"/>
      <c r="B176" s="37"/>
      <c r="C176" s="37"/>
      <c r="D176" s="37"/>
      <c r="E176" s="37"/>
      <c r="F176" s="37"/>
    </row>
    <row r="177" ht="14.25" customHeight="1">
      <c r="A177" s="37"/>
      <c r="B177" s="37"/>
      <c r="C177" s="37"/>
      <c r="D177" s="37"/>
      <c r="E177" s="37"/>
      <c r="F177" s="37"/>
    </row>
    <row r="178" ht="14.25" customHeight="1">
      <c r="A178" s="37"/>
      <c r="B178" s="37"/>
      <c r="C178" s="37"/>
      <c r="D178" s="37"/>
      <c r="E178" s="37"/>
      <c r="F178" s="37"/>
    </row>
    <row r="179" ht="14.25" customHeight="1">
      <c r="A179" s="37"/>
      <c r="B179" s="37"/>
      <c r="C179" s="37"/>
      <c r="D179" s="37"/>
      <c r="E179" s="37"/>
      <c r="F179" s="37"/>
    </row>
    <row r="180" ht="14.25" customHeight="1">
      <c r="A180" s="37"/>
      <c r="B180" s="37"/>
      <c r="C180" s="37"/>
      <c r="D180" s="37"/>
      <c r="E180" s="37"/>
      <c r="F180" s="37"/>
    </row>
    <row r="181" ht="14.25" customHeight="1">
      <c r="A181" s="37"/>
      <c r="B181" s="37"/>
      <c r="C181" s="37"/>
      <c r="D181" s="37"/>
      <c r="E181" s="37"/>
      <c r="F181" s="37"/>
    </row>
    <row r="182" ht="14.25" customHeight="1">
      <c r="A182" s="37"/>
      <c r="B182" s="37"/>
      <c r="C182" s="37"/>
      <c r="D182" s="37"/>
      <c r="E182" s="37"/>
      <c r="F182" s="37"/>
    </row>
    <row r="183" ht="14.25" customHeight="1">
      <c r="A183" s="37"/>
      <c r="B183" s="37"/>
      <c r="C183" s="37"/>
      <c r="D183" s="37"/>
      <c r="E183" s="37"/>
      <c r="F183" s="37"/>
    </row>
    <row r="184" ht="14.25" customHeight="1">
      <c r="A184" s="37"/>
      <c r="B184" s="37"/>
      <c r="C184" s="37"/>
      <c r="D184" s="37"/>
      <c r="E184" s="37"/>
      <c r="F184" s="37"/>
    </row>
    <row r="185" ht="14.25" customHeight="1">
      <c r="A185" s="37"/>
      <c r="B185" s="37"/>
      <c r="C185" s="37"/>
      <c r="D185" s="37"/>
      <c r="E185" s="37"/>
      <c r="F185" s="37"/>
    </row>
    <row r="186" ht="14.25" customHeight="1">
      <c r="A186" s="37"/>
      <c r="B186" s="37"/>
      <c r="C186" s="37"/>
      <c r="D186" s="37"/>
      <c r="E186" s="37"/>
      <c r="F186" s="37"/>
    </row>
    <row r="187" ht="14.25" customHeight="1">
      <c r="A187" s="37"/>
      <c r="B187" s="37"/>
      <c r="C187" s="37"/>
      <c r="D187" s="37"/>
      <c r="E187" s="37"/>
      <c r="F187" s="37"/>
    </row>
    <row r="188" ht="14.25" customHeight="1">
      <c r="A188" s="37"/>
      <c r="B188" s="37"/>
      <c r="C188" s="37"/>
      <c r="D188" s="37"/>
      <c r="E188" s="37"/>
      <c r="F188" s="37"/>
    </row>
    <row r="189" ht="14.25" customHeight="1">
      <c r="A189" s="37"/>
      <c r="B189" s="37"/>
      <c r="C189" s="37"/>
      <c r="D189" s="37"/>
      <c r="E189" s="37"/>
      <c r="F189" s="37"/>
    </row>
    <row r="190" ht="14.25" customHeight="1">
      <c r="A190" s="37"/>
      <c r="B190" s="37"/>
      <c r="C190" s="37"/>
      <c r="D190" s="37"/>
      <c r="E190" s="37"/>
      <c r="F190" s="37"/>
    </row>
    <row r="191" ht="14.25" customHeight="1">
      <c r="A191" s="37"/>
      <c r="B191" s="37"/>
      <c r="C191" s="37"/>
      <c r="D191" s="37"/>
      <c r="E191" s="37"/>
      <c r="F191" s="37"/>
    </row>
    <row r="192" ht="14.25" customHeight="1">
      <c r="A192" s="37"/>
      <c r="B192" s="37"/>
      <c r="C192" s="37"/>
      <c r="D192" s="37"/>
      <c r="E192" s="37"/>
      <c r="F192" s="37"/>
    </row>
    <row r="193" ht="14.25" customHeight="1">
      <c r="A193" s="37"/>
      <c r="B193" s="37"/>
      <c r="C193" s="37"/>
      <c r="D193" s="37"/>
      <c r="E193" s="37"/>
      <c r="F193" s="37"/>
    </row>
    <row r="194" ht="14.25" customHeight="1">
      <c r="A194" s="37"/>
      <c r="B194" s="37"/>
      <c r="C194" s="37"/>
      <c r="D194" s="37"/>
      <c r="E194" s="37"/>
      <c r="F194" s="37"/>
    </row>
    <row r="195" ht="14.25" customHeight="1">
      <c r="A195" s="37"/>
      <c r="B195" s="37"/>
      <c r="C195" s="37"/>
      <c r="D195" s="37"/>
      <c r="E195" s="37"/>
      <c r="F195" s="37"/>
    </row>
    <row r="196" ht="14.25" customHeight="1">
      <c r="A196" s="37"/>
      <c r="B196" s="37"/>
      <c r="C196" s="37"/>
      <c r="D196" s="37"/>
      <c r="E196" s="37"/>
      <c r="F196" s="37"/>
    </row>
    <row r="197" ht="14.25" customHeight="1">
      <c r="A197" s="37"/>
      <c r="B197" s="37"/>
      <c r="C197" s="37"/>
      <c r="D197" s="37"/>
      <c r="E197" s="37"/>
      <c r="F197" s="37"/>
    </row>
    <row r="198" ht="14.25" customHeight="1">
      <c r="A198" s="37"/>
      <c r="B198" s="37"/>
      <c r="C198" s="37"/>
      <c r="D198" s="37"/>
      <c r="E198" s="37"/>
      <c r="F198" s="37"/>
    </row>
    <row r="199" ht="14.25" customHeight="1">
      <c r="A199" s="37"/>
      <c r="B199" s="37"/>
      <c r="C199" s="37"/>
      <c r="D199" s="37"/>
      <c r="E199" s="37"/>
      <c r="F199" s="37"/>
    </row>
    <row r="200" ht="14.25" customHeight="1">
      <c r="A200" s="37"/>
      <c r="B200" s="37"/>
      <c r="C200" s="37"/>
      <c r="D200" s="37"/>
      <c r="E200" s="37"/>
      <c r="F200" s="37"/>
    </row>
    <row r="201" ht="14.25" customHeight="1">
      <c r="A201" s="37"/>
      <c r="B201" s="37"/>
      <c r="C201" s="37"/>
      <c r="D201" s="37"/>
      <c r="E201" s="37"/>
      <c r="F201" s="37"/>
    </row>
    <row r="202" ht="14.25" customHeight="1">
      <c r="A202" s="37"/>
      <c r="B202" s="37"/>
      <c r="C202" s="37"/>
      <c r="D202" s="37"/>
      <c r="E202" s="37"/>
      <c r="F202" s="37"/>
    </row>
    <row r="203" ht="14.25" customHeight="1">
      <c r="A203" s="37"/>
      <c r="B203" s="37"/>
      <c r="C203" s="37"/>
      <c r="D203" s="37"/>
      <c r="E203" s="37"/>
      <c r="F203" s="37"/>
    </row>
    <row r="204" ht="14.25" customHeight="1">
      <c r="A204" s="37"/>
      <c r="B204" s="37"/>
      <c r="C204" s="37"/>
      <c r="D204" s="37"/>
      <c r="E204" s="37"/>
      <c r="F204" s="37"/>
    </row>
    <row r="205" ht="14.25" customHeight="1">
      <c r="A205" s="37"/>
      <c r="B205" s="37"/>
      <c r="C205" s="37"/>
      <c r="D205" s="37"/>
      <c r="E205" s="37"/>
      <c r="F205" s="37"/>
    </row>
    <row r="206" ht="14.25" customHeight="1">
      <c r="A206" s="37"/>
      <c r="B206" s="37"/>
      <c r="C206" s="37"/>
      <c r="D206" s="37"/>
      <c r="E206" s="37"/>
      <c r="F206" s="37"/>
    </row>
    <row r="207" ht="14.25" customHeight="1">
      <c r="A207" s="37"/>
      <c r="B207" s="37"/>
      <c r="C207" s="37"/>
      <c r="D207" s="37"/>
      <c r="E207" s="37"/>
      <c r="F207" s="37"/>
    </row>
    <row r="208" ht="14.25" customHeight="1">
      <c r="A208" s="37"/>
      <c r="B208" s="37"/>
      <c r="C208" s="37"/>
      <c r="D208" s="37"/>
      <c r="E208" s="37"/>
      <c r="F208" s="37"/>
    </row>
    <row r="209" ht="14.25" customHeight="1">
      <c r="A209" s="37"/>
      <c r="B209" s="37"/>
      <c r="C209" s="37"/>
      <c r="D209" s="37"/>
      <c r="E209" s="37"/>
      <c r="F209" s="37"/>
    </row>
    <row r="210" ht="14.25" customHeight="1">
      <c r="A210" s="37"/>
      <c r="B210" s="37"/>
      <c r="C210" s="37"/>
      <c r="D210" s="37"/>
      <c r="E210" s="37"/>
      <c r="F210" s="37"/>
    </row>
    <row r="211" ht="14.25" customHeight="1">
      <c r="A211" s="37"/>
      <c r="B211" s="37"/>
      <c r="C211" s="37"/>
      <c r="D211" s="37"/>
      <c r="E211" s="37"/>
      <c r="F211" s="37"/>
    </row>
    <row r="212" ht="14.25" customHeight="1">
      <c r="A212" s="37"/>
      <c r="B212" s="37"/>
      <c r="C212" s="37"/>
      <c r="D212" s="37"/>
      <c r="E212" s="37"/>
      <c r="F212" s="37"/>
    </row>
    <row r="213" ht="14.25" customHeight="1">
      <c r="A213" s="37"/>
      <c r="B213" s="37"/>
      <c r="C213" s="37"/>
      <c r="D213" s="37"/>
      <c r="E213" s="37"/>
      <c r="F213" s="37"/>
    </row>
    <row r="214" ht="14.25" customHeight="1">
      <c r="A214" s="37"/>
      <c r="B214" s="37"/>
      <c r="C214" s="37"/>
      <c r="D214" s="37"/>
      <c r="E214" s="37"/>
      <c r="F214" s="37"/>
    </row>
    <row r="215" ht="14.25" customHeight="1">
      <c r="A215" s="37"/>
      <c r="B215" s="37"/>
      <c r="C215" s="37"/>
      <c r="D215" s="37"/>
      <c r="E215" s="37"/>
      <c r="F215" s="37"/>
    </row>
    <row r="216" ht="14.25" customHeight="1">
      <c r="A216" s="37"/>
      <c r="B216" s="37"/>
      <c r="C216" s="37"/>
      <c r="D216" s="37"/>
      <c r="E216" s="37"/>
      <c r="F216" s="37"/>
    </row>
    <row r="217" ht="14.25" customHeight="1">
      <c r="A217" s="37"/>
      <c r="B217" s="37"/>
      <c r="C217" s="37"/>
      <c r="D217" s="37"/>
      <c r="E217" s="37"/>
      <c r="F217" s="37"/>
    </row>
    <row r="218" ht="14.25" customHeight="1">
      <c r="A218" s="37"/>
      <c r="B218" s="37"/>
      <c r="C218" s="37"/>
      <c r="D218" s="37"/>
      <c r="E218" s="37"/>
      <c r="F218" s="37"/>
    </row>
    <row r="219" ht="14.25" customHeight="1">
      <c r="A219" s="37"/>
      <c r="B219" s="37"/>
      <c r="C219" s="37"/>
      <c r="D219" s="37"/>
      <c r="E219" s="37"/>
      <c r="F219" s="37"/>
    </row>
    <row r="220" ht="14.25" customHeight="1">
      <c r="A220" s="37"/>
      <c r="B220" s="37"/>
      <c r="C220" s="37"/>
      <c r="D220" s="37"/>
      <c r="E220" s="37"/>
      <c r="F220" s="37"/>
    </row>
    <row r="221" ht="14.25" customHeight="1">
      <c r="A221" s="37"/>
      <c r="B221" s="37"/>
      <c r="C221" s="37"/>
      <c r="D221" s="37"/>
      <c r="E221" s="37"/>
      <c r="F221" s="37"/>
    </row>
    <row r="222" ht="14.25" customHeight="1">
      <c r="A222" s="37"/>
      <c r="B222" s="37"/>
      <c r="C222" s="37"/>
      <c r="D222" s="37"/>
      <c r="E222" s="37"/>
      <c r="F222" s="37"/>
    </row>
    <row r="223" ht="14.25" customHeight="1">
      <c r="A223" s="37"/>
      <c r="B223" s="37"/>
      <c r="C223" s="37"/>
      <c r="D223" s="37"/>
      <c r="E223" s="37"/>
      <c r="F223" s="37"/>
    </row>
    <row r="224" ht="14.25" customHeight="1">
      <c r="A224" s="37"/>
      <c r="B224" s="37"/>
      <c r="C224" s="37"/>
      <c r="D224" s="37"/>
      <c r="E224" s="37"/>
      <c r="F224" s="37"/>
    </row>
    <row r="225" ht="14.25" customHeight="1">
      <c r="A225" s="37"/>
      <c r="B225" s="37"/>
      <c r="C225" s="37"/>
      <c r="D225" s="37"/>
      <c r="E225" s="37"/>
      <c r="F225" s="3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bottom="0.787401575" footer="0.0" header="0.0" left="0.511811024" right="0.511811024" top="0.78740157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20.86" hidden="0" customWidth="1"/>
    <col min="2" max="2" width="20.71" hidden="0" customWidth="1"/>
    <col min="3" max="3" width="19.29" hidden="0" customWidth="1"/>
    <col min="4" max="4" width="32" hidden="0" customWidth="1"/>
    <col min="5" max="5" width="33.71" hidden="0" customWidth="1"/>
    <col min="6" max="6" width="32.14" hidden="0" customWidth="1"/>
  </cols>
  <sheetData>
    <row r="1" ht="14.25" customHeight="1">
      <c r="A1" s="30" t="s">
        <v>1</v>
      </c>
      <c r="B1" s="30" t="s">
        <v>163</v>
      </c>
      <c r="C1" s="30" t="s">
        <v>164</v>
      </c>
      <c r="D1" s="30" t="s">
        <v>175</v>
      </c>
      <c r="E1" s="30" t="s">
        <v>176</v>
      </c>
      <c r="F1" s="30" t="s">
        <v>177</v>
      </c>
    </row>
    <row r="2" ht="30.0" customHeight="1">
      <c r="A2" s="32" t="s">
        <v>11</v>
      </c>
      <c r="B2" s="32" t="s">
        <v>171</v>
      </c>
      <c r="C2" s="32" t="s">
        <v>132</v>
      </c>
      <c r="D2" s="32" t="n">
        <v>6943284.0</v>
      </c>
      <c r="E2" s="32" t="s">
        <v>180</v>
      </c>
      <c r="F2" s="32" t="s">
        <v>133</v>
      </c>
    </row>
    <row r="3" ht="30.0" customHeight="1">
      <c r="A3" s="32" t="s">
        <v>11</v>
      </c>
      <c r="B3" s="32" t="s">
        <v>171</v>
      </c>
      <c r="C3" s="32" t="s">
        <v>11</v>
      </c>
      <c r="D3" s="32" t="n">
        <v>6943284.0</v>
      </c>
      <c r="E3" s="32" t="s">
        <v>180</v>
      </c>
      <c r="F3" s="32" t="s">
        <v>133</v>
      </c>
    </row>
    <row r="4" ht="30.0" customHeight="1">
      <c r="A4" s="32" t="s">
        <v>11</v>
      </c>
      <c r="B4" s="32" t="s">
        <v>171</v>
      </c>
      <c r="C4" s="32" t="s">
        <v>134</v>
      </c>
      <c r="D4" s="32" t="n">
        <v>6943284.0</v>
      </c>
      <c r="E4" s="32" t="s">
        <v>180</v>
      </c>
      <c r="F4" s="32" t="s">
        <v>133</v>
      </c>
    </row>
    <row r="5" ht="30.0" customHeight="1">
      <c r="A5" s="32" t="s">
        <v>11</v>
      </c>
      <c r="B5" s="32" t="s">
        <v>171</v>
      </c>
      <c r="C5" s="32" t="s">
        <v>135</v>
      </c>
      <c r="D5" s="32" t="n">
        <v>6943284.0</v>
      </c>
      <c r="E5" s="32" t="s">
        <v>180</v>
      </c>
      <c r="F5" s="32" t="s">
        <v>133</v>
      </c>
    </row>
    <row r="6" ht="30.0" customHeight="1">
      <c r="A6" s="32" t="s">
        <v>11</v>
      </c>
      <c r="B6" s="32" t="s">
        <v>171</v>
      </c>
      <c r="C6" s="32" t="s">
        <v>136</v>
      </c>
      <c r="D6" s="32" t="n">
        <v>6943284.0</v>
      </c>
      <c r="E6" s="32" t="s">
        <v>180</v>
      </c>
      <c r="F6" s="32" t="s">
        <v>133</v>
      </c>
    </row>
    <row r="7" ht="30.0" customHeight="1">
      <c r="A7" s="32" t="s">
        <v>11</v>
      </c>
      <c r="B7" s="32" t="s">
        <v>171</v>
      </c>
      <c r="C7" s="32" t="s">
        <v>137</v>
      </c>
      <c r="D7" s="32" t="n">
        <v>6943284.0</v>
      </c>
      <c r="E7" s="32" t="s">
        <v>180</v>
      </c>
      <c r="F7" s="32" t="s">
        <v>133</v>
      </c>
    </row>
    <row r="8" ht="30.0" customHeight="1">
      <c r="A8" s="32" t="s">
        <v>11</v>
      </c>
      <c r="B8" s="32" t="s">
        <v>171</v>
      </c>
      <c r="C8" s="32" t="s">
        <v>138</v>
      </c>
      <c r="D8" s="32" t="n">
        <v>6943284.0</v>
      </c>
      <c r="E8" s="32" t="s">
        <v>180</v>
      </c>
      <c r="F8" s="32" t="s">
        <v>133</v>
      </c>
    </row>
    <row r="9" ht="30.0" customHeight="1">
      <c r="A9" s="32" t="s">
        <v>11</v>
      </c>
      <c r="B9" s="32" t="s">
        <v>171</v>
      </c>
      <c r="C9" s="32" t="s">
        <v>139</v>
      </c>
      <c r="D9" s="32" t="n">
        <v>6943284.0</v>
      </c>
      <c r="E9" s="32" t="s">
        <v>180</v>
      </c>
      <c r="F9" s="32" t="s">
        <v>133</v>
      </c>
    </row>
    <row r="10" ht="30.0" customHeight="1">
      <c r="A10" s="32" t="s">
        <v>11</v>
      </c>
      <c r="B10" s="32" t="s">
        <v>172</v>
      </c>
      <c r="C10" s="32" t="s">
        <v>141</v>
      </c>
      <c r="D10" s="32" t="n">
        <v>2081989.0</v>
      </c>
      <c r="E10" s="32" t="s">
        <v>181</v>
      </c>
      <c r="F10" s="32" t="s">
        <v>143</v>
      </c>
    </row>
    <row r="11" ht="30.0" customHeight="1">
      <c r="A11" s="32" t="s">
        <v>11</v>
      </c>
      <c r="B11" s="32" t="s">
        <v>172</v>
      </c>
      <c r="C11" s="32" t="s">
        <v>144</v>
      </c>
      <c r="D11" s="32" t="n">
        <v>2082640.0</v>
      </c>
      <c r="E11" s="32" t="s">
        <v>182</v>
      </c>
      <c r="F11" s="32" t="s">
        <v>145</v>
      </c>
    </row>
    <row r="12" ht="30.0" customHeight="1">
      <c r="A12" s="32" t="s">
        <v>11</v>
      </c>
      <c r="B12" s="32" t="s">
        <v>172</v>
      </c>
      <c r="C12" s="32" t="s">
        <v>146</v>
      </c>
      <c r="D12" s="32" t="n">
        <v>2079836.0</v>
      </c>
      <c r="E12" s="32" t="s">
        <v>183</v>
      </c>
      <c r="F12" s="32" t="s">
        <v>146</v>
      </c>
    </row>
    <row r="13" ht="30.0" customHeight="1">
      <c r="A13" s="32" t="s">
        <v>11</v>
      </c>
      <c r="B13" s="32" t="s">
        <v>172</v>
      </c>
      <c r="C13" s="32" t="s">
        <v>147</v>
      </c>
      <c r="D13" s="32" t="n">
        <v>2747685.0</v>
      </c>
      <c r="E13" s="32" t="s">
        <v>184</v>
      </c>
      <c r="F13" s="32" t="s">
        <v>147</v>
      </c>
    </row>
    <row r="14" ht="30.0" customHeight="1">
      <c r="A14" s="32" t="s">
        <v>11</v>
      </c>
      <c r="B14" s="32" t="s">
        <v>172</v>
      </c>
      <c r="C14" s="32" t="s">
        <v>148</v>
      </c>
      <c r="D14" s="32" t="n">
        <v>2079399.0</v>
      </c>
      <c r="E14" s="32" t="s">
        <v>185</v>
      </c>
      <c r="F14" s="32" t="s">
        <v>148</v>
      </c>
    </row>
    <row r="15" ht="30.0" customHeight="1">
      <c r="A15" s="32" t="s">
        <v>11</v>
      </c>
      <c r="B15" s="32" t="s">
        <v>173</v>
      </c>
      <c r="C15" s="32" t="s">
        <v>150</v>
      </c>
      <c r="D15" s="32" t="n">
        <v>2081717.0</v>
      </c>
      <c r="E15" s="32" t="s">
        <v>186</v>
      </c>
      <c r="F15" s="32" t="s">
        <v>150</v>
      </c>
    </row>
    <row r="16" ht="30.0" customHeight="1">
      <c r="A16" s="32" t="s">
        <v>11</v>
      </c>
      <c r="B16" s="32" t="s">
        <v>173</v>
      </c>
      <c r="C16" s="32" t="s">
        <v>152</v>
      </c>
      <c r="D16" s="32" t="n">
        <v>2747022.0</v>
      </c>
      <c r="E16" s="32" t="s">
        <v>187</v>
      </c>
      <c r="F16" s="32" t="s">
        <v>152</v>
      </c>
    </row>
    <row r="17" ht="30.0" customHeight="1">
      <c r="A17" s="32" t="s">
        <v>11</v>
      </c>
      <c r="B17" s="32" t="s">
        <v>173</v>
      </c>
      <c r="C17" s="32" t="s">
        <v>153</v>
      </c>
      <c r="D17" s="32" t="n">
        <v>7377738.0</v>
      </c>
      <c r="E17" s="32" t="s">
        <v>188</v>
      </c>
      <c r="F17" s="32" t="s">
        <v>153</v>
      </c>
    </row>
    <row r="18" ht="30.0" customHeight="1">
      <c r="A18" s="32" t="s">
        <v>11</v>
      </c>
      <c r="B18" s="32" t="s">
        <v>173</v>
      </c>
      <c r="C18" s="32" t="s">
        <v>154</v>
      </c>
      <c r="D18" s="32" t="n">
        <v>2082322.0</v>
      </c>
      <c r="E18" s="32" t="s">
        <v>189</v>
      </c>
      <c r="F18" s="32" t="s">
        <v>154</v>
      </c>
    </row>
    <row r="19" ht="30.0" customHeight="1">
      <c r="A19" s="32" t="s">
        <v>11</v>
      </c>
      <c r="B19" s="32" t="s">
        <v>173</v>
      </c>
      <c r="C19" s="32" t="s">
        <v>155</v>
      </c>
      <c r="D19" s="32" t="n">
        <v>2747693.0</v>
      </c>
      <c r="E19" s="32" t="s">
        <v>190</v>
      </c>
      <c r="F19" s="32" t="s">
        <v>155</v>
      </c>
    </row>
    <row r="20" ht="30.0" customHeight="1">
      <c r="A20" s="32" t="s">
        <v>11</v>
      </c>
      <c r="B20" s="32" t="s">
        <v>173</v>
      </c>
      <c r="C20" s="32" t="s">
        <v>156</v>
      </c>
      <c r="D20" s="32" t="n">
        <v>2080931.0</v>
      </c>
      <c r="E20" s="32" t="s">
        <v>191</v>
      </c>
      <c r="F20" s="32" t="s">
        <v>156</v>
      </c>
    </row>
    <row r="21" ht="30.0" customHeight="1">
      <c r="A21" s="32" t="s">
        <v>11</v>
      </c>
      <c r="B21" s="32" t="s">
        <v>174</v>
      </c>
      <c r="C21" s="32" t="s">
        <v>158</v>
      </c>
      <c r="D21" s="32" t="n">
        <v>2078295.0</v>
      </c>
      <c r="E21" s="32" t="s">
        <v>192</v>
      </c>
      <c r="F21" s="32" t="s">
        <v>159</v>
      </c>
    </row>
    <row r="22" ht="30.0" customHeight="1">
      <c r="A22" s="32" t="s">
        <v>11</v>
      </c>
      <c r="B22" s="32" t="s">
        <v>174</v>
      </c>
      <c r="C22" s="32" t="s">
        <v>160</v>
      </c>
      <c r="D22" s="32" t="n">
        <v>2090961.0</v>
      </c>
      <c r="E22" s="32" t="s">
        <v>179</v>
      </c>
      <c r="F22" s="32" t="s">
        <v>142</v>
      </c>
    </row>
    <row r="23" ht="30.0" customHeight="1">
      <c r="A23" s="32" t="s">
        <v>11</v>
      </c>
      <c r="B23" s="32" t="s">
        <v>174</v>
      </c>
      <c r="C23" s="32" t="s">
        <v>161</v>
      </c>
      <c r="D23" s="32" t="n">
        <v>2090961.0</v>
      </c>
      <c r="E23" s="32" t="s">
        <v>179</v>
      </c>
      <c r="F23" s="32" t="s">
        <v>161</v>
      </c>
    </row>
    <row r="24" ht="30.0" customHeight="1">
      <c r="A24" s="32" t="s">
        <v>11</v>
      </c>
      <c r="B24" s="32" t="s">
        <v>174</v>
      </c>
      <c r="C24" s="32" t="s">
        <v>162</v>
      </c>
      <c r="D24" s="32" t="n">
        <v>2078295.0</v>
      </c>
      <c r="E24" s="32" t="s">
        <v>192</v>
      </c>
      <c r="F24" s="32" t="s">
        <v>159</v>
      </c>
    </row>
    <row r="25" ht="30.0" customHeight="1">
      <c r="A25" s="32" t="s">
        <v>11</v>
      </c>
      <c r="B25" s="32" t="s">
        <v>174</v>
      </c>
      <c r="C25" s="32" t="s">
        <v>159</v>
      </c>
      <c r="D25" s="32" t="n">
        <v>2078295.0</v>
      </c>
      <c r="E25" s="32" t="s">
        <v>192</v>
      </c>
      <c r="F25" s="32" t="s">
        <v>159</v>
      </c>
    </row>
    <row r="26" ht="14.25" customHeight="1">
      <c r="A26" s="37"/>
      <c r="B26" s="37"/>
      <c r="C26" s="37"/>
      <c r="D26" s="37"/>
      <c r="E26" s="37"/>
      <c r="F26" s="37"/>
    </row>
    <row r="27" ht="14.25" customHeight="1">
      <c r="A27" s="37"/>
      <c r="B27" s="37"/>
      <c r="C27" s="37"/>
      <c r="D27" s="37"/>
      <c r="E27" s="37"/>
      <c r="F27" s="37"/>
    </row>
    <row r="28" ht="14.25" customHeight="1">
      <c r="A28" s="37"/>
      <c r="B28" s="37"/>
      <c r="C28" s="37"/>
      <c r="D28" s="37"/>
      <c r="E28" s="37"/>
      <c r="F28" s="37"/>
    </row>
    <row r="29" ht="14.25" customHeight="1">
      <c r="A29" s="37"/>
      <c r="B29" s="37"/>
      <c r="C29" s="37"/>
      <c r="D29" s="37"/>
      <c r="E29" s="37"/>
      <c r="F29" s="37"/>
    </row>
    <row r="30" ht="14.25" customHeight="1">
      <c r="A30" s="37"/>
      <c r="B30" s="37"/>
      <c r="C30" s="37"/>
      <c r="D30" s="37"/>
      <c r="E30" s="37"/>
      <c r="F30" s="37"/>
    </row>
    <row r="31" ht="14.25" customHeight="1">
      <c r="A31" s="37"/>
      <c r="B31" s="37"/>
      <c r="C31" s="37"/>
      <c r="D31" s="37"/>
      <c r="E31" s="37"/>
      <c r="F31" s="37"/>
    </row>
    <row r="32" ht="14.25" customHeight="1">
      <c r="A32" s="37"/>
      <c r="B32" s="37"/>
      <c r="C32" s="37"/>
      <c r="D32" s="37"/>
      <c r="E32" s="37"/>
      <c r="F32" s="37"/>
    </row>
    <row r="33" ht="14.25" customHeight="1">
      <c r="A33" s="37"/>
      <c r="B33" s="37"/>
      <c r="C33" s="37"/>
      <c r="D33" s="37"/>
      <c r="E33" s="37"/>
      <c r="F33" s="37"/>
    </row>
    <row r="34" ht="14.25" customHeight="1">
      <c r="A34" s="37"/>
      <c r="B34" s="37"/>
      <c r="C34" s="37"/>
      <c r="D34" s="37"/>
      <c r="E34" s="37"/>
      <c r="F34" s="37"/>
    </row>
    <row r="35" ht="14.25" customHeight="1">
      <c r="A35" s="37"/>
      <c r="B35" s="37"/>
      <c r="C35" s="37"/>
      <c r="D35" s="37"/>
      <c r="E35" s="37"/>
      <c r="F35" s="37"/>
    </row>
    <row r="36" ht="14.25" customHeight="1">
      <c r="A36" s="37"/>
      <c r="B36" s="37"/>
      <c r="C36" s="37"/>
      <c r="D36" s="37"/>
      <c r="E36" s="37"/>
      <c r="F36" s="37"/>
    </row>
    <row r="37" ht="14.25" customHeight="1">
      <c r="A37" s="37"/>
      <c r="B37" s="37"/>
      <c r="C37" s="37"/>
      <c r="D37" s="37"/>
      <c r="E37" s="37"/>
      <c r="F37" s="37"/>
    </row>
    <row r="38" ht="14.25" customHeight="1">
      <c r="A38" s="37"/>
      <c r="B38" s="37"/>
      <c r="C38" s="37"/>
      <c r="D38" s="37"/>
      <c r="E38" s="37"/>
      <c r="F38" s="37"/>
    </row>
    <row r="39" ht="14.25" customHeight="1">
      <c r="A39" s="37"/>
      <c r="B39" s="37"/>
      <c r="C39" s="37"/>
      <c r="D39" s="37"/>
      <c r="E39" s="37"/>
      <c r="F39" s="37"/>
    </row>
    <row r="40" ht="14.25" customHeight="1">
      <c r="A40" s="37"/>
      <c r="B40" s="37"/>
      <c r="C40" s="37"/>
      <c r="D40" s="37"/>
      <c r="E40" s="37"/>
      <c r="F40" s="37"/>
    </row>
    <row r="41" ht="14.25" customHeight="1">
      <c r="A41" s="37"/>
      <c r="B41" s="37"/>
      <c r="C41" s="37"/>
      <c r="D41" s="37"/>
      <c r="E41" s="37"/>
      <c r="F41" s="37"/>
    </row>
    <row r="42" ht="14.25" customHeight="1">
      <c r="A42" s="37"/>
      <c r="B42" s="37"/>
      <c r="C42" s="37"/>
      <c r="D42" s="37"/>
      <c r="E42" s="37"/>
      <c r="F42" s="37"/>
    </row>
    <row r="43" ht="14.25" customHeight="1">
      <c r="A43" s="37"/>
      <c r="B43" s="37"/>
      <c r="C43" s="37"/>
      <c r="D43" s="37"/>
      <c r="E43" s="37"/>
      <c r="F43" s="37"/>
    </row>
    <row r="44" ht="14.25" customHeight="1">
      <c r="A44" s="37"/>
      <c r="B44" s="37"/>
      <c r="C44" s="37"/>
      <c r="D44" s="37"/>
      <c r="E44" s="37"/>
      <c r="F44" s="37"/>
    </row>
    <row r="45" ht="14.25" customHeight="1">
      <c r="A45" s="37"/>
      <c r="B45" s="37"/>
      <c r="C45" s="37"/>
      <c r="D45" s="37"/>
      <c r="E45" s="37"/>
      <c r="F45" s="37"/>
    </row>
    <row r="46" ht="14.25" customHeight="1">
      <c r="A46" s="37"/>
      <c r="B46" s="37"/>
      <c r="C46" s="37"/>
      <c r="D46" s="37"/>
      <c r="E46" s="37"/>
      <c r="F46" s="37"/>
    </row>
    <row r="47" ht="14.25" customHeight="1">
      <c r="A47" s="37"/>
      <c r="B47" s="37"/>
      <c r="C47" s="37"/>
      <c r="D47" s="37"/>
      <c r="E47" s="37"/>
      <c r="F47" s="37"/>
    </row>
    <row r="48" ht="14.25" customHeight="1">
      <c r="A48" s="37"/>
      <c r="B48" s="37"/>
      <c r="C48" s="37"/>
      <c r="D48" s="37"/>
      <c r="E48" s="37"/>
      <c r="F48" s="37"/>
    </row>
    <row r="49" ht="14.25" customHeight="1">
      <c r="A49" s="37"/>
      <c r="B49" s="37"/>
      <c r="C49" s="37"/>
      <c r="D49" s="37"/>
      <c r="E49" s="37"/>
      <c r="F49" s="37"/>
    </row>
    <row r="50" ht="14.25" customHeight="1">
      <c r="A50" s="37"/>
      <c r="B50" s="37"/>
      <c r="C50" s="37"/>
      <c r="D50" s="37"/>
      <c r="E50" s="37"/>
      <c r="F50" s="37"/>
    </row>
    <row r="51" ht="14.25" customHeight="1">
      <c r="A51" s="37"/>
      <c r="B51" s="37"/>
      <c r="C51" s="37"/>
      <c r="D51" s="37"/>
      <c r="E51" s="37"/>
      <c r="F51" s="37"/>
    </row>
    <row r="52" ht="14.25" customHeight="1">
      <c r="A52" s="37"/>
      <c r="B52" s="37"/>
      <c r="C52" s="37"/>
      <c r="D52" s="37"/>
      <c r="E52" s="37"/>
      <c r="F52" s="37"/>
    </row>
    <row r="53" ht="14.25" customHeight="1">
      <c r="A53" s="37"/>
      <c r="B53" s="37"/>
      <c r="C53" s="37"/>
      <c r="D53" s="37"/>
      <c r="E53" s="37"/>
      <c r="F53" s="37"/>
    </row>
    <row r="54" ht="14.25" customHeight="1">
      <c r="A54" s="37"/>
      <c r="B54" s="37"/>
      <c r="C54" s="37"/>
      <c r="D54" s="37"/>
      <c r="E54" s="37"/>
      <c r="F54" s="37"/>
    </row>
    <row r="55" ht="14.25" customHeight="1">
      <c r="A55" s="37"/>
      <c r="B55" s="37"/>
      <c r="C55" s="37"/>
      <c r="D55" s="37"/>
      <c r="E55" s="37"/>
      <c r="F55" s="37"/>
    </row>
    <row r="56" ht="14.25" customHeight="1">
      <c r="A56" s="37"/>
      <c r="B56" s="37"/>
      <c r="C56" s="37"/>
      <c r="D56" s="37"/>
      <c r="E56" s="37"/>
      <c r="F56" s="37"/>
    </row>
    <row r="57" ht="14.25" customHeight="1">
      <c r="A57" s="37"/>
      <c r="B57" s="37"/>
      <c r="C57" s="37"/>
      <c r="D57" s="37"/>
      <c r="E57" s="37"/>
      <c r="F57" s="37"/>
    </row>
    <row r="58" ht="14.25" customHeight="1">
      <c r="A58" s="37"/>
      <c r="B58" s="37"/>
      <c r="C58" s="37"/>
      <c r="D58" s="37"/>
      <c r="E58" s="37"/>
      <c r="F58" s="37"/>
    </row>
    <row r="59" ht="14.25" customHeight="1">
      <c r="A59" s="37"/>
      <c r="B59" s="37"/>
      <c r="C59" s="37"/>
      <c r="D59" s="37"/>
      <c r="E59" s="37"/>
      <c r="F59" s="37"/>
    </row>
    <row r="60" ht="14.25" customHeight="1">
      <c r="A60" s="37"/>
      <c r="B60" s="37"/>
      <c r="C60" s="37"/>
      <c r="D60" s="37"/>
      <c r="E60" s="37"/>
      <c r="F60" s="37"/>
    </row>
    <row r="61" ht="14.25" customHeight="1">
      <c r="A61" s="37"/>
      <c r="B61" s="37"/>
      <c r="C61" s="37"/>
      <c r="D61" s="37"/>
      <c r="E61" s="37"/>
      <c r="F61" s="37"/>
    </row>
    <row r="62" ht="14.25" customHeight="1">
      <c r="A62" s="37"/>
      <c r="B62" s="37"/>
      <c r="C62" s="37"/>
      <c r="D62" s="37"/>
      <c r="E62" s="37"/>
      <c r="F62" s="37"/>
    </row>
    <row r="63" ht="14.25" customHeight="1">
      <c r="A63" s="37"/>
      <c r="B63" s="37"/>
      <c r="C63" s="37"/>
      <c r="D63" s="37"/>
      <c r="E63" s="37"/>
      <c r="F63" s="37"/>
    </row>
    <row r="64" ht="14.25" customHeight="1">
      <c r="A64" s="37"/>
      <c r="B64" s="37"/>
      <c r="C64" s="37"/>
      <c r="D64" s="37"/>
      <c r="E64" s="37"/>
      <c r="F64" s="37"/>
    </row>
    <row r="65" ht="14.25" customHeight="1">
      <c r="A65" s="37"/>
      <c r="B65" s="37"/>
      <c r="C65" s="37"/>
      <c r="D65" s="37"/>
      <c r="E65" s="37"/>
      <c r="F65" s="37"/>
    </row>
    <row r="66" ht="14.25" customHeight="1">
      <c r="A66" s="37"/>
      <c r="B66" s="37"/>
      <c r="C66" s="37"/>
      <c r="D66" s="37"/>
      <c r="E66" s="37"/>
      <c r="F66" s="37"/>
    </row>
    <row r="67" ht="14.25" customHeight="1">
      <c r="A67" s="37"/>
      <c r="B67" s="37"/>
      <c r="C67" s="37"/>
      <c r="D67" s="37"/>
      <c r="E67" s="37"/>
      <c r="F67" s="37"/>
    </row>
    <row r="68" ht="14.25" customHeight="1">
      <c r="A68" s="37"/>
      <c r="B68" s="37"/>
      <c r="C68" s="37"/>
      <c r="D68" s="37"/>
      <c r="E68" s="37"/>
      <c r="F68" s="37"/>
    </row>
    <row r="69" ht="14.25" customHeight="1">
      <c r="A69" s="37"/>
      <c r="B69" s="37"/>
      <c r="C69" s="37"/>
      <c r="D69" s="37"/>
      <c r="E69" s="37"/>
      <c r="F69" s="37"/>
    </row>
    <row r="70" ht="14.25" customHeight="1">
      <c r="A70" s="37"/>
      <c r="B70" s="37"/>
      <c r="C70" s="37"/>
      <c r="D70" s="37"/>
      <c r="E70" s="37"/>
      <c r="F70" s="37"/>
    </row>
    <row r="71" ht="14.25" customHeight="1">
      <c r="A71" s="37"/>
      <c r="B71" s="37"/>
      <c r="C71" s="37"/>
      <c r="D71" s="37"/>
      <c r="E71" s="37"/>
      <c r="F71" s="37"/>
    </row>
    <row r="72" ht="14.25" customHeight="1">
      <c r="A72" s="37"/>
      <c r="B72" s="37"/>
      <c r="C72" s="37"/>
      <c r="D72" s="37"/>
      <c r="E72" s="37"/>
      <c r="F72" s="37"/>
    </row>
    <row r="73" ht="14.25" customHeight="1">
      <c r="A73" s="37"/>
      <c r="B73" s="37"/>
      <c r="C73" s="37"/>
      <c r="D73" s="37"/>
      <c r="E73" s="37"/>
      <c r="F73" s="37"/>
    </row>
    <row r="74" ht="14.25" customHeight="1">
      <c r="A74" s="37"/>
      <c r="B74" s="37"/>
      <c r="C74" s="37"/>
      <c r="D74" s="37"/>
      <c r="E74" s="37"/>
      <c r="F74" s="37"/>
    </row>
    <row r="75" ht="14.25" customHeight="1">
      <c r="A75" s="37"/>
      <c r="B75" s="37"/>
      <c r="C75" s="37"/>
      <c r="D75" s="37"/>
      <c r="E75" s="37"/>
      <c r="F75" s="37"/>
    </row>
    <row r="76" ht="14.25" customHeight="1">
      <c r="A76" s="37"/>
      <c r="B76" s="37"/>
      <c r="C76" s="37"/>
      <c r="D76" s="37"/>
      <c r="E76" s="37"/>
      <c r="F76" s="37"/>
    </row>
    <row r="77" ht="14.25" customHeight="1">
      <c r="A77" s="37"/>
      <c r="B77" s="37"/>
      <c r="C77" s="37"/>
      <c r="D77" s="37"/>
      <c r="E77" s="37"/>
      <c r="F77" s="37"/>
    </row>
    <row r="78" ht="14.25" customHeight="1">
      <c r="A78" s="37"/>
      <c r="B78" s="37"/>
      <c r="C78" s="37"/>
      <c r="D78" s="37"/>
      <c r="E78" s="37"/>
      <c r="F78" s="37"/>
    </row>
    <row r="79" ht="14.25" customHeight="1">
      <c r="A79" s="37"/>
      <c r="B79" s="37"/>
      <c r="C79" s="37"/>
      <c r="D79" s="37"/>
      <c r="E79" s="37"/>
      <c r="F79" s="37"/>
    </row>
    <row r="80" ht="14.25" customHeight="1">
      <c r="A80" s="37"/>
      <c r="B80" s="37"/>
      <c r="C80" s="37"/>
      <c r="D80" s="37"/>
      <c r="E80" s="37"/>
      <c r="F80" s="37"/>
    </row>
    <row r="81" ht="14.25" customHeight="1">
      <c r="A81" s="37"/>
      <c r="B81" s="37"/>
      <c r="C81" s="37"/>
      <c r="D81" s="37"/>
      <c r="E81" s="37"/>
      <c r="F81" s="37"/>
    </row>
    <row r="82" ht="14.25" customHeight="1">
      <c r="A82" s="37"/>
      <c r="B82" s="37"/>
      <c r="C82" s="37"/>
      <c r="D82" s="37"/>
      <c r="E82" s="37"/>
      <c r="F82" s="37"/>
    </row>
    <row r="83" ht="14.25" customHeight="1">
      <c r="A83" s="37"/>
      <c r="B83" s="37"/>
      <c r="C83" s="37"/>
      <c r="D83" s="37"/>
      <c r="E83" s="37"/>
      <c r="F83" s="37"/>
    </row>
    <row r="84" ht="14.25" customHeight="1">
      <c r="A84" s="37"/>
      <c r="B84" s="37"/>
      <c r="C84" s="37"/>
      <c r="D84" s="37"/>
      <c r="E84" s="37"/>
      <c r="F84" s="37"/>
    </row>
    <row r="85" ht="14.25" customHeight="1">
      <c r="A85" s="37"/>
      <c r="B85" s="37"/>
      <c r="C85" s="37"/>
      <c r="D85" s="37"/>
      <c r="E85" s="37"/>
      <c r="F85" s="37"/>
    </row>
    <row r="86" ht="14.25" customHeight="1">
      <c r="A86" s="37"/>
      <c r="B86" s="37"/>
      <c r="C86" s="37"/>
      <c r="D86" s="37"/>
      <c r="E86" s="37"/>
      <c r="F86" s="37"/>
    </row>
    <row r="87" ht="14.25" customHeight="1">
      <c r="A87" s="37"/>
      <c r="B87" s="37"/>
      <c r="C87" s="37"/>
      <c r="D87" s="37"/>
      <c r="E87" s="37"/>
      <c r="F87" s="37"/>
    </row>
    <row r="88" ht="14.25" customHeight="1">
      <c r="A88" s="37"/>
      <c r="B88" s="37"/>
      <c r="C88" s="37"/>
      <c r="D88" s="37"/>
      <c r="E88" s="37"/>
      <c r="F88" s="37"/>
    </row>
    <row r="89" ht="14.25" customHeight="1">
      <c r="A89" s="37"/>
      <c r="B89" s="37"/>
      <c r="C89" s="37"/>
      <c r="D89" s="37"/>
      <c r="E89" s="37"/>
      <c r="F89" s="37"/>
    </row>
    <row r="90" ht="14.25" customHeight="1">
      <c r="A90" s="37"/>
      <c r="B90" s="37"/>
      <c r="C90" s="37"/>
      <c r="D90" s="37"/>
      <c r="E90" s="37"/>
      <c r="F90" s="37"/>
    </row>
    <row r="91" ht="14.25" customHeight="1">
      <c r="A91" s="37"/>
      <c r="B91" s="37"/>
      <c r="C91" s="37"/>
      <c r="D91" s="37"/>
      <c r="E91" s="37"/>
      <c r="F91" s="37"/>
    </row>
    <row r="92" ht="14.25" customHeight="1">
      <c r="A92" s="37"/>
      <c r="B92" s="37"/>
      <c r="C92" s="37"/>
      <c r="D92" s="37"/>
      <c r="E92" s="37"/>
      <c r="F92" s="37"/>
    </row>
    <row r="93" ht="14.25" customHeight="1">
      <c r="A93" s="37"/>
      <c r="B93" s="37"/>
      <c r="C93" s="37"/>
      <c r="D93" s="37"/>
      <c r="E93" s="37"/>
      <c r="F93" s="37"/>
    </row>
    <row r="94" ht="14.25" customHeight="1">
      <c r="A94" s="37"/>
      <c r="B94" s="37"/>
      <c r="C94" s="37"/>
      <c r="D94" s="37"/>
      <c r="E94" s="37"/>
      <c r="F94" s="37"/>
    </row>
    <row r="95" ht="14.25" customHeight="1">
      <c r="A95" s="37"/>
      <c r="B95" s="37"/>
      <c r="C95" s="37"/>
      <c r="D95" s="37"/>
      <c r="E95" s="37"/>
      <c r="F95" s="37"/>
    </row>
    <row r="96" ht="14.25" customHeight="1">
      <c r="A96" s="37"/>
      <c r="B96" s="37"/>
      <c r="C96" s="37"/>
      <c r="D96" s="37"/>
      <c r="E96" s="37"/>
      <c r="F96" s="37"/>
    </row>
    <row r="97" ht="14.25" customHeight="1">
      <c r="A97" s="37"/>
      <c r="B97" s="37"/>
      <c r="C97" s="37"/>
      <c r="D97" s="37"/>
      <c r="E97" s="37"/>
      <c r="F97" s="37"/>
    </row>
    <row r="98" ht="14.25" customHeight="1">
      <c r="A98" s="37"/>
      <c r="B98" s="37"/>
      <c r="C98" s="37"/>
      <c r="D98" s="37"/>
      <c r="E98" s="37"/>
      <c r="F98" s="37"/>
    </row>
    <row r="99" ht="14.25" customHeight="1">
      <c r="A99" s="37"/>
      <c r="B99" s="37"/>
      <c r="C99" s="37"/>
      <c r="D99" s="37"/>
      <c r="E99" s="37"/>
      <c r="F99" s="37"/>
    </row>
    <row r="100" ht="14.25" customHeight="1">
      <c r="A100" s="37"/>
      <c r="B100" s="37"/>
      <c r="C100" s="37"/>
      <c r="D100" s="37"/>
      <c r="E100" s="37"/>
      <c r="F100" s="37"/>
    </row>
    <row r="101" ht="14.25" customHeight="1">
      <c r="A101" s="37"/>
      <c r="B101" s="37"/>
      <c r="C101" s="37"/>
      <c r="D101" s="37"/>
      <c r="E101" s="37"/>
      <c r="F101" s="37"/>
    </row>
    <row r="102" ht="14.25" customHeight="1">
      <c r="A102" s="37"/>
      <c r="B102" s="37"/>
      <c r="C102" s="37"/>
      <c r="D102" s="37"/>
      <c r="E102" s="37"/>
      <c r="F102" s="37"/>
    </row>
    <row r="103" ht="14.25" customHeight="1">
      <c r="A103" s="37"/>
      <c r="B103" s="37"/>
      <c r="C103" s="37"/>
      <c r="D103" s="37"/>
      <c r="E103" s="37"/>
      <c r="F103" s="37"/>
    </row>
    <row r="104" ht="14.25" customHeight="1">
      <c r="A104" s="37"/>
      <c r="B104" s="37"/>
      <c r="C104" s="37"/>
      <c r="D104" s="37"/>
      <c r="E104" s="37"/>
      <c r="F104" s="37"/>
    </row>
    <row r="105" ht="14.25" customHeight="1">
      <c r="A105" s="37"/>
      <c r="B105" s="37"/>
      <c r="C105" s="37"/>
      <c r="D105" s="37"/>
      <c r="E105" s="37"/>
      <c r="F105" s="37"/>
    </row>
    <row r="106" ht="14.25" customHeight="1">
      <c r="A106" s="37"/>
      <c r="B106" s="37"/>
      <c r="C106" s="37"/>
      <c r="D106" s="37"/>
      <c r="E106" s="37"/>
      <c r="F106" s="37"/>
    </row>
    <row r="107" ht="14.25" customHeight="1">
      <c r="A107" s="37"/>
      <c r="B107" s="37"/>
      <c r="C107" s="37"/>
      <c r="D107" s="37"/>
      <c r="E107" s="37"/>
      <c r="F107" s="37"/>
    </row>
    <row r="108" ht="14.25" customHeight="1">
      <c r="A108" s="37"/>
      <c r="B108" s="37"/>
      <c r="C108" s="37"/>
      <c r="D108" s="37"/>
      <c r="E108" s="37"/>
      <c r="F108" s="37"/>
    </row>
    <row r="109" ht="14.25" customHeight="1">
      <c r="A109" s="37"/>
      <c r="B109" s="37"/>
      <c r="C109" s="37"/>
      <c r="D109" s="37"/>
      <c r="E109" s="37"/>
      <c r="F109" s="37"/>
    </row>
    <row r="110" ht="14.25" customHeight="1">
      <c r="A110" s="37"/>
      <c r="B110" s="37"/>
      <c r="C110" s="37"/>
      <c r="D110" s="37"/>
      <c r="E110" s="37"/>
      <c r="F110" s="37"/>
    </row>
    <row r="111" ht="14.25" customHeight="1">
      <c r="A111" s="37"/>
      <c r="B111" s="37"/>
      <c r="C111" s="37"/>
      <c r="D111" s="37"/>
      <c r="E111" s="37"/>
      <c r="F111" s="37"/>
    </row>
    <row r="112" ht="14.25" customHeight="1">
      <c r="A112" s="37"/>
      <c r="B112" s="37"/>
      <c r="C112" s="37"/>
      <c r="D112" s="37"/>
      <c r="E112" s="37"/>
      <c r="F112" s="37"/>
    </row>
    <row r="113" ht="14.25" customHeight="1">
      <c r="A113" s="37"/>
      <c r="B113" s="37"/>
      <c r="C113" s="37"/>
      <c r="D113" s="37"/>
      <c r="E113" s="37"/>
      <c r="F113" s="37"/>
    </row>
    <row r="114" ht="14.25" customHeight="1">
      <c r="A114" s="37"/>
      <c r="B114" s="37"/>
      <c r="C114" s="37"/>
      <c r="D114" s="37"/>
      <c r="E114" s="37"/>
      <c r="F114" s="37"/>
    </row>
    <row r="115" ht="14.25" customHeight="1">
      <c r="A115" s="37"/>
      <c r="B115" s="37"/>
      <c r="C115" s="37"/>
      <c r="D115" s="37"/>
      <c r="E115" s="37"/>
      <c r="F115" s="37"/>
    </row>
    <row r="116" ht="14.25" customHeight="1">
      <c r="A116" s="37"/>
      <c r="B116" s="37"/>
      <c r="C116" s="37"/>
      <c r="D116" s="37"/>
      <c r="E116" s="37"/>
      <c r="F116" s="37"/>
    </row>
    <row r="117" ht="14.25" customHeight="1">
      <c r="A117" s="37"/>
      <c r="B117" s="37"/>
      <c r="C117" s="37"/>
      <c r="D117" s="37"/>
      <c r="E117" s="37"/>
      <c r="F117" s="37"/>
    </row>
    <row r="118" ht="14.25" customHeight="1">
      <c r="A118" s="37"/>
      <c r="B118" s="37"/>
      <c r="C118" s="37"/>
      <c r="D118" s="37"/>
      <c r="E118" s="37"/>
      <c r="F118" s="37"/>
    </row>
    <row r="119" ht="14.25" customHeight="1">
      <c r="A119" s="37"/>
      <c r="B119" s="37"/>
      <c r="C119" s="37"/>
      <c r="D119" s="37"/>
      <c r="E119" s="37"/>
      <c r="F119" s="37"/>
    </row>
    <row r="120" ht="14.25" customHeight="1">
      <c r="A120" s="37"/>
      <c r="B120" s="37"/>
      <c r="C120" s="37"/>
      <c r="D120" s="37"/>
      <c r="E120" s="37"/>
      <c r="F120" s="37"/>
    </row>
    <row r="121" ht="14.25" customHeight="1">
      <c r="A121" s="37"/>
      <c r="B121" s="37"/>
      <c r="C121" s="37"/>
      <c r="D121" s="37"/>
      <c r="E121" s="37"/>
      <c r="F121" s="37"/>
    </row>
    <row r="122" ht="14.25" customHeight="1">
      <c r="A122" s="37"/>
      <c r="B122" s="37"/>
      <c r="C122" s="37"/>
      <c r="D122" s="37"/>
      <c r="E122" s="37"/>
      <c r="F122" s="37"/>
    </row>
    <row r="123" ht="14.25" customHeight="1">
      <c r="A123" s="37"/>
      <c r="B123" s="37"/>
      <c r="C123" s="37"/>
      <c r="D123" s="37"/>
      <c r="E123" s="37"/>
      <c r="F123" s="37"/>
    </row>
    <row r="124" ht="14.25" customHeight="1">
      <c r="A124" s="37"/>
      <c r="B124" s="37"/>
      <c r="C124" s="37"/>
      <c r="D124" s="37"/>
      <c r="E124" s="37"/>
      <c r="F124" s="37"/>
    </row>
    <row r="125" ht="14.25" customHeight="1">
      <c r="A125" s="37"/>
      <c r="B125" s="37"/>
      <c r="C125" s="37"/>
      <c r="D125" s="37"/>
      <c r="E125" s="37"/>
      <c r="F125" s="37"/>
    </row>
    <row r="126" ht="14.25" customHeight="1">
      <c r="A126" s="37"/>
      <c r="B126" s="37"/>
      <c r="C126" s="37"/>
      <c r="D126" s="37"/>
      <c r="E126" s="37"/>
      <c r="F126" s="37"/>
    </row>
    <row r="127" ht="14.25" customHeight="1">
      <c r="A127" s="37"/>
      <c r="B127" s="37"/>
      <c r="C127" s="37"/>
      <c r="D127" s="37"/>
      <c r="E127" s="37"/>
      <c r="F127" s="37"/>
    </row>
    <row r="128" ht="14.25" customHeight="1">
      <c r="A128" s="37"/>
      <c r="B128" s="37"/>
      <c r="C128" s="37"/>
      <c r="D128" s="37"/>
      <c r="E128" s="37"/>
      <c r="F128" s="37"/>
    </row>
    <row r="129" ht="14.25" customHeight="1">
      <c r="A129" s="37"/>
      <c r="B129" s="37"/>
      <c r="C129" s="37"/>
      <c r="D129" s="37"/>
      <c r="E129" s="37"/>
      <c r="F129" s="37"/>
    </row>
    <row r="130" ht="14.25" customHeight="1">
      <c r="A130" s="37"/>
      <c r="B130" s="37"/>
      <c r="C130" s="37"/>
      <c r="D130" s="37"/>
      <c r="E130" s="37"/>
      <c r="F130" s="37"/>
    </row>
    <row r="131" ht="14.25" customHeight="1">
      <c r="A131" s="37"/>
      <c r="B131" s="37"/>
      <c r="C131" s="37"/>
      <c r="D131" s="37"/>
      <c r="E131" s="37"/>
      <c r="F131" s="37"/>
    </row>
    <row r="132" ht="14.25" customHeight="1">
      <c r="A132" s="37"/>
      <c r="B132" s="37"/>
      <c r="C132" s="37"/>
      <c r="D132" s="37"/>
      <c r="E132" s="37"/>
      <c r="F132" s="37"/>
    </row>
    <row r="133" ht="14.25" customHeight="1">
      <c r="A133" s="37"/>
      <c r="B133" s="37"/>
      <c r="C133" s="37"/>
      <c r="D133" s="37"/>
      <c r="E133" s="37"/>
      <c r="F133" s="37"/>
    </row>
    <row r="134" ht="14.25" customHeight="1">
      <c r="A134" s="37"/>
      <c r="B134" s="37"/>
      <c r="C134" s="37"/>
      <c r="D134" s="37"/>
      <c r="E134" s="37"/>
      <c r="F134" s="37"/>
    </row>
    <row r="135" ht="14.25" customHeight="1">
      <c r="A135" s="37"/>
      <c r="B135" s="37"/>
      <c r="C135" s="37"/>
      <c r="D135" s="37"/>
      <c r="E135" s="37"/>
      <c r="F135" s="37"/>
    </row>
    <row r="136" ht="14.25" customHeight="1">
      <c r="A136" s="37"/>
      <c r="B136" s="37"/>
      <c r="C136" s="37"/>
      <c r="D136" s="37"/>
      <c r="E136" s="37"/>
      <c r="F136" s="37"/>
    </row>
    <row r="137" ht="14.25" customHeight="1">
      <c r="A137" s="37"/>
      <c r="B137" s="37"/>
      <c r="C137" s="37"/>
      <c r="D137" s="37"/>
      <c r="E137" s="37"/>
      <c r="F137" s="37"/>
    </row>
    <row r="138" ht="14.25" customHeight="1">
      <c r="A138" s="37"/>
      <c r="B138" s="37"/>
      <c r="C138" s="37"/>
      <c r="D138" s="37"/>
      <c r="E138" s="37"/>
      <c r="F138" s="37"/>
    </row>
    <row r="139" ht="14.25" customHeight="1">
      <c r="A139" s="37"/>
      <c r="B139" s="37"/>
      <c r="C139" s="37"/>
      <c r="D139" s="37"/>
      <c r="E139" s="37"/>
      <c r="F139" s="37"/>
    </row>
    <row r="140" ht="14.25" customHeight="1">
      <c r="A140" s="37"/>
      <c r="B140" s="37"/>
      <c r="C140" s="37"/>
      <c r="D140" s="37"/>
      <c r="E140" s="37"/>
      <c r="F140" s="37"/>
    </row>
    <row r="141" ht="14.25" customHeight="1">
      <c r="A141" s="37"/>
      <c r="B141" s="37"/>
      <c r="C141" s="37"/>
      <c r="D141" s="37"/>
      <c r="E141" s="37"/>
      <c r="F141" s="37"/>
    </row>
    <row r="142" ht="14.25" customHeight="1">
      <c r="A142" s="37"/>
      <c r="B142" s="37"/>
      <c r="C142" s="37"/>
      <c r="D142" s="37"/>
      <c r="E142" s="37"/>
      <c r="F142" s="37"/>
    </row>
    <row r="143" ht="14.25" customHeight="1">
      <c r="A143" s="37"/>
      <c r="B143" s="37"/>
      <c r="C143" s="37"/>
      <c r="D143" s="37"/>
      <c r="E143" s="37"/>
      <c r="F143" s="37"/>
    </row>
    <row r="144" ht="14.25" customHeight="1">
      <c r="A144" s="37"/>
      <c r="B144" s="37"/>
      <c r="C144" s="37"/>
      <c r="D144" s="37"/>
      <c r="E144" s="37"/>
      <c r="F144" s="37"/>
    </row>
    <row r="145" ht="14.25" customHeight="1">
      <c r="A145" s="37"/>
      <c r="B145" s="37"/>
      <c r="C145" s="37"/>
      <c r="D145" s="37"/>
      <c r="E145" s="37"/>
      <c r="F145" s="37"/>
    </row>
    <row r="146" ht="14.25" customHeight="1">
      <c r="A146" s="37"/>
      <c r="B146" s="37"/>
      <c r="C146" s="37"/>
      <c r="D146" s="37"/>
      <c r="E146" s="37"/>
      <c r="F146" s="37"/>
    </row>
    <row r="147" ht="14.25" customHeight="1">
      <c r="A147" s="37"/>
      <c r="B147" s="37"/>
      <c r="C147" s="37"/>
      <c r="D147" s="37"/>
      <c r="E147" s="37"/>
      <c r="F147" s="37"/>
    </row>
    <row r="148" ht="14.25" customHeight="1">
      <c r="A148" s="37"/>
      <c r="B148" s="37"/>
      <c r="C148" s="37"/>
      <c r="D148" s="37"/>
      <c r="E148" s="37"/>
      <c r="F148" s="37"/>
    </row>
    <row r="149" ht="14.25" customHeight="1">
      <c r="A149" s="37"/>
      <c r="B149" s="37"/>
      <c r="C149" s="37"/>
      <c r="D149" s="37"/>
      <c r="E149" s="37"/>
      <c r="F149" s="37"/>
    </row>
    <row r="150" ht="14.25" customHeight="1">
      <c r="A150" s="37"/>
      <c r="B150" s="37"/>
      <c r="C150" s="37"/>
      <c r="D150" s="37"/>
      <c r="E150" s="37"/>
      <c r="F150" s="37"/>
    </row>
    <row r="151" ht="14.25" customHeight="1">
      <c r="A151" s="37"/>
      <c r="B151" s="37"/>
      <c r="C151" s="37"/>
      <c r="D151" s="37"/>
      <c r="E151" s="37"/>
      <c r="F151" s="37"/>
    </row>
    <row r="152" ht="14.25" customHeight="1">
      <c r="A152" s="37"/>
      <c r="B152" s="37"/>
      <c r="C152" s="37"/>
      <c r="D152" s="37"/>
      <c r="E152" s="37"/>
      <c r="F152" s="37"/>
    </row>
    <row r="153" ht="14.25" customHeight="1">
      <c r="A153" s="37"/>
      <c r="B153" s="37"/>
      <c r="C153" s="37"/>
      <c r="D153" s="37"/>
      <c r="E153" s="37"/>
      <c r="F153" s="37"/>
    </row>
    <row r="154" ht="14.25" customHeight="1">
      <c r="A154" s="37"/>
      <c r="B154" s="37"/>
      <c r="C154" s="37"/>
      <c r="D154" s="37"/>
      <c r="E154" s="37"/>
      <c r="F154" s="37"/>
    </row>
    <row r="155" ht="14.25" customHeight="1">
      <c r="A155" s="37"/>
      <c r="B155" s="37"/>
      <c r="C155" s="37"/>
      <c r="D155" s="37"/>
      <c r="E155" s="37"/>
      <c r="F155" s="37"/>
    </row>
    <row r="156" ht="14.25" customHeight="1">
      <c r="A156" s="37"/>
      <c r="B156" s="37"/>
      <c r="C156" s="37"/>
      <c r="D156" s="37"/>
      <c r="E156" s="37"/>
      <c r="F156" s="37"/>
    </row>
    <row r="157" ht="14.25" customHeight="1">
      <c r="A157" s="37"/>
      <c r="B157" s="37"/>
      <c r="C157" s="37"/>
      <c r="D157" s="37"/>
      <c r="E157" s="37"/>
      <c r="F157" s="37"/>
    </row>
    <row r="158" ht="14.25" customHeight="1">
      <c r="A158" s="37"/>
      <c r="B158" s="37"/>
      <c r="C158" s="37"/>
      <c r="D158" s="37"/>
      <c r="E158" s="37"/>
      <c r="F158" s="37"/>
    </row>
    <row r="159" ht="14.25" customHeight="1">
      <c r="A159" s="37"/>
      <c r="B159" s="37"/>
      <c r="C159" s="37"/>
      <c r="D159" s="37"/>
      <c r="E159" s="37"/>
      <c r="F159" s="37"/>
    </row>
    <row r="160" ht="14.25" customHeight="1">
      <c r="A160" s="37"/>
      <c r="B160" s="37"/>
      <c r="C160" s="37"/>
      <c r="D160" s="37"/>
      <c r="E160" s="37"/>
      <c r="F160" s="37"/>
    </row>
    <row r="161" ht="14.25" customHeight="1">
      <c r="A161" s="37"/>
      <c r="B161" s="37"/>
      <c r="C161" s="37"/>
      <c r="D161" s="37"/>
      <c r="E161" s="37"/>
      <c r="F161" s="37"/>
    </row>
    <row r="162" ht="14.25" customHeight="1">
      <c r="A162" s="37"/>
      <c r="B162" s="37"/>
      <c r="C162" s="37"/>
      <c r="D162" s="37"/>
      <c r="E162" s="37"/>
      <c r="F162" s="37"/>
    </row>
    <row r="163" ht="14.25" customHeight="1">
      <c r="A163" s="37"/>
      <c r="B163" s="37"/>
      <c r="C163" s="37"/>
      <c r="D163" s="37"/>
      <c r="E163" s="37"/>
      <c r="F163" s="37"/>
    </row>
    <row r="164" ht="14.25" customHeight="1">
      <c r="A164" s="37"/>
      <c r="B164" s="37"/>
      <c r="C164" s="37"/>
      <c r="D164" s="37"/>
      <c r="E164" s="37"/>
      <c r="F164" s="37"/>
    </row>
    <row r="165" ht="14.25" customHeight="1">
      <c r="A165" s="37"/>
      <c r="B165" s="37"/>
      <c r="C165" s="37"/>
      <c r="D165" s="37"/>
      <c r="E165" s="37"/>
      <c r="F165" s="37"/>
    </row>
    <row r="166" ht="14.25" customHeight="1">
      <c r="A166" s="37"/>
      <c r="B166" s="37"/>
      <c r="C166" s="37"/>
      <c r="D166" s="37"/>
      <c r="E166" s="37"/>
      <c r="F166" s="37"/>
    </row>
    <row r="167" ht="14.25" customHeight="1">
      <c r="A167" s="37"/>
      <c r="B167" s="37"/>
      <c r="C167" s="37"/>
      <c r="D167" s="37"/>
      <c r="E167" s="37"/>
      <c r="F167" s="37"/>
    </row>
    <row r="168" ht="14.25" customHeight="1">
      <c r="A168" s="37"/>
      <c r="B168" s="37"/>
      <c r="C168" s="37"/>
      <c r="D168" s="37"/>
      <c r="E168" s="37"/>
      <c r="F168" s="37"/>
    </row>
    <row r="169" ht="14.25" customHeight="1">
      <c r="A169" s="37"/>
      <c r="B169" s="37"/>
      <c r="C169" s="37"/>
      <c r="D169" s="37"/>
      <c r="E169" s="37"/>
      <c r="F169" s="37"/>
    </row>
    <row r="170" ht="14.25" customHeight="1">
      <c r="A170" s="37"/>
      <c r="B170" s="37"/>
      <c r="C170" s="37"/>
      <c r="D170" s="37"/>
      <c r="E170" s="37"/>
      <c r="F170" s="37"/>
    </row>
    <row r="171" ht="14.25" customHeight="1">
      <c r="A171" s="37"/>
      <c r="B171" s="37"/>
      <c r="C171" s="37"/>
      <c r="D171" s="37"/>
      <c r="E171" s="37"/>
      <c r="F171" s="37"/>
    </row>
    <row r="172" ht="14.25" customHeight="1">
      <c r="A172" s="37"/>
      <c r="B172" s="37"/>
      <c r="C172" s="37"/>
      <c r="D172" s="37"/>
      <c r="E172" s="37"/>
      <c r="F172" s="37"/>
    </row>
    <row r="173" ht="14.25" customHeight="1">
      <c r="A173" s="37"/>
      <c r="B173" s="37"/>
      <c r="C173" s="37"/>
      <c r="D173" s="37"/>
      <c r="E173" s="37"/>
      <c r="F173" s="37"/>
    </row>
    <row r="174" ht="14.25" customHeight="1">
      <c r="A174" s="37"/>
      <c r="B174" s="37"/>
      <c r="C174" s="37"/>
      <c r="D174" s="37"/>
      <c r="E174" s="37"/>
      <c r="F174" s="37"/>
    </row>
    <row r="175" ht="14.25" customHeight="1">
      <c r="A175" s="37"/>
      <c r="B175" s="37"/>
      <c r="C175" s="37"/>
      <c r="D175" s="37"/>
      <c r="E175" s="37"/>
      <c r="F175" s="37"/>
    </row>
    <row r="176" ht="14.25" customHeight="1">
      <c r="A176" s="37"/>
      <c r="B176" s="37"/>
      <c r="C176" s="37"/>
      <c r="D176" s="37"/>
      <c r="E176" s="37"/>
      <c r="F176" s="37"/>
    </row>
    <row r="177" ht="14.25" customHeight="1">
      <c r="A177" s="37"/>
      <c r="B177" s="37"/>
      <c r="C177" s="37"/>
      <c r="D177" s="37"/>
      <c r="E177" s="37"/>
      <c r="F177" s="37"/>
    </row>
    <row r="178" ht="14.25" customHeight="1">
      <c r="A178" s="37"/>
      <c r="B178" s="37"/>
      <c r="C178" s="37"/>
      <c r="D178" s="37"/>
      <c r="E178" s="37"/>
      <c r="F178" s="37"/>
    </row>
    <row r="179" ht="14.25" customHeight="1">
      <c r="A179" s="37"/>
      <c r="B179" s="37"/>
      <c r="C179" s="37"/>
      <c r="D179" s="37"/>
      <c r="E179" s="37"/>
      <c r="F179" s="37"/>
    </row>
    <row r="180" ht="14.25" customHeight="1">
      <c r="A180" s="37"/>
      <c r="B180" s="37"/>
      <c r="C180" s="37"/>
      <c r="D180" s="37"/>
      <c r="E180" s="37"/>
      <c r="F180" s="37"/>
    </row>
    <row r="181" ht="14.25" customHeight="1">
      <c r="A181" s="37"/>
      <c r="B181" s="37"/>
      <c r="C181" s="37"/>
      <c r="D181" s="37"/>
      <c r="E181" s="37"/>
      <c r="F181" s="37"/>
    </row>
    <row r="182" ht="14.25" customHeight="1">
      <c r="A182" s="37"/>
      <c r="B182" s="37"/>
      <c r="C182" s="37"/>
      <c r="D182" s="37"/>
      <c r="E182" s="37"/>
      <c r="F182" s="37"/>
    </row>
    <row r="183" ht="14.25" customHeight="1">
      <c r="A183" s="37"/>
      <c r="B183" s="37"/>
      <c r="C183" s="37"/>
      <c r="D183" s="37"/>
      <c r="E183" s="37"/>
      <c r="F183" s="37"/>
    </row>
    <row r="184" ht="14.25" customHeight="1">
      <c r="A184" s="37"/>
      <c r="B184" s="37"/>
      <c r="C184" s="37"/>
      <c r="D184" s="37"/>
      <c r="E184" s="37"/>
      <c r="F184" s="37"/>
    </row>
    <row r="185" ht="14.25" customHeight="1">
      <c r="A185" s="37"/>
      <c r="B185" s="37"/>
      <c r="C185" s="37"/>
      <c r="D185" s="37"/>
      <c r="E185" s="37"/>
      <c r="F185" s="37"/>
    </row>
    <row r="186" ht="14.25" customHeight="1">
      <c r="A186" s="37"/>
      <c r="B186" s="37"/>
      <c r="C186" s="37"/>
      <c r="D186" s="37"/>
      <c r="E186" s="37"/>
      <c r="F186" s="37"/>
    </row>
    <row r="187" ht="14.25" customHeight="1">
      <c r="A187" s="37"/>
      <c r="B187" s="37"/>
      <c r="C187" s="37"/>
      <c r="D187" s="37"/>
      <c r="E187" s="37"/>
      <c r="F187" s="37"/>
    </row>
    <row r="188" ht="14.25" customHeight="1">
      <c r="A188" s="37"/>
      <c r="B188" s="37"/>
      <c r="C188" s="37"/>
      <c r="D188" s="37"/>
      <c r="E188" s="37"/>
      <c r="F188" s="37"/>
    </row>
    <row r="189" ht="14.25" customHeight="1">
      <c r="A189" s="37"/>
      <c r="B189" s="37"/>
      <c r="C189" s="37"/>
      <c r="D189" s="37"/>
      <c r="E189" s="37"/>
      <c r="F189" s="37"/>
    </row>
    <row r="190" ht="14.25" customHeight="1">
      <c r="A190" s="37"/>
      <c r="B190" s="37"/>
      <c r="C190" s="37"/>
      <c r="D190" s="37"/>
      <c r="E190" s="37"/>
      <c r="F190" s="37"/>
    </row>
    <row r="191" ht="14.25" customHeight="1">
      <c r="A191" s="37"/>
      <c r="B191" s="37"/>
      <c r="C191" s="37"/>
      <c r="D191" s="37"/>
      <c r="E191" s="37"/>
      <c r="F191" s="37"/>
    </row>
    <row r="192" ht="14.25" customHeight="1">
      <c r="A192" s="37"/>
      <c r="B192" s="37"/>
      <c r="C192" s="37"/>
      <c r="D192" s="37"/>
      <c r="E192" s="37"/>
      <c r="F192" s="37"/>
    </row>
    <row r="193" ht="14.25" customHeight="1">
      <c r="A193" s="37"/>
      <c r="B193" s="37"/>
      <c r="C193" s="37"/>
      <c r="D193" s="37"/>
      <c r="E193" s="37"/>
      <c r="F193" s="37"/>
    </row>
    <row r="194" ht="14.25" customHeight="1">
      <c r="A194" s="37"/>
      <c r="B194" s="37"/>
      <c r="C194" s="37"/>
      <c r="D194" s="37"/>
      <c r="E194" s="37"/>
      <c r="F194" s="37"/>
    </row>
    <row r="195" ht="14.25" customHeight="1">
      <c r="A195" s="37"/>
      <c r="B195" s="37"/>
      <c r="C195" s="37"/>
      <c r="D195" s="37"/>
      <c r="E195" s="37"/>
      <c r="F195" s="37"/>
    </row>
    <row r="196" ht="14.25" customHeight="1">
      <c r="A196" s="37"/>
      <c r="B196" s="37"/>
      <c r="C196" s="37"/>
      <c r="D196" s="37"/>
      <c r="E196" s="37"/>
      <c r="F196" s="37"/>
    </row>
    <row r="197" ht="14.25" customHeight="1">
      <c r="A197" s="37"/>
      <c r="B197" s="37"/>
      <c r="C197" s="37"/>
      <c r="D197" s="37"/>
      <c r="E197" s="37"/>
      <c r="F197" s="37"/>
    </row>
    <row r="198" ht="14.25" customHeight="1">
      <c r="A198" s="37"/>
      <c r="B198" s="37"/>
      <c r="C198" s="37"/>
      <c r="D198" s="37"/>
      <c r="E198" s="37"/>
      <c r="F198" s="37"/>
    </row>
    <row r="199" ht="14.25" customHeight="1">
      <c r="A199" s="37"/>
      <c r="B199" s="37"/>
      <c r="C199" s="37"/>
      <c r="D199" s="37"/>
      <c r="E199" s="37"/>
      <c r="F199" s="37"/>
    </row>
    <row r="200" ht="14.25" customHeight="1">
      <c r="A200" s="37"/>
      <c r="B200" s="37"/>
      <c r="C200" s="37"/>
      <c r="D200" s="37"/>
      <c r="E200" s="37"/>
      <c r="F200" s="37"/>
    </row>
    <row r="201" ht="14.25" customHeight="1">
      <c r="A201" s="37"/>
      <c r="B201" s="37"/>
      <c r="C201" s="37"/>
      <c r="D201" s="37"/>
      <c r="E201" s="37"/>
      <c r="F201" s="37"/>
    </row>
    <row r="202" ht="14.25" customHeight="1">
      <c r="A202" s="37"/>
      <c r="B202" s="37"/>
      <c r="C202" s="37"/>
      <c r="D202" s="37"/>
      <c r="E202" s="37"/>
      <c r="F202" s="37"/>
    </row>
    <row r="203" ht="14.25" customHeight="1">
      <c r="A203" s="37"/>
      <c r="B203" s="37"/>
      <c r="C203" s="37"/>
      <c r="D203" s="37"/>
      <c r="E203" s="37"/>
      <c r="F203" s="37"/>
    </row>
    <row r="204" ht="14.25" customHeight="1">
      <c r="A204" s="37"/>
      <c r="B204" s="37"/>
      <c r="C204" s="37"/>
      <c r="D204" s="37"/>
      <c r="E204" s="37"/>
      <c r="F204" s="37"/>
    </row>
    <row r="205" ht="14.25" customHeight="1">
      <c r="A205" s="37"/>
      <c r="B205" s="37"/>
      <c r="C205" s="37"/>
      <c r="D205" s="37"/>
      <c r="E205" s="37"/>
      <c r="F205" s="37"/>
    </row>
    <row r="206" ht="14.25" customHeight="1">
      <c r="A206" s="37"/>
      <c r="B206" s="37"/>
      <c r="C206" s="37"/>
      <c r="D206" s="37"/>
      <c r="E206" s="37"/>
      <c r="F206" s="37"/>
    </row>
    <row r="207" ht="14.25" customHeight="1">
      <c r="A207" s="37"/>
      <c r="B207" s="37"/>
      <c r="C207" s="37"/>
      <c r="D207" s="37"/>
      <c r="E207" s="37"/>
      <c r="F207" s="37"/>
    </row>
    <row r="208" ht="14.25" customHeight="1">
      <c r="A208" s="37"/>
      <c r="B208" s="37"/>
      <c r="C208" s="37"/>
      <c r="D208" s="37"/>
      <c r="E208" s="37"/>
      <c r="F208" s="37"/>
    </row>
    <row r="209" ht="14.25" customHeight="1">
      <c r="A209" s="37"/>
      <c r="B209" s="37"/>
      <c r="C209" s="37"/>
      <c r="D209" s="37"/>
      <c r="E209" s="37"/>
      <c r="F209" s="37"/>
    </row>
    <row r="210" ht="14.25" customHeight="1">
      <c r="A210" s="37"/>
      <c r="B210" s="37"/>
      <c r="C210" s="37"/>
      <c r="D210" s="37"/>
      <c r="E210" s="37"/>
      <c r="F210" s="37"/>
    </row>
    <row r="211" ht="14.25" customHeight="1">
      <c r="A211" s="37"/>
      <c r="B211" s="37"/>
      <c r="C211" s="37"/>
      <c r="D211" s="37"/>
      <c r="E211" s="37"/>
      <c r="F211" s="37"/>
    </row>
    <row r="212" ht="14.25" customHeight="1">
      <c r="A212" s="37"/>
      <c r="B212" s="37"/>
      <c r="C212" s="37"/>
      <c r="D212" s="37"/>
      <c r="E212" s="37"/>
      <c r="F212" s="37"/>
    </row>
    <row r="213" ht="14.25" customHeight="1">
      <c r="A213" s="37"/>
      <c r="B213" s="37"/>
      <c r="C213" s="37"/>
      <c r="D213" s="37"/>
      <c r="E213" s="37"/>
      <c r="F213" s="37"/>
    </row>
    <row r="214" ht="14.25" customHeight="1">
      <c r="A214" s="37"/>
      <c r="B214" s="37"/>
      <c r="C214" s="37"/>
      <c r="D214" s="37"/>
      <c r="E214" s="37"/>
      <c r="F214" s="37"/>
    </row>
    <row r="215" ht="14.25" customHeight="1">
      <c r="A215" s="37"/>
      <c r="B215" s="37"/>
      <c r="C215" s="37"/>
      <c r="D215" s="37"/>
      <c r="E215" s="37"/>
      <c r="F215" s="37"/>
    </row>
    <row r="216" ht="14.25" customHeight="1">
      <c r="A216" s="37"/>
      <c r="B216" s="37"/>
      <c r="C216" s="37"/>
      <c r="D216" s="37"/>
      <c r="E216" s="37"/>
      <c r="F216" s="37"/>
    </row>
    <row r="217" ht="14.25" customHeight="1">
      <c r="A217" s="37"/>
      <c r="B217" s="37"/>
      <c r="C217" s="37"/>
      <c r="D217" s="37"/>
      <c r="E217" s="37"/>
      <c r="F217" s="37"/>
    </row>
    <row r="218" ht="14.25" customHeight="1">
      <c r="A218" s="37"/>
      <c r="B218" s="37"/>
      <c r="C218" s="37"/>
      <c r="D218" s="37"/>
      <c r="E218" s="37"/>
      <c r="F218" s="37"/>
    </row>
    <row r="219" ht="14.25" customHeight="1">
      <c r="A219" s="37"/>
      <c r="B219" s="37"/>
      <c r="C219" s="37"/>
      <c r="D219" s="37"/>
      <c r="E219" s="37"/>
      <c r="F219" s="37"/>
    </row>
    <row r="220" ht="14.25" customHeight="1">
      <c r="A220" s="37"/>
      <c r="B220" s="37"/>
      <c r="C220" s="37"/>
      <c r="D220" s="37"/>
      <c r="E220" s="37"/>
      <c r="F220" s="37"/>
    </row>
    <row r="221" ht="14.25" customHeight="1">
      <c r="A221" s="37"/>
      <c r="B221" s="37"/>
      <c r="C221" s="37"/>
      <c r="D221" s="37"/>
      <c r="E221" s="37"/>
      <c r="F221" s="37"/>
    </row>
    <row r="222" ht="14.25" customHeight="1">
      <c r="A222" s="37"/>
      <c r="B222" s="37"/>
      <c r="C222" s="37"/>
      <c r="D222" s="37"/>
      <c r="E222" s="37"/>
      <c r="F222" s="37"/>
    </row>
    <row r="223" ht="14.25" customHeight="1">
      <c r="A223" s="37"/>
      <c r="B223" s="37"/>
      <c r="C223" s="37"/>
      <c r="D223" s="37"/>
      <c r="E223" s="37"/>
      <c r="F223" s="37"/>
    </row>
    <row r="224" ht="14.25" customHeight="1">
      <c r="A224" s="37"/>
      <c r="B224" s="37"/>
      <c r="C224" s="37"/>
      <c r="D224" s="37"/>
      <c r="E224" s="37"/>
      <c r="F224" s="37"/>
    </row>
    <row r="225" ht="14.25" customHeight="1">
      <c r="A225" s="37"/>
      <c r="B225" s="37"/>
      <c r="C225" s="37"/>
      <c r="D225" s="37"/>
      <c r="E225" s="37"/>
      <c r="F225" s="3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bottom="0.787401575" footer="0.0" header="0.0" left="0.511811024" right="0.511811024" top="0.78740157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20.29" hidden="0" customWidth="1"/>
    <col min="2" max="2" width="15.86" hidden="0" customWidth="1"/>
    <col min="3" max="3" width="12.14" hidden="0" customWidth="1"/>
    <col min="4" max="4" width="19.29" hidden="0" customWidth="1"/>
    <col min="5" max="5" width="19.29" hidden="0" customWidth="1"/>
    <col min="6" max="6" width="20" hidden="0" customWidth="1"/>
    <col min="7" max="7" width="20" hidden="0" customWidth="1"/>
    <col min="8" max="8" width="24.71" hidden="0" customWidth="1"/>
    <col min="9" max="9" width="15.57" hidden="0" customWidth="1"/>
    <col min="10" max="10" width="14.57" hidden="0" customWidth="1"/>
    <col min="11" max="11" width="14.57" hidden="0" customWidth="1"/>
    <col min="12" max="12" width="12.29" hidden="0" customWidth="1"/>
    <col min="13" max="13" width="32" hidden="0" customWidth="1"/>
    <col min="14" max="14" width="11" hidden="0" customWidth="1"/>
  </cols>
  <sheetData>
    <row r="1" ht="14.25" customHeight="1">
      <c r="A1" s="38" t="s">
        <v>103</v>
      </c>
      <c r="B1" s="39" t="str">
        <f>'Tabela 1 APS - Descr.'!B1</f>
        <v/>
      </c>
    </row>
    <row r="2" ht="14.25" customHeight="1"/>
    <row r="3" ht="14.25" customHeight="1"/>
    <row r="4" ht="14.25" customHeight="1">
      <c r="A4" s="40" t="s">
        <v>193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2"/>
    </row>
    <row r="5" ht="14.25" customHeight="1"/>
    <row r="6" ht="14.25" customHeight="1">
      <c r="A6" s="43" t="s">
        <v>194</v>
      </c>
      <c r="B6" s="15"/>
      <c r="C6" s="15"/>
      <c r="D6" s="15"/>
      <c r="E6" s="15"/>
      <c r="F6" s="15"/>
      <c r="G6" s="15"/>
      <c r="H6" s="17"/>
    </row>
    <row r="7" ht="14.25" customHeight="1">
      <c r="A7" s="44" t="s">
        <v>195</v>
      </c>
      <c r="B7" s="1"/>
      <c r="C7" s="1"/>
      <c r="D7" s="1"/>
      <c r="E7" s="1"/>
      <c r="F7" s="1"/>
      <c r="G7" s="1"/>
      <c r="H7" s="45"/>
    </row>
    <row r="8" ht="14.25" customHeight="1">
      <c r="A8" s="46" t="s">
        <v>196</v>
      </c>
      <c r="H8" s="17"/>
    </row>
    <row r="9" ht="14.25" customHeight="1">
      <c r="A9" s="47" t="s">
        <v>197</v>
      </c>
      <c r="H9" s="17"/>
    </row>
    <row r="10" ht="14.25" customHeight="1">
      <c r="A10" s="48" t="s">
        <v>198</v>
      </c>
      <c r="H10" s="17"/>
    </row>
    <row r="11" ht="14.25" customHeight="1">
      <c r="A11" s="49" t="s">
        <v>199</v>
      </c>
      <c r="B11" s="50"/>
      <c r="C11" s="50"/>
      <c r="D11" s="50"/>
      <c r="E11" s="50"/>
      <c r="F11" s="50"/>
      <c r="G11" s="50"/>
      <c r="H11" s="51"/>
    </row>
    <row r="12" ht="14.25" customHeight="1"/>
    <row r="13" ht="14.25" customHeight="1"/>
    <row r="14" ht="14.25" customHeight="1">
      <c r="A14" s="52" t="s">
        <v>200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"/>
    </row>
    <row r="15" ht="14.25" customHeight="1">
      <c r="A15" s="5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54"/>
    </row>
    <row r="16" ht="14.25" customHeight="1">
      <c r="A16" s="55" t="s">
        <v>1</v>
      </c>
      <c r="B16" s="55" t="s">
        <v>119</v>
      </c>
      <c r="C16" s="55" t="s">
        <v>120</v>
      </c>
      <c r="D16" s="56" t="s">
        <v>201</v>
      </c>
      <c r="E16" s="57" t="s">
        <v>202</v>
      </c>
      <c r="F16" s="58" t="s">
        <v>203</v>
      </c>
      <c r="G16" s="55" t="s">
        <v>128</v>
      </c>
      <c r="H16" s="55" t="s">
        <v>204</v>
      </c>
      <c r="I16" s="55" t="s">
        <v>205</v>
      </c>
      <c r="J16" s="55" t="s">
        <v>206</v>
      </c>
      <c r="K16" s="55" t="s">
        <v>207</v>
      </c>
      <c r="L16" s="55" t="s">
        <v>208</v>
      </c>
      <c r="M16" s="59" t="s">
        <v>120</v>
      </c>
    </row>
    <row r="17" ht="45.0" customHeight="1">
      <c r="A17" s="60" t="s">
        <v>130</v>
      </c>
      <c r="B17" s="61" t="s">
        <v>131</v>
      </c>
      <c r="C17" s="61" t="s">
        <v>132</v>
      </c>
      <c r="D17" s="62" t="n">
        <f>'Tabela 1 APS - Descr.'!I27</f>
        <v>217.9848</v>
      </c>
      <c r="E17" s="63" t="n">
        <f t="shared" ref="E17:E40" si="1">D17*15/100</f>
        <v>32.69772</v>
      </c>
      <c r="F17" s="63" t="n">
        <f t="shared" ref="F17:F40" si="2">E17*12</f>
        <v>392.37264</v>
      </c>
      <c r="G17" s="60" t="n">
        <v>9424377.0</v>
      </c>
      <c r="H17" s="64" t="n">
        <v>7920.0</v>
      </c>
      <c r="I17" s="60" t="s">
        <v>209</v>
      </c>
      <c r="J17" s="60" t="s">
        <v>210</v>
      </c>
      <c r="K17" s="60" t="s">
        <v>211</v>
      </c>
      <c r="L17" s="60" t="n">
        <v>6943284.0</v>
      </c>
      <c r="M17" s="65" t="s">
        <v>133</v>
      </c>
    </row>
    <row r="18" ht="45.0" customHeight="1">
      <c r="A18" s="60" t="s">
        <v>130</v>
      </c>
      <c r="B18" s="61" t="s">
        <v>131</v>
      </c>
      <c r="C18" s="61" t="s">
        <v>11</v>
      </c>
      <c r="D18" s="62" t="n">
        <f>'Tabela 1 APS - Descr.'!I28</f>
        <v>1411.25369</v>
      </c>
      <c r="E18" s="63" t="n">
        <f t="shared" si="1"/>
        <v>211.6880535</v>
      </c>
      <c r="F18" s="63" t="n">
        <f t="shared" si="2"/>
        <v>2540.256642</v>
      </c>
      <c r="G18" s="60" t="n">
        <v>9424377.0</v>
      </c>
      <c r="H18" s="64" t="n">
        <v>7920.0</v>
      </c>
      <c r="I18" s="60" t="s">
        <v>209</v>
      </c>
      <c r="J18" s="64" t="s">
        <v>210</v>
      </c>
      <c r="K18" s="60" t="s">
        <v>211</v>
      </c>
      <c r="L18" s="60" t="n">
        <v>6943284.0</v>
      </c>
      <c r="M18" s="65" t="s">
        <v>133</v>
      </c>
    </row>
    <row r="19" ht="45.0" customHeight="1">
      <c r="A19" s="60" t="s">
        <v>130</v>
      </c>
      <c r="B19" s="61" t="s">
        <v>131</v>
      </c>
      <c r="C19" s="61" t="s">
        <v>134</v>
      </c>
      <c r="D19" s="62" t="n">
        <f>'Tabela 1 APS - Descr.'!I29</f>
        <v>125.18682</v>
      </c>
      <c r="E19" s="63" t="n">
        <f t="shared" si="1"/>
        <v>18.778023</v>
      </c>
      <c r="F19" s="63" t="n">
        <f t="shared" si="2"/>
        <v>225.336276</v>
      </c>
      <c r="G19" s="60" t="n">
        <v>9424377.0</v>
      </c>
      <c r="H19" s="64" t="n">
        <v>7920.0</v>
      </c>
      <c r="I19" s="60" t="s">
        <v>209</v>
      </c>
      <c r="J19" s="64" t="s">
        <v>210</v>
      </c>
      <c r="K19" s="60" t="s">
        <v>211</v>
      </c>
      <c r="L19" s="60" t="n">
        <v>6943284.0</v>
      </c>
      <c r="M19" s="65" t="s">
        <v>133</v>
      </c>
    </row>
    <row r="20" ht="45.0" customHeight="1">
      <c r="A20" s="60" t="s">
        <v>130</v>
      </c>
      <c r="B20" s="61" t="s">
        <v>131</v>
      </c>
      <c r="C20" s="61" t="s">
        <v>135</v>
      </c>
      <c r="D20" s="62" t="n">
        <f>'Tabela 1 APS - Descr.'!I30</f>
        <v>45.10451</v>
      </c>
      <c r="E20" s="63" t="n">
        <f t="shared" si="1"/>
        <v>6.7656765</v>
      </c>
      <c r="F20" s="63" t="n">
        <f t="shared" si="2"/>
        <v>81.188118</v>
      </c>
      <c r="G20" s="60" t="n">
        <v>9424377.0</v>
      </c>
      <c r="H20" s="64" t="n">
        <v>7920.0</v>
      </c>
      <c r="I20" s="60" t="s">
        <v>209</v>
      </c>
      <c r="J20" s="64" t="s">
        <v>210</v>
      </c>
      <c r="K20" s="60" t="s">
        <v>211</v>
      </c>
      <c r="L20" s="60" t="n">
        <v>6943284.0</v>
      </c>
      <c r="M20" s="65" t="s">
        <v>133</v>
      </c>
    </row>
    <row r="21" ht="45.0" customHeight="1">
      <c r="A21" s="60" t="s">
        <v>130</v>
      </c>
      <c r="B21" s="61" t="s">
        <v>131</v>
      </c>
      <c r="C21" s="61" t="s">
        <v>136</v>
      </c>
      <c r="D21" s="62" t="n">
        <f>'Tabela 1 APS - Descr.'!I31</f>
        <v>21.96128</v>
      </c>
      <c r="E21" s="63" t="n">
        <f t="shared" si="1"/>
        <v>3.294192</v>
      </c>
      <c r="F21" s="63" t="n">
        <f t="shared" si="2"/>
        <v>39.530304</v>
      </c>
      <c r="G21" s="60" t="n">
        <v>9424377.0</v>
      </c>
      <c r="H21" s="64" t="n">
        <v>7920.0</v>
      </c>
      <c r="I21" s="60" t="s">
        <v>209</v>
      </c>
      <c r="J21" s="64" t="s">
        <v>210</v>
      </c>
      <c r="K21" s="60" t="s">
        <v>211</v>
      </c>
      <c r="L21" s="60" t="n">
        <v>6943284.0</v>
      </c>
      <c r="M21" s="65" t="s">
        <v>133</v>
      </c>
    </row>
    <row r="22" ht="45.0" customHeight="1">
      <c r="A22" s="60" t="s">
        <v>130</v>
      </c>
      <c r="B22" s="61" t="s">
        <v>131</v>
      </c>
      <c r="C22" s="61" t="s">
        <v>137</v>
      </c>
      <c r="D22" s="62" t="n">
        <f>'Tabela 1 APS - Descr.'!I32</f>
        <v>59.73264</v>
      </c>
      <c r="E22" s="63" t="n">
        <f t="shared" si="1"/>
        <v>8.959896</v>
      </c>
      <c r="F22" s="63" t="n">
        <f t="shared" si="2"/>
        <v>107.518752</v>
      </c>
      <c r="G22" s="60" t="n">
        <v>9424377.0</v>
      </c>
      <c r="H22" s="64" t="n">
        <v>7920.0</v>
      </c>
      <c r="I22" s="60" t="s">
        <v>209</v>
      </c>
      <c r="J22" s="64" t="s">
        <v>210</v>
      </c>
      <c r="K22" s="60" t="s">
        <v>211</v>
      </c>
      <c r="L22" s="60" t="n">
        <v>6943284.0</v>
      </c>
      <c r="M22" s="65" t="s">
        <v>133</v>
      </c>
    </row>
    <row r="23" ht="45.0" customHeight="1">
      <c r="A23" s="60" t="s">
        <v>130</v>
      </c>
      <c r="B23" s="61" t="s">
        <v>131</v>
      </c>
      <c r="C23" s="61" t="s">
        <v>138</v>
      </c>
      <c r="D23" s="62" t="n">
        <f>'Tabela 1 APS - Descr.'!I33</f>
        <v>42.32514</v>
      </c>
      <c r="E23" s="63" t="n">
        <f t="shared" si="1"/>
        <v>6.348771</v>
      </c>
      <c r="F23" s="63" t="n">
        <f t="shared" si="2"/>
        <v>76.185252</v>
      </c>
      <c r="G23" s="60" t="n">
        <v>9424377.0</v>
      </c>
      <c r="H23" s="64" t="n">
        <v>7920.0</v>
      </c>
      <c r="I23" s="60" t="s">
        <v>209</v>
      </c>
      <c r="J23" s="64" t="s">
        <v>210</v>
      </c>
      <c r="K23" s="60" t="s">
        <v>211</v>
      </c>
      <c r="L23" s="60" t="n">
        <v>6943284.0</v>
      </c>
      <c r="M23" s="65" t="s">
        <v>133</v>
      </c>
    </row>
    <row r="24" ht="45.0" customHeight="1">
      <c r="A24" s="60" t="s">
        <v>130</v>
      </c>
      <c r="B24" s="61" t="s">
        <v>131</v>
      </c>
      <c r="C24" s="61" t="s">
        <v>139</v>
      </c>
      <c r="D24" s="62" t="n">
        <f>'Tabela 1 APS - Descr.'!I34</f>
        <v>15.25359</v>
      </c>
      <c r="E24" s="63" t="n">
        <f t="shared" si="1"/>
        <v>2.2880385</v>
      </c>
      <c r="F24" s="63" t="n">
        <f t="shared" si="2"/>
        <v>27.456462</v>
      </c>
      <c r="G24" s="60" t="n">
        <v>9424377.0</v>
      </c>
      <c r="H24" s="64" t="n">
        <v>7920.0</v>
      </c>
      <c r="I24" s="60" t="s">
        <v>209</v>
      </c>
      <c r="J24" s="64" t="s">
        <v>210</v>
      </c>
      <c r="K24" s="60" t="s">
        <v>211</v>
      </c>
      <c r="L24" s="60" t="n">
        <v>6943284.0</v>
      </c>
      <c r="M24" s="65" t="s">
        <v>133</v>
      </c>
    </row>
    <row r="25" ht="45.0" customHeight="1">
      <c r="A25" s="60" t="s">
        <v>130</v>
      </c>
      <c r="B25" s="61" t="s">
        <v>140</v>
      </c>
      <c r="C25" s="61" t="s">
        <v>141</v>
      </c>
      <c r="D25" s="62" t="n">
        <f>'Tabela 1 APS - Descr.'!I35</f>
        <v>122.04544</v>
      </c>
      <c r="E25" s="63" t="n">
        <f t="shared" si="1"/>
        <v>18.306816</v>
      </c>
      <c r="F25" s="63" t="n">
        <f t="shared" si="2"/>
        <v>219.681792</v>
      </c>
      <c r="G25" s="60" t="n">
        <v>2090961.0</v>
      </c>
      <c r="H25" s="64" t="n">
        <v>2640.0</v>
      </c>
      <c r="I25" s="62" t="s">
        <v>212</v>
      </c>
      <c r="J25" s="64" t="s">
        <v>210</v>
      </c>
      <c r="K25" s="60" t="s">
        <v>211</v>
      </c>
      <c r="L25" s="60" t="n">
        <v>2090961.0</v>
      </c>
      <c r="M25" s="60" t="s">
        <v>142</v>
      </c>
    </row>
    <row r="26" ht="45.0" customHeight="1">
      <c r="A26" s="60" t="s">
        <v>130</v>
      </c>
      <c r="B26" s="61" t="s">
        <v>140</v>
      </c>
      <c r="C26" s="61" t="s">
        <v>144</v>
      </c>
      <c r="D26" s="62" t="n">
        <f>'Tabela 1 APS - Descr.'!I36</f>
        <v>600.644</v>
      </c>
      <c r="E26" s="63" t="n">
        <f t="shared" si="1"/>
        <v>90.0966</v>
      </c>
      <c r="F26" s="63" t="n">
        <f t="shared" si="2"/>
        <v>1081.1592</v>
      </c>
      <c r="G26" s="60" t="n">
        <v>2090961.0</v>
      </c>
      <c r="H26" s="64" t="n">
        <v>2640.0</v>
      </c>
      <c r="I26" s="62" t="s">
        <v>212</v>
      </c>
      <c r="J26" s="64" t="s">
        <v>210</v>
      </c>
      <c r="K26" s="60" t="s">
        <v>211</v>
      </c>
      <c r="L26" s="60" t="n">
        <v>2090961.0</v>
      </c>
      <c r="M26" s="60" t="s">
        <v>142</v>
      </c>
    </row>
    <row r="27" ht="45.0" customHeight="1">
      <c r="A27" s="60" t="s">
        <v>130</v>
      </c>
      <c r="B27" s="61" t="s">
        <v>140</v>
      </c>
      <c r="C27" s="61" t="s">
        <v>146</v>
      </c>
      <c r="D27" s="62" t="n">
        <f>'Tabela 1 APS - Descr.'!I37</f>
        <v>315.60375</v>
      </c>
      <c r="E27" s="63" t="n">
        <f t="shared" si="1"/>
        <v>47.3405625</v>
      </c>
      <c r="F27" s="63" t="n">
        <f t="shared" si="2"/>
        <v>568.08675</v>
      </c>
      <c r="G27" s="60" t="n">
        <v>2090961.0</v>
      </c>
      <c r="H27" s="64" t="n">
        <v>2640.0</v>
      </c>
      <c r="I27" s="62" t="s">
        <v>212</v>
      </c>
      <c r="J27" s="64" t="s">
        <v>210</v>
      </c>
      <c r="K27" s="60" t="s">
        <v>211</v>
      </c>
      <c r="L27" s="60" t="n">
        <v>2090961.0</v>
      </c>
      <c r="M27" s="60" t="s">
        <v>142</v>
      </c>
    </row>
    <row r="28" ht="45.0" customHeight="1">
      <c r="A28" s="60" t="s">
        <v>130</v>
      </c>
      <c r="B28" s="61" t="s">
        <v>140</v>
      </c>
      <c r="C28" s="61" t="s">
        <v>147</v>
      </c>
      <c r="D28" s="62" t="n">
        <f>'Tabela 1 APS - Descr.'!I38</f>
        <v>54.46584</v>
      </c>
      <c r="E28" s="63" t="n">
        <f t="shared" si="1"/>
        <v>8.169876</v>
      </c>
      <c r="F28" s="63" t="n">
        <f t="shared" si="2"/>
        <v>98.038512</v>
      </c>
      <c r="G28" s="60" t="n">
        <v>2090961.0</v>
      </c>
      <c r="H28" s="64" t="n">
        <v>2640.0</v>
      </c>
      <c r="I28" s="62" t="s">
        <v>212</v>
      </c>
      <c r="J28" s="64" t="s">
        <v>210</v>
      </c>
      <c r="K28" s="60" t="s">
        <v>211</v>
      </c>
      <c r="L28" s="60" t="n">
        <v>2090961.0</v>
      </c>
      <c r="M28" s="60" t="s">
        <v>142</v>
      </c>
    </row>
    <row r="29" ht="45.0" customHeight="1">
      <c r="A29" s="60" t="s">
        <v>130</v>
      </c>
      <c r="B29" s="61" t="s">
        <v>140</v>
      </c>
      <c r="C29" s="61" t="s">
        <v>148</v>
      </c>
      <c r="D29" s="62" t="n">
        <f>'Tabela 1 APS - Descr.'!I39</f>
        <v>129.42468</v>
      </c>
      <c r="E29" s="63" t="n">
        <f t="shared" si="1"/>
        <v>19.413702</v>
      </c>
      <c r="F29" s="63" t="n">
        <f t="shared" si="2"/>
        <v>232.964424</v>
      </c>
      <c r="G29" s="60" t="n">
        <v>2090961.0</v>
      </c>
      <c r="H29" s="64" t="n">
        <v>2640.0</v>
      </c>
      <c r="I29" s="62" t="s">
        <v>212</v>
      </c>
      <c r="J29" s="64" t="s">
        <v>210</v>
      </c>
      <c r="K29" s="60" t="s">
        <v>211</v>
      </c>
      <c r="L29" s="60" t="n">
        <v>2090961.0</v>
      </c>
      <c r="M29" s="60" t="s">
        <v>142</v>
      </c>
    </row>
    <row r="30" ht="45.0" customHeight="1">
      <c r="A30" s="60" t="s">
        <v>130</v>
      </c>
      <c r="B30" s="61" t="s">
        <v>149</v>
      </c>
      <c r="C30" s="61" t="s">
        <v>150</v>
      </c>
      <c r="D30" s="62" t="n">
        <f>'Tabela 1 APS - Descr.'!I40</f>
        <v>209.99088</v>
      </c>
      <c r="E30" s="63" t="n">
        <f t="shared" si="1"/>
        <v>31.498632</v>
      </c>
      <c r="F30" s="63" t="n">
        <f t="shared" si="2"/>
        <v>377.983584</v>
      </c>
      <c r="G30" s="60" t="n">
        <v>2080931.0</v>
      </c>
      <c r="H30" s="64" t="n">
        <v>2112.0</v>
      </c>
      <c r="I30" s="60" t="s">
        <v>209</v>
      </c>
      <c r="J30" s="64" t="s">
        <v>210</v>
      </c>
      <c r="K30" s="60" t="s">
        <v>211</v>
      </c>
      <c r="L30" s="60" t="n">
        <v>2080931.0</v>
      </c>
      <c r="M30" s="60" t="s">
        <v>151</v>
      </c>
    </row>
    <row r="31" ht="45.0" customHeight="1">
      <c r="A31" s="60" t="s">
        <v>130</v>
      </c>
      <c r="B31" s="61" t="s">
        <v>149</v>
      </c>
      <c r="C31" s="61" t="s">
        <v>152</v>
      </c>
      <c r="D31" s="62" t="n">
        <f>'Tabela 1 APS - Descr.'!I41</f>
        <v>66.71023333</v>
      </c>
      <c r="E31" s="63" t="n">
        <f t="shared" si="1"/>
        <v>10.006535</v>
      </c>
      <c r="F31" s="63" t="n">
        <f t="shared" si="2"/>
        <v>120.07842</v>
      </c>
      <c r="G31" s="60" t="n">
        <v>2080931.0</v>
      </c>
      <c r="H31" s="64" t="n">
        <v>2112.0</v>
      </c>
      <c r="I31" s="60" t="s">
        <v>209</v>
      </c>
      <c r="J31" s="64" t="s">
        <v>210</v>
      </c>
      <c r="K31" s="60" t="s">
        <v>211</v>
      </c>
      <c r="L31" s="60" t="n">
        <v>2080931.0</v>
      </c>
      <c r="M31" s="60" t="s">
        <v>151</v>
      </c>
    </row>
    <row r="32" ht="45.0" customHeight="1">
      <c r="A32" s="60" t="s">
        <v>130</v>
      </c>
      <c r="B32" s="61" t="s">
        <v>149</v>
      </c>
      <c r="C32" s="61" t="s">
        <v>153</v>
      </c>
      <c r="D32" s="62" t="n">
        <f>'Tabela 1 APS - Descr.'!I42</f>
        <v>343.3584</v>
      </c>
      <c r="E32" s="63" t="n">
        <f t="shared" si="1"/>
        <v>51.50376</v>
      </c>
      <c r="F32" s="63" t="n">
        <f t="shared" si="2"/>
        <v>618.04512</v>
      </c>
      <c r="G32" s="60" t="n">
        <v>2080931.0</v>
      </c>
      <c r="H32" s="64" t="n">
        <v>2112.0</v>
      </c>
      <c r="I32" s="60" t="s">
        <v>209</v>
      </c>
      <c r="J32" s="64" t="s">
        <v>210</v>
      </c>
      <c r="K32" s="60" t="s">
        <v>211</v>
      </c>
      <c r="L32" s="60" t="n">
        <v>2080931.0</v>
      </c>
      <c r="M32" s="60" t="s">
        <v>151</v>
      </c>
    </row>
    <row r="33" ht="45.0" customHeight="1">
      <c r="A33" s="60" t="s">
        <v>130</v>
      </c>
      <c r="B33" s="61" t="s">
        <v>149</v>
      </c>
      <c r="C33" s="61" t="s">
        <v>154</v>
      </c>
      <c r="D33" s="62" t="n">
        <f>'Tabela 1 APS - Descr.'!I43</f>
        <v>328.0046</v>
      </c>
      <c r="E33" s="63" t="n">
        <f t="shared" si="1"/>
        <v>49.20069</v>
      </c>
      <c r="F33" s="63" t="n">
        <f t="shared" si="2"/>
        <v>590.40828</v>
      </c>
      <c r="G33" s="60" t="n">
        <v>2080931.0</v>
      </c>
      <c r="H33" s="64" t="n">
        <v>2112.0</v>
      </c>
      <c r="I33" s="60" t="s">
        <v>209</v>
      </c>
      <c r="J33" s="64" t="s">
        <v>210</v>
      </c>
      <c r="K33" s="60" t="s">
        <v>211</v>
      </c>
      <c r="L33" s="60" t="n">
        <v>2080931.0</v>
      </c>
      <c r="M33" s="60" t="s">
        <v>151</v>
      </c>
    </row>
    <row r="34" ht="45.0" customHeight="1">
      <c r="A34" s="60" t="s">
        <v>130</v>
      </c>
      <c r="B34" s="61" t="s">
        <v>149</v>
      </c>
      <c r="C34" s="61" t="s">
        <v>155</v>
      </c>
      <c r="D34" s="62" t="n">
        <f>'Tabela 1 APS - Descr.'!I44</f>
        <v>100.75758</v>
      </c>
      <c r="E34" s="63" t="n">
        <f t="shared" si="1"/>
        <v>15.113637</v>
      </c>
      <c r="F34" s="63" t="n">
        <f t="shared" si="2"/>
        <v>181.363644</v>
      </c>
      <c r="G34" s="60" t="n">
        <v>2080931.0</v>
      </c>
      <c r="H34" s="64" t="n">
        <v>2112.0</v>
      </c>
      <c r="I34" s="60" t="s">
        <v>209</v>
      </c>
      <c r="J34" s="64" t="s">
        <v>210</v>
      </c>
      <c r="K34" s="60" t="s">
        <v>211</v>
      </c>
      <c r="L34" s="60" t="n">
        <v>2080931.0</v>
      </c>
      <c r="M34" s="60" t="s">
        <v>151</v>
      </c>
    </row>
    <row r="35" ht="45.0" customHeight="1">
      <c r="A35" s="60" t="s">
        <v>130</v>
      </c>
      <c r="B35" s="61" t="s">
        <v>149</v>
      </c>
      <c r="C35" s="61" t="s">
        <v>156</v>
      </c>
      <c r="D35" s="62" t="n">
        <f>'Tabela 1 APS - Descr.'!I45</f>
        <v>1617.51249</v>
      </c>
      <c r="E35" s="63" t="n">
        <f t="shared" si="1"/>
        <v>242.6268735</v>
      </c>
      <c r="F35" s="63" t="n">
        <f t="shared" si="2"/>
        <v>2911.522482</v>
      </c>
      <c r="G35" s="60" t="n">
        <v>2080931.0</v>
      </c>
      <c r="H35" s="64" t="n">
        <v>2112.0</v>
      </c>
      <c r="I35" s="60" t="s">
        <v>209</v>
      </c>
      <c r="J35" s="64" t="s">
        <v>210</v>
      </c>
      <c r="K35" s="60" t="s">
        <v>211</v>
      </c>
      <c r="L35" s="60" t="n">
        <v>2080931.0</v>
      </c>
      <c r="M35" s="60" t="s">
        <v>151</v>
      </c>
    </row>
    <row r="36" ht="45.0" customHeight="1">
      <c r="A36" s="60" t="s">
        <v>130</v>
      </c>
      <c r="B36" s="61" t="s">
        <v>157</v>
      </c>
      <c r="C36" s="61" t="s">
        <v>158</v>
      </c>
      <c r="D36" s="62" t="n">
        <f>'Tabela 1 APS - Descr.'!I46</f>
        <v>16.36261</v>
      </c>
      <c r="E36" s="63" t="n">
        <f t="shared" si="1"/>
        <v>2.4543915</v>
      </c>
      <c r="F36" s="63" t="n">
        <f t="shared" si="2"/>
        <v>29.452698</v>
      </c>
      <c r="G36" s="60" t="n">
        <v>2090961.0</v>
      </c>
      <c r="H36" s="64" t="n">
        <v>2640.0</v>
      </c>
      <c r="I36" s="60" t="s">
        <v>212</v>
      </c>
      <c r="J36" s="64" t="s">
        <v>210</v>
      </c>
      <c r="K36" s="60" t="s">
        <v>211</v>
      </c>
      <c r="L36" s="60" t="n">
        <v>2090961.0</v>
      </c>
      <c r="M36" s="60" t="s">
        <v>142</v>
      </c>
    </row>
    <row r="37" ht="45.0" customHeight="1">
      <c r="A37" s="60" t="s">
        <v>130</v>
      </c>
      <c r="B37" s="61" t="s">
        <v>157</v>
      </c>
      <c r="C37" s="61" t="s">
        <v>160</v>
      </c>
      <c r="D37" s="62" t="n">
        <f>'Tabela 1 APS - Descr.'!I47</f>
        <v>83.52861</v>
      </c>
      <c r="E37" s="63" t="n">
        <f t="shared" si="1"/>
        <v>12.5292915</v>
      </c>
      <c r="F37" s="63" t="n">
        <f t="shared" si="2"/>
        <v>150.351498</v>
      </c>
      <c r="G37" s="60" t="n">
        <v>2090961.0</v>
      </c>
      <c r="H37" s="64" t="n">
        <v>2640.0</v>
      </c>
      <c r="I37" s="60" t="s">
        <v>212</v>
      </c>
      <c r="J37" s="64" t="s">
        <v>210</v>
      </c>
      <c r="K37" s="60" t="s">
        <v>211</v>
      </c>
      <c r="L37" s="60" t="n">
        <v>2090961.0</v>
      </c>
      <c r="M37" s="60" t="s">
        <v>142</v>
      </c>
    </row>
    <row r="38" ht="45.0" customHeight="1">
      <c r="A38" s="60" t="s">
        <v>130</v>
      </c>
      <c r="B38" s="61" t="s">
        <v>157</v>
      </c>
      <c r="C38" s="61" t="s">
        <v>161</v>
      </c>
      <c r="D38" s="62" t="n">
        <f>'Tabela 1 APS - Descr.'!I48</f>
        <v>501.59615</v>
      </c>
      <c r="E38" s="63" t="n">
        <f t="shared" si="1"/>
        <v>75.2394225</v>
      </c>
      <c r="F38" s="63" t="n">
        <f t="shared" si="2"/>
        <v>902.87307</v>
      </c>
      <c r="G38" s="60" t="n">
        <v>2090961.0</v>
      </c>
      <c r="H38" s="64" t="n">
        <v>2640.0</v>
      </c>
      <c r="I38" s="60" t="s">
        <v>212</v>
      </c>
      <c r="J38" s="64" t="s">
        <v>210</v>
      </c>
      <c r="K38" s="60" t="s">
        <v>211</v>
      </c>
      <c r="L38" s="60" t="n">
        <v>2090961.0</v>
      </c>
      <c r="M38" s="60" t="s">
        <v>142</v>
      </c>
    </row>
    <row r="39" ht="45.0" customHeight="1">
      <c r="A39" s="60" t="s">
        <v>130</v>
      </c>
      <c r="B39" s="61" t="s">
        <v>157</v>
      </c>
      <c r="C39" s="61" t="s">
        <v>162</v>
      </c>
      <c r="D39" s="62" t="n">
        <f>'Tabela 1 APS - Descr.'!I49</f>
        <v>38.01336</v>
      </c>
      <c r="E39" s="63" t="n">
        <f t="shared" si="1"/>
        <v>5.702004</v>
      </c>
      <c r="F39" s="63" t="n">
        <f t="shared" si="2"/>
        <v>68.424048</v>
      </c>
      <c r="G39" s="60" t="n">
        <v>2090961.0</v>
      </c>
      <c r="H39" s="64" t="n">
        <v>2640.0</v>
      </c>
      <c r="I39" s="60" t="s">
        <v>212</v>
      </c>
      <c r="J39" s="64" t="s">
        <v>210</v>
      </c>
      <c r="K39" s="60" t="s">
        <v>211</v>
      </c>
      <c r="L39" s="60" t="n">
        <v>2090961.0</v>
      </c>
      <c r="M39" s="60" t="s">
        <v>142</v>
      </c>
    </row>
    <row r="40" ht="45.0" customHeight="1">
      <c r="A40" s="60" t="s">
        <v>130</v>
      </c>
      <c r="B40" s="61" t="s">
        <v>157</v>
      </c>
      <c r="C40" s="61" t="s">
        <v>159</v>
      </c>
      <c r="D40" s="62" t="n">
        <f>'Tabela 1 APS - Descr.'!I50</f>
        <v>380.06364</v>
      </c>
      <c r="E40" s="63" t="n">
        <f t="shared" si="1"/>
        <v>57.009546</v>
      </c>
      <c r="F40" s="63" t="n">
        <f t="shared" si="2"/>
        <v>684.114552</v>
      </c>
      <c r="G40" s="60" t="n">
        <v>2090961.0</v>
      </c>
      <c r="H40" s="64" t="n">
        <v>2640.0</v>
      </c>
      <c r="I40" s="60" t="s">
        <v>212</v>
      </c>
      <c r="J40" s="64" t="s">
        <v>210</v>
      </c>
      <c r="K40" s="60" t="s">
        <v>211</v>
      </c>
      <c r="L40" s="60" t="n">
        <v>2090961.0</v>
      </c>
      <c r="M40" s="60" t="s">
        <v>142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N4"/>
    <mergeCell ref="A6:H6"/>
    <mergeCell ref="A8:H8"/>
    <mergeCell ref="A9:H9"/>
    <mergeCell ref="A10:H10"/>
    <mergeCell ref="A14:N15"/>
  </mergeCells>
  <dataValidations count="1">
    <dataValidation type="list" allowBlank="1" showErrorMessage="1" sqref="A17:B40">
      <formula1>#REF!</formula1>
    </dataValidation>
  </dataValidations>
  <pageMargins bottom="0.787401575" footer="0.0" header="0.0" left="0.511811024" right="0.511811024" top="0.78740157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3.71" hidden="0" customWidth="1"/>
    <col min="2" max="2" width="20" hidden="0" customWidth="1"/>
    <col min="3" max="3" width="13.71" hidden="0" customWidth="1"/>
    <col min="4" max="4" width="25.29" hidden="0" customWidth="1"/>
    <col min="5" max="5" width="26.86" hidden="0" customWidth="1"/>
    <col min="6" max="6" width="13.71" hidden="0" customWidth="1"/>
    <col min="7" max="7" width="13.71" hidden="0" customWidth="1"/>
    <col min="8" max="8" width="22.57" hidden="0" customWidth="1"/>
    <col min="9" max="9" width="25.86" hidden="0" customWidth="1"/>
    <col min="10" max="10" width="21.14" hidden="0" customWidth="1"/>
    <col min="11" max="11" width="24.71" hidden="0" customWidth="1"/>
    <col min="12" max="12" width="25" hidden="0" customWidth="1"/>
    <col min="13" max="13" width="13.71" hidden="0" customWidth="1"/>
    <col min="14" max="14" width="20.29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 ht="14.25" customHeight="1">
      <c r="A1" s="5" t="s">
        <v>103</v>
      </c>
      <c r="B1" s="66" t="str">
        <f>'Tabela 1 APS - Descr.'!B1</f>
        <v/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67" t="s">
        <v>213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68" t="s">
        <v>214</v>
      </c>
      <c r="B4" s="69"/>
      <c r="C4" s="69"/>
      <c r="D4" s="69"/>
      <c r="E4" s="69"/>
      <c r="F4" s="69"/>
      <c r="G4" s="69"/>
      <c r="H4" s="70"/>
      <c r="I4" s="70"/>
      <c r="J4" s="70"/>
      <c r="K4" s="70"/>
      <c r="L4" s="70"/>
      <c r="M4" s="70"/>
      <c r="N4" s="70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71"/>
      <c r="B5" s="12"/>
      <c r="C5" s="12"/>
      <c r="D5" s="12"/>
      <c r="E5" s="12"/>
      <c r="F5" s="12"/>
      <c r="G5" s="12"/>
      <c r="H5" s="12"/>
      <c r="I5" s="70"/>
      <c r="J5" s="70"/>
      <c r="K5" s="70"/>
      <c r="L5" s="70"/>
      <c r="M5" s="70"/>
      <c r="N5" s="70"/>
      <c r="O5" s="70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71" t="s">
        <v>215</v>
      </c>
      <c r="B6" s="12"/>
      <c r="C6" s="12"/>
      <c r="D6" s="12"/>
      <c r="E6" s="12"/>
      <c r="F6" s="12"/>
      <c r="G6" s="12"/>
      <c r="H6" s="70"/>
      <c r="I6" s="70"/>
      <c r="J6" s="70"/>
      <c r="K6" s="70"/>
      <c r="L6" s="70"/>
      <c r="M6" s="70"/>
      <c r="N6" s="70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71" t="s">
        <v>216</v>
      </c>
      <c r="B7" s="12"/>
      <c r="C7" s="12"/>
      <c r="D7" s="12"/>
      <c r="E7" s="12"/>
      <c r="F7" s="12"/>
      <c r="G7" s="12"/>
      <c r="H7" s="72"/>
      <c r="I7" s="70"/>
      <c r="J7" s="70"/>
      <c r="K7" s="70"/>
      <c r="L7" s="70"/>
      <c r="M7" s="70"/>
      <c r="N7" s="70"/>
      <c r="O7" s="70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73" t="s">
        <v>217</v>
      </c>
      <c r="B8" s="12"/>
      <c r="C8" s="12"/>
      <c r="D8" s="12"/>
      <c r="E8" s="12"/>
      <c r="F8" s="12"/>
      <c r="G8" s="12"/>
      <c r="H8" s="72"/>
      <c r="I8" s="70"/>
      <c r="J8" s="70"/>
      <c r="K8" s="70"/>
      <c r="L8" s="70"/>
      <c r="M8" s="70"/>
      <c r="N8" s="70"/>
      <c r="O8" s="7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74" t="s">
        <v>218</v>
      </c>
      <c r="B9" s="75"/>
      <c r="C9" s="75"/>
      <c r="D9" s="75"/>
      <c r="E9" s="75"/>
      <c r="F9" s="75"/>
      <c r="G9" s="75"/>
      <c r="H9" s="76"/>
      <c r="I9" s="70"/>
      <c r="J9" s="70"/>
      <c r="K9" s="70"/>
      <c r="L9" s="70"/>
      <c r="M9" s="70"/>
      <c r="N9" s="70"/>
      <c r="O9" s="7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0" customHeight="1">
      <c r="A10" s="77" t="s">
        <v>219</v>
      </c>
      <c r="B10" s="24"/>
      <c r="C10" s="24"/>
      <c r="D10" s="24"/>
      <c r="E10" s="24"/>
      <c r="F10" s="24"/>
      <c r="G10" s="24"/>
      <c r="H10" s="54"/>
      <c r="I10" s="70"/>
      <c r="J10" s="70"/>
      <c r="K10" s="70"/>
      <c r="L10" s="70"/>
      <c r="M10" s="70"/>
      <c r="N10" s="70"/>
      <c r="O10" s="7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78" t="s">
        <v>220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5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5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13.25" customHeight="1">
      <c r="A18" s="32" t="s">
        <v>1</v>
      </c>
      <c r="B18" s="32" t="s">
        <v>119</v>
      </c>
      <c r="C18" s="32" t="s">
        <v>120</v>
      </c>
      <c r="D18" s="32" t="s">
        <v>221</v>
      </c>
      <c r="E18" s="32" t="s">
        <v>222</v>
      </c>
      <c r="F18" s="32" t="s">
        <v>205</v>
      </c>
      <c r="G18" s="32" t="s">
        <v>120</v>
      </c>
      <c r="H18" s="32" t="s">
        <v>223</v>
      </c>
      <c r="I18" s="32" t="s">
        <v>224</v>
      </c>
      <c r="J18" s="32" t="s">
        <v>225</v>
      </c>
      <c r="K18" s="32" t="s">
        <v>226</v>
      </c>
      <c r="L18" s="32" t="s">
        <v>227</v>
      </c>
      <c r="M18" s="32" t="s">
        <v>120</v>
      </c>
      <c r="N18" s="32" t="s">
        <v>228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45.0" customHeight="1">
      <c r="A19" s="79" t="s">
        <v>130</v>
      </c>
      <c r="B19" s="79" t="s">
        <v>131</v>
      </c>
      <c r="C19" s="80" t="s">
        <v>132</v>
      </c>
      <c r="D19" s="80" t="n">
        <v>36.0</v>
      </c>
      <c r="E19" s="80" t="n">
        <v>2080931.0</v>
      </c>
      <c r="F19" s="80" t="s">
        <v>229</v>
      </c>
      <c r="G19" s="80" t="s">
        <v>151</v>
      </c>
      <c r="H19" s="81" t="n">
        <f t="shared" ref="H19:H41" si="1">(D19*92/100)*3</f>
        <v>99.36</v>
      </c>
      <c r="I19" s="81" t="n">
        <f t="shared" ref="I19:I41" si="2">(D19*92/100)*4</f>
        <v>132.48</v>
      </c>
      <c r="J19" s="81" t="n">
        <f t="shared" ref="J19:J41" si="3">(D19*8/100)*7</f>
        <v>20.16</v>
      </c>
      <c r="K19" s="81" t="n">
        <f t="shared" ref="K19:K41" si="4">(D19*8/100)*6</f>
        <v>17.28</v>
      </c>
      <c r="L19" s="80" t="n">
        <v>2080931.0</v>
      </c>
      <c r="M19" s="80" t="s">
        <v>156</v>
      </c>
      <c r="N19" s="80" t="s">
        <v>211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45.0" customHeight="1">
      <c r="A20" s="79" t="s">
        <v>130</v>
      </c>
      <c r="B20" s="79" t="s">
        <v>131</v>
      </c>
      <c r="C20" s="80" t="s">
        <v>11</v>
      </c>
      <c r="D20" s="80" t="n">
        <v>230.0</v>
      </c>
      <c r="E20" s="80" t="n">
        <v>2080931.0</v>
      </c>
      <c r="F20" s="80" t="s">
        <v>229</v>
      </c>
      <c r="G20" s="80" t="s">
        <v>151</v>
      </c>
      <c r="H20" s="81" t="n">
        <f t="shared" si="1"/>
        <v>634.8</v>
      </c>
      <c r="I20" s="81" t="n">
        <f t="shared" si="2"/>
        <v>846.4</v>
      </c>
      <c r="J20" s="81" t="n">
        <f t="shared" si="3"/>
        <v>128.8</v>
      </c>
      <c r="K20" s="81" t="n">
        <f t="shared" si="4"/>
        <v>110.4</v>
      </c>
      <c r="L20" s="80" t="n">
        <v>2080931.0</v>
      </c>
      <c r="M20" s="80" t="s">
        <v>156</v>
      </c>
      <c r="N20" s="80" t="s">
        <v>211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5.0" customHeight="1">
      <c r="A21" s="79" t="s">
        <v>130</v>
      </c>
      <c r="B21" s="79" t="s">
        <v>131</v>
      </c>
      <c r="C21" s="80" t="s">
        <v>134</v>
      </c>
      <c r="D21" s="80" t="n">
        <v>19.0</v>
      </c>
      <c r="E21" s="80" t="n">
        <v>2080931.0</v>
      </c>
      <c r="F21" s="80" t="s">
        <v>229</v>
      </c>
      <c r="G21" s="80" t="s">
        <v>151</v>
      </c>
      <c r="H21" s="81" t="n">
        <f t="shared" si="1"/>
        <v>52.44</v>
      </c>
      <c r="I21" s="81" t="n">
        <f t="shared" si="2"/>
        <v>69.92</v>
      </c>
      <c r="J21" s="81" t="n">
        <f t="shared" si="3"/>
        <v>10.64</v>
      </c>
      <c r="K21" s="81" t="n">
        <f t="shared" si="4"/>
        <v>9.12</v>
      </c>
      <c r="L21" s="80" t="n">
        <v>2080931.0</v>
      </c>
      <c r="M21" s="80" t="s">
        <v>156</v>
      </c>
      <c r="N21" s="80" t="s">
        <v>211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45.0" customHeight="1">
      <c r="A22" s="79" t="s">
        <v>130</v>
      </c>
      <c r="B22" s="79" t="s">
        <v>131</v>
      </c>
      <c r="C22" s="82" t="s">
        <v>230</v>
      </c>
      <c r="D22" s="80" t="n">
        <v>5.0</v>
      </c>
      <c r="E22" s="80" t="n">
        <v>2080931.0</v>
      </c>
      <c r="F22" s="80" t="s">
        <v>229</v>
      </c>
      <c r="G22" s="80" t="s">
        <v>151</v>
      </c>
      <c r="H22" s="81" t="n">
        <f t="shared" si="1"/>
        <v>13.8</v>
      </c>
      <c r="I22" s="81" t="n">
        <f t="shared" si="2"/>
        <v>18.4</v>
      </c>
      <c r="J22" s="81" t="n">
        <f t="shared" si="3"/>
        <v>2.8</v>
      </c>
      <c r="K22" s="81" t="n">
        <f t="shared" si="4"/>
        <v>2.4</v>
      </c>
      <c r="L22" s="80" t="n">
        <v>2080931.0</v>
      </c>
      <c r="M22" s="80" t="s">
        <v>156</v>
      </c>
      <c r="N22" s="80" t="s">
        <v>211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45.0" customHeight="1">
      <c r="A23" s="79" t="s">
        <v>130</v>
      </c>
      <c r="B23" s="79" t="s">
        <v>131</v>
      </c>
      <c r="C23" s="80" t="s">
        <v>231</v>
      </c>
      <c r="D23" s="80" t="n">
        <v>22.0</v>
      </c>
      <c r="E23" s="80" t="n">
        <v>2080931.0</v>
      </c>
      <c r="F23" s="80" t="s">
        <v>229</v>
      </c>
      <c r="G23" s="80" t="s">
        <v>151</v>
      </c>
      <c r="H23" s="81" t="n">
        <f t="shared" si="1"/>
        <v>60.72</v>
      </c>
      <c r="I23" s="81" t="n">
        <f t="shared" si="2"/>
        <v>80.96</v>
      </c>
      <c r="J23" s="81" t="n">
        <f t="shared" si="3"/>
        <v>12.32</v>
      </c>
      <c r="K23" s="81" t="n">
        <f t="shared" si="4"/>
        <v>10.56</v>
      </c>
      <c r="L23" s="80" t="n">
        <v>2080931.0</v>
      </c>
      <c r="M23" s="80" t="s">
        <v>156</v>
      </c>
      <c r="N23" s="80" t="s">
        <v>211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45.0" customHeight="1">
      <c r="A24" s="79" t="s">
        <v>130</v>
      </c>
      <c r="B24" s="79" t="s">
        <v>131</v>
      </c>
      <c r="C24" s="80" t="s">
        <v>232</v>
      </c>
      <c r="D24" s="80" t="n">
        <v>1.0</v>
      </c>
      <c r="E24" s="80" t="n">
        <v>2080931.0</v>
      </c>
      <c r="F24" s="80" t="s">
        <v>229</v>
      </c>
      <c r="G24" s="80" t="s">
        <v>151</v>
      </c>
      <c r="H24" s="81" t="n">
        <f t="shared" si="1"/>
        <v>2.76</v>
      </c>
      <c r="I24" s="81" t="n">
        <f t="shared" si="2"/>
        <v>3.68</v>
      </c>
      <c r="J24" s="81" t="n">
        <f t="shared" si="3"/>
        <v>0.56</v>
      </c>
      <c r="K24" s="81" t="n">
        <f t="shared" si="4"/>
        <v>0.48</v>
      </c>
      <c r="L24" s="80" t="n">
        <v>2080931.0</v>
      </c>
      <c r="M24" s="80" t="s">
        <v>156</v>
      </c>
      <c r="N24" s="80" t="s">
        <v>211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45.0" customHeight="1">
      <c r="A25" s="79" t="s">
        <v>130</v>
      </c>
      <c r="B25" s="79" t="s">
        <v>131</v>
      </c>
      <c r="C25" s="80" t="s">
        <v>139</v>
      </c>
      <c r="D25" s="80" t="n">
        <v>3.0</v>
      </c>
      <c r="E25" s="80" t="n">
        <v>2080931.0</v>
      </c>
      <c r="F25" s="80" t="s">
        <v>229</v>
      </c>
      <c r="G25" s="80" t="s">
        <v>151</v>
      </c>
      <c r="H25" s="81" t="n">
        <f t="shared" si="1"/>
        <v>8.28</v>
      </c>
      <c r="I25" s="81" t="n">
        <f t="shared" si="2"/>
        <v>11.04</v>
      </c>
      <c r="J25" s="81" t="n">
        <f t="shared" si="3"/>
        <v>1.68</v>
      </c>
      <c r="K25" s="81" t="n">
        <f t="shared" si="4"/>
        <v>1.44</v>
      </c>
      <c r="L25" s="80" t="n">
        <v>2080931.0</v>
      </c>
      <c r="M25" s="80" t="s">
        <v>156</v>
      </c>
      <c r="N25" s="80" t="s">
        <v>211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45.0" customHeight="1">
      <c r="A26" s="79" t="s">
        <v>130</v>
      </c>
      <c r="B26" s="79" t="s">
        <v>233</v>
      </c>
      <c r="C26" s="80" t="s">
        <v>143</v>
      </c>
      <c r="D26" s="80" t="n">
        <v>16.0</v>
      </c>
      <c r="E26" s="80" t="n">
        <v>2080931.0</v>
      </c>
      <c r="F26" s="80" t="s">
        <v>229</v>
      </c>
      <c r="G26" s="80" t="s">
        <v>151</v>
      </c>
      <c r="H26" s="81" t="n">
        <f t="shared" si="1"/>
        <v>44.16</v>
      </c>
      <c r="I26" s="81" t="n">
        <f t="shared" si="2"/>
        <v>58.88</v>
      </c>
      <c r="J26" s="81" t="n">
        <f t="shared" si="3"/>
        <v>8.96</v>
      </c>
      <c r="K26" s="81" t="n">
        <f t="shared" si="4"/>
        <v>7.68</v>
      </c>
      <c r="L26" s="80" t="n">
        <v>2080931.0</v>
      </c>
      <c r="M26" s="80" t="s">
        <v>156</v>
      </c>
      <c r="N26" s="80" t="s">
        <v>211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45.0" customHeight="1">
      <c r="A27" s="79" t="s">
        <v>130</v>
      </c>
      <c r="B27" s="79" t="s">
        <v>233</v>
      </c>
      <c r="C27" s="80" t="s">
        <v>145</v>
      </c>
      <c r="D27" s="80" t="n">
        <v>52.0</v>
      </c>
      <c r="E27" s="80" t="n">
        <v>2080931.0</v>
      </c>
      <c r="F27" s="80" t="s">
        <v>229</v>
      </c>
      <c r="G27" s="80" t="s">
        <v>151</v>
      </c>
      <c r="H27" s="81" t="n">
        <f t="shared" si="1"/>
        <v>143.52</v>
      </c>
      <c r="I27" s="81" t="n">
        <f t="shared" si="2"/>
        <v>191.36</v>
      </c>
      <c r="J27" s="81" t="n">
        <f t="shared" si="3"/>
        <v>29.12</v>
      </c>
      <c r="K27" s="81" t="n">
        <f t="shared" si="4"/>
        <v>24.96</v>
      </c>
      <c r="L27" s="80" t="n">
        <v>2080931.0</v>
      </c>
      <c r="M27" s="80" t="s">
        <v>156</v>
      </c>
      <c r="N27" s="80" t="s">
        <v>211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45.0" customHeight="1">
      <c r="A28" s="79" t="s">
        <v>130</v>
      </c>
      <c r="B28" s="79" t="s">
        <v>233</v>
      </c>
      <c r="C28" s="80" t="s">
        <v>146</v>
      </c>
      <c r="D28" s="80" t="n">
        <v>22.0</v>
      </c>
      <c r="E28" s="80" t="n">
        <v>2080931.0</v>
      </c>
      <c r="F28" s="80" t="s">
        <v>229</v>
      </c>
      <c r="G28" s="80" t="s">
        <v>151</v>
      </c>
      <c r="H28" s="81" t="n">
        <f t="shared" si="1"/>
        <v>60.72</v>
      </c>
      <c r="I28" s="81" t="n">
        <f t="shared" si="2"/>
        <v>80.96</v>
      </c>
      <c r="J28" s="81" t="n">
        <f t="shared" si="3"/>
        <v>12.32</v>
      </c>
      <c r="K28" s="81" t="n">
        <f t="shared" si="4"/>
        <v>10.56</v>
      </c>
      <c r="L28" s="80" t="n">
        <v>2080931.0</v>
      </c>
      <c r="M28" s="80" t="s">
        <v>156</v>
      </c>
      <c r="N28" s="80" t="s">
        <v>211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45.0" customHeight="1">
      <c r="A29" s="79" t="s">
        <v>130</v>
      </c>
      <c r="B29" s="79" t="s">
        <v>234</v>
      </c>
      <c r="C29" s="80" t="s">
        <v>235</v>
      </c>
      <c r="D29" s="80" t="n">
        <v>8.0</v>
      </c>
      <c r="E29" s="80" t="n">
        <v>2080931.0</v>
      </c>
      <c r="F29" s="80" t="s">
        <v>229</v>
      </c>
      <c r="G29" s="80" t="s">
        <v>151</v>
      </c>
      <c r="H29" s="81" t="n">
        <f t="shared" si="1"/>
        <v>22.08</v>
      </c>
      <c r="I29" s="81" t="n">
        <f t="shared" si="2"/>
        <v>29.44</v>
      </c>
      <c r="J29" s="81" t="n">
        <f t="shared" si="3"/>
        <v>4.48</v>
      </c>
      <c r="K29" s="81" t="n">
        <f t="shared" si="4"/>
        <v>3.84</v>
      </c>
      <c r="L29" s="80" t="n">
        <v>2080931.0</v>
      </c>
      <c r="M29" s="80" t="s">
        <v>156</v>
      </c>
      <c r="N29" s="80" t="s">
        <v>211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45.0" customHeight="1">
      <c r="A30" s="79" t="s">
        <v>130</v>
      </c>
      <c r="B30" s="79" t="s">
        <v>234</v>
      </c>
      <c r="C30" s="80" t="s">
        <v>236</v>
      </c>
      <c r="D30" s="80" t="n">
        <v>8.0</v>
      </c>
      <c r="E30" s="80" t="n">
        <v>2080931.0</v>
      </c>
      <c r="F30" s="80" t="s">
        <v>229</v>
      </c>
      <c r="G30" s="80" t="s">
        <v>151</v>
      </c>
      <c r="H30" s="81" t="n">
        <f t="shared" si="1"/>
        <v>22.08</v>
      </c>
      <c r="I30" s="81" t="n">
        <f t="shared" si="2"/>
        <v>29.44</v>
      </c>
      <c r="J30" s="81" t="n">
        <f t="shared" si="3"/>
        <v>4.48</v>
      </c>
      <c r="K30" s="81" t="n">
        <f t="shared" si="4"/>
        <v>3.84</v>
      </c>
      <c r="L30" s="80" t="n">
        <v>2080931.0</v>
      </c>
      <c r="M30" s="80" t="s">
        <v>156</v>
      </c>
      <c r="N30" s="80" t="s">
        <v>211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45.0" customHeight="1">
      <c r="A31" s="79" t="s">
        <v>130</v>
      </c>
      <c r="B31" s="79" t="s">
        <v>237</v>
      </c>
      <c r="C31" s="80" t="s">
        <v>238</v>
      </c>
      <c r="D31" s="80" t="n">
        <v>3.0</v>
      </c>
      <c r="E31" s="80" t="n">
        <v>2080931.0</v>
      </c>
      <c r="F31" s="80" t="s">
        <v>229</v>
      </c>
      <c r="G31" s="80" t="s">
        <v>151</v>
      </c>
      <c r="H31" s="81" t="n">
        <f t="shared" si="1"/>
        <v>8.28</v>
      </c>
      <c r="I31" s="81" t="n">
        <f t="shared" si="2"/>
        <v>11.04</v>
      </c>
      <c r="J31" s="81" t="n">
        <f t="shared" si="3"/>
        <v>1.68</v>
      </c>
      <c r="K31" s="81" t="n">
        <f t="shared" si="4"/>
        <v>1.44</v>
      </c>
      <c r="L31" s="80" t="n">
        <v>2080931.0</v>
      </c>
      <c r="M31" s="80" t="s">
        <v>156</v>
      </c>
      <c r="N31" s="80" t="s">
        <v>211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45.0" customHeight="1">
      <c r="A32" s="79" t="s">
        <v>130</v>
      </c>
      <c r="B32" s="79" t="s">
        <v>237</v>
      </c>
      <c r="C32" s="80" t="s">
        <v>239</v>
      </c>
      <c r="D32" s="80" t="n">
        <v>2.0</v>
      </c>
      <c r="E32" s="80" t="n">
        <v>2080931.0</v>
      </c>
      <c r="F32" s="80" t="s">
        <v>229</v>
      </c>
      <c r="G32" s="80" t="s">
        <v>151</v>
      </c>
      <c r="H32" s="81" t="n">
        <f t="shared" si="1"/>
        <v>5.52</v>
      </c>
      <c r="I32" s="81" t="n">
        <f t="shared" si="2"/>
        <v>7.36</v>
      </c>
      <c r="J32" s="81" t="n">
        <f t="shared" si="3"/>
        <v>1.12</v>
      </c>
      <c r="K32" s="81" t="n">
        <f t="shared" si="4"/>
        <v>0.96</v>
      </c>
      <c r="L32" s="80" t="n">
        <v>2080931.0</v>
      </c>
      <c r="M32" s="80" t="s">
        <v>156</v>
      </c>
      <c r="N32" s="80" t="s">
        <v>211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45.0" customHeight="1">
      <c r="A33" s="79" t="s">
        <v>130</v>
      </c>
      <c r="B33" s="79" t="s">
        <v>149</v>
      </c>
      <c r="C33" s="80" t="s">
        <v>153</v>
      </c>
      <c r="D33" s="80" t="n">
        <v>20.0</v>
      </c>
      <c r="E33" s="80" t="n">
        <v>2080931.0</v>
      </c>
      <c r="F33" s="80" t="s">
        <v>229</v>
      </c>
      <c r="G33" s="80" t="s">
        <v>151</v>
      </c>
      <c r="H33" s="81" t="n">
        <f t="shared" si="1"/>
        <v>55.2</v>
      </c>
      <c r="I33" s="81" t="n">
        <f t="shared" si="2"/>
        <v>73.6</v>
      </c>
      <c r="J33" s="81" t="n">
        <f t="shared" si="3"/>
        <v>11.2</v>
      </c>
      <c r="K33" s="81" t="n">
        <f t="shared" si="4"/>
        <v>9.6</v>
      </c>
      <c r="L33" s="80" t="n">
        <v>2080931.0</v>
      </c>
      <c r="M33" s="80" t="s">
        <v>156</v>
      </c>
      <c r="N33" s="80" t="s">
        <v>211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45.0" customHeight="1">
      <c r="A34" s="79" t="s">
        <v>130</v>
      </c>
      <c r="B34" s="79" t="s">
        <v>149</v>
      </c>
      <c r="C34" s="80" t="s">
        <v>154</v>
      </c>
      <c r="D34" s="80" t="n">
        <v>7.0</v>
      </c>
      <c r="E34" s="80" t="n">
        <v>2080931.0</v>
      </c>
      <c r="F34" s="80" t="s">
        <v>229</v>
      </c>
      <c r="G34" s="80" t="s">
        <v>151</v>
      </c>
      <c r="H34" s="81" t="n">
        <f t="shared" si="1"/>
        <v>19.32</v>
      </c>
      <c r="I34" s="81" t="n">
        <f t="shared" si="2"/>
        <v>25.76</v>
      </c>
      <c r="J34" s="81" t="n">
        <f t="shared" si="3"/>
        <v>3.92</v>
      </c>
      <c r="K34" s="81" t="n">
        <f t="shared" si="4"/>
        <v>3.36</v>
      </c>
      <c r="L34" s="80" t="n">
        <v>2080931.0</v>
      </c>
      <c r="M34" s="80" t="s">
        <v>156</v>
      </c>
      <c r="N34" s="80" t="s">
        <v>211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45.0" customHeight="1">
      <c r="A35" s="79" t="s">
        <v>130</v>
      </c>
      <c r="B35" s="79" t="s">
        <v>149</v>
      </c>
      <c r="C35" s="80" t="s">
        <v>155</v>
      </c>
      <c r="D35" s="80" t="n">
        <v>7.0</v>
      </c>
      <c r="E35" s="80" t="n">
        <v>2080931.0</v>
      </c>
      <c r="F35" s="80" t="s">
        <v>229</v>
      </c>
      <c r="G35" s="80" t="s">
        <v>151</v>
      </c>
      <c r="H35" s="81" t="n">
        <f t="shared" si="1"/>
        <v>19.32</v>
      </c>
      <c r="I35" s="81" t="n">
        <f t="shared" si="2"/>
        <v>25.76</v>
      </c>
      <c r="J35" s="81" t="n">
        <f t="shared" si="3"/>
        <v>3.92</v>
      </c>
      <c r="K35" s="81" t="n">
        <f t="shared" si="4"/>
        <v>3.36</v>
      </c>
      <c r="L35" s="80" t="n">
        <v>2080931.0</v>
      </c>
      <c r="M35" s="80" t="s">
        <v>156</v>
      </c>
      <c r="N35" s="80" t="s">
        <v>211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45.0" customHeight="1">
      <c r="A36" s="79" t="s">
        <v>130</v>
      </c>
      <c r="B36" s="79" t="s">
        <v>149</v>
      </c>
      <c r="C36" s="80" t="s">
        <v>151</v>
      </c>
      <c r="D36" s="80" t="n">
        <v>114.0</v>
      </c>
      <c r="E36" s="80" t="n">
        <v>2080931.0</v>
      </c>
      <c r="F36" s="80" t="s">
        <v>229</v>
      </c>
      <c r="G36" s="80" t="s">
        <v>151</v>
      </c>
      <c r="H36" s="81" t="n">
        <f t="shared" si="1"/>
        <v>314.64</v>
      </c>
      <c r="I36" s="81" t="n">
        <f t="shared" si="2"/>
        <v>419.52</v>
      </c>
      <c r="J36" s="81" t="n">
        <f t="shared" si="3"/>
        <v>63.84</v>
      </c>
      <c r="K36" s="81" t="n">
        <f t="shared" si="4"/>
        <v>54.72</v>
      </c>
      <c r="L36" s="80" t="n">
        <v>2080931.0</v>
      </c>
      <c r="M36" s="80" t="s">
        <v>156</v>
      </c>
      <c r="N36" s="80" t="s">
        <v>211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45.0" customHeight="1">
      <c r="A37" s="79" t="s">
        <v>130</v>
      </c>
      <c r="B37" s="79" t="s">
        <v>157</v>
      </c>
      <c r="C37" s="80" t="s">
        <v>158</v>
      </c>
      <c r="D37" s="80" t="n">
        <v>1.0</v>
      </c>
      <c r="E37" s="80" t="n">
        <v>2080931.0</v>
      </c>
      <c r="F37" s="80" t="s">
        <v>229</v>
      </c>
      <c r="G37" s="80" t="s">
        <v>151</v>
      </c>
      <c r="H37" s="81" t="n">
        <f t="shared" si="1"/>
        <v>2.76</v>
      </c>
      <c r="I37" s="81" t="n">
        <f t="shared" si="2"/>
        <v>3.68</v>
      </c>
      <c r="J37" s="81" t="n">
        <f t="shared" si="3"/>
        <v>0.56</v>
      </c>
      <c r="K37" s="81" t="n">
        <f t="shared" si="4"/>
        <v>0.48</v>
      </c>
      <c r="L37" s="80" t="n">
        <v>2080931.0</v>
      </c>
      <c r="M37" s="80" t="s">
        <v>156</v>
      </c>
      <c r="N37" s="80" t="s">
        <v>211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45.0" customHeight="1">
      <c r="A38" s="79" t="s">
        <v>130</v>
      </c>
      <c r="B38" s="79" t="s">
        <v>157</v>
      </c>
      <c r="C38" s="80" t="s">
        <v>160</v>
      </c>
      <c r="D38" s="80" t="n">
        <v>10.0</v>
      </c>
      <c r="E38" s="80" t="n">
        <v>2080931.0</v>
      </c>
      <c r="F38" s="80" t="s">
        <v>229</v>
      </c>
      <c r="G38" s="80" t="s">
        <v>151</v>
      </c>
      <c r="H38" s="81" t="n">
        <f t="shared" si="1"/>
        <v>27.6</v>
      </c>
      <c r="I38" s="81" t="n">
        <f t="shared" si="2"/>
        <v>36.8</v>
      </c>
      <c r="J38" s="81" t="n">
        <f t="shared" si="3"/>
        <v>5.6</v>
      </c>
      <c r="K38" s="81" t="n">
        <f t="shared" si="4"/>
        <v>4.8</v>
      </c>
      <c r="L38" s="80" t="n">
        <v>2080931.0</v>
      </c>
      <c r="M38" s="80" t="s">
        <v>156</v>
      </c>
      <c r="N38" s="80" t="s">
        <v>211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45.0" customHeight="1">
      <c r="A39" s="79" t="s">
        <v>130</v>
      </c>
      <c r="B39" s="79" t="s">
        <v>157</v>
      </c>
      <c r="C39" s="80" t="s">
        <v>161</v>
      </c>
      <c r="D39" s="80" t="n">
        <v>79.0</v>
      </c>
      <c r="E39" s="80" t="n">
        <v>2080931.0</v>
      </c>
      <c r="F39" s="80" t="s">
        <v>229</v>
      </c>
      <c r="G39" s="80" t="s">
        <v>151</v>
      </c>
      <c r="H39" s="81" t="n">
        <f t="shared" si="1"/>
        <v>218.04</v>
      </c>
      <c r="I39" s="81" t="n">
        <f t="shared" si="2"/>
        <v>290.72</v>
      </c>
      <c r="J39" s="81" t="n">
        <f t="shared" si="3"/>
        <v>44.24</v>
      </c>
      <c r="K39" s="81" t="n">
        <f t="shared" si="4"/>
        <v>37.92</v>
      </c>
      <c r="L39" s="80" t="n">
        <v>2080931.0</v>
      </c>
      <c r="M39" s="80" t="s">
        <v>156</v>
      </c>
      <c r="N39" s="80" t="s">
        <v>211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45.0" customHeight="1">
      <c r="A40" s="79" t="s">
        <v>130</v>
      </c>
      <c r="B40" s="79" t="s">
        <v>157</v>
      </c>
      <c r="C40" s="80" t="s">
        <v>162</v>
      </c>
      <c r="D40" s="80" t="n">
        <v>3.0</v>
      </c>
      <c r="E40" s="80" t="n">
        <v>2080931.0</v>
      </c>
      <c r="F40" s="80" t="s">
        <v>229</v>
      </c>
      <c r="G40" s="80" t="s">
        <v>151</v>
      </c>
      <c r="H40" s="81" t="n">
        <f t="shared" si="1"/>
        <v>8.28</v>
      </c>
      <c r="I40" s="81" t="n">
        <f t="shared" si="2"/>
        <v>11.04</v>
      </c>
      <c r="J40" s="81" t="n">
        <f t="shared" si="3"/>
        <v>1.68</v>
      </c>
      <c r="K40" s="81" t="n">
        <f t="shared" si="4"/>
        <v>1.44</v>
      </c>
      <c r="L40" s="80" t="n">
        <v>2080931.0</v>
      </c>
      <c r="M40" s="80" t="s">
        <v>156</v>
      </c>
      <c r="N40" s="80" t="s">
        <v>211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45.0" customHeight="1">
      <c r="A41" s="79" t="s">
        <v>130</v>
      </c>
      <c r="B41" s="79" t="s">
        <v>157</v>
      </c>
      <c r="C41" s="80" t="s">
        <v>240</v>
      </c>
      <c r="D41" s="80" t="n">
        <v>51.0</v>
      </c>
      <c r="E41" s="80" t="n">
        <v>2080931.0</v>
      </c>
      <c r="F41" s="80" t="s">
        <v>229</v>
      </c>
      <c r="G41" s="80" t="s">
        <v>151</v>
      </c>
      <c r="H41" s="81" t="n">
        <f t="shared" si="1"/>
        <v>140.76</v>
      </c>
      <c r="I41" s="81" t="n">
        <f t="shared" si="2"/>
        <v>187.68</v>
      </c>
      <c r="J41" s="81" t="n">
        <f t="shared" si="3"/>
        <v>28.56</v>
      </c>
      <c r="K41" s="81" t="n">
        <f t="shared" si="4"/>
        <v>24.48</v>
      </c>
      <c r="L41" s="80" t="n">
        <v>2080931.0</v>
      </c>
      <c r="M41" s="80" t="s">
        <v>156</v>
      </c>
      <c r="N41" s="80" t="s">
        <v>211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O3"/>
    <mergeCell ref="A10:H10"/>
    <mergeCell ref="A16:O17"/>
  </mergeCells>
  <dataValidations count="2">
    <dataValidation type="list" allowBlank="1" showErrorMessage="1" sqref="B19:B41">
      <formula1>'listas de opções'!$E$2:$E$64</formula1>
    </dataValidation>
    <dataValidation type="list" allowBlank="1" showErrorMessage="1" sqref="A19:A41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8D08D"/>
    <pageSetUpPr/>
  </sheetPr>
  <dimension ref="A1"/>
  <sheetViews>
    <sheetView workbookViewId="0"/>
  </sheetViews>
  <sheetFormatPr defaultRowHeight="15.0" baseColWidth="10"/>
  <cols>
    <col min="1" max="1" width="21.43" hidden="0" customWidth="1"/>
    <col min="2" max="2" width="23.57" hidden="0" customWidth="1"/>
    <col min="3" max="3" width="12.86" hidden="0" customWidth="1"/>
    <col min="4" max="4" width="12.86" hidden="0" customWidth="1"/>
    <col min="5" max="5" width="12.86" hidden="0" customWidth="1"/>
    <col min="6" max="6" width="12.86" hidden="0" customWidth="1"/>
    <col min="7" max="7" width="12" hidden="0" customWidth="1"/>
    <col min="8" max="8" width="8.57" hidden="0" customWidth="1"/>
    <col min="9" max="9" width="8.57" hidden="0" customWidth="1"/>
    <col min="10" max="10" width="8.57" hidden="0" customWidth="1"/>
    <col min="11" max="11" width="8.57" hidden="0" customWidth="1"/>
    <col min="12" max="12" width="8.57" hidden="0" customWidth="1"/>
    <col min="13" max="13" width="8.57" hidden="0" customWidth="1"/>
    <col min="14" max="14" width="8.57" hidden="0" customWidth="1"/>
    <col min="15" max="15" width="8.57" hidden="0" customWidth="1"/>
    <col min="16" max="16" width="9.29" hidden="0" customWidth="1"/>
    <col min="17" max="17" width="9.29" hidden="0" customWidth="1"/>
    <col min="18" max="18" width="9.29" hidden="0" customWidth="1"/>
    <col min="19" max="19" width="8.57" hidden="0" customWidth="1"/>
    <col min="20" max="20" width="12.29" hidden="0" customWidth="1"/>
    <col min="21" max="21" width="8.71" hidden="0" customWidth="1"/>
  </cols>
  <sheetData>
    <row r="1" ht="14.25" customHeight="1"/>
    <row r="2" ht="14.25" customHeight="1"/>
    <row r="3" ht="14.25" customHeight="1">
      <c r="M3" s="83"/>
      <c r="N3" s="83"/>
      <c r="O3" s="83"/>
      <c r="P3" s="83"/>
      <c r="Q3" s="83"/>
      <c r="R3" s="83"/>
      <c r="S3" s="83"/>
      <c r="U3" s="83"/>
      <c r="V3" s="83"/>
      <c r="W3" s="83"/>
      <c r="X3" s="83"/>
      <c r="Y3" s="83"/>
      <c r="Z3" s="83"/>
    </row>
    <row r="4" ht="14.25" customHeight="1">
      <c r="M4" s="1"/>
      <c r="N4" s="1"/>
      <c r="O4" s="1"/>
      <c r="P4" s="1"/>
      <c r="Q4" s="1"/>
      <c r="R4" s="1"/>
      <c r="S4" s="1"/>
    </row>
    <row r="5" ht="14.25" customHeight="1">
      <c r="M5" s="1"/>
      <c r="N5" s="1"/>
      <c r="O5" s="1"/>
      <c r="P5" s="1"/>
      <c r="Q5" s="1"/>
      <c r="R5" s="1"/>
      <c r="S5" s="1"/>
    </row>
    <row r="6" ht="14.25" customHeight="1">
      <c r="M6" s="1"/>
      <c r="N6" s="1"/>
      <c r="O6" s="1"/>
      <c r="P6" s="1"/>
      <c r="Q6" s="1"/>
      <c r="R6" s="1"/>
      <c r="S6" s="1"/>
    </row>
    <row r="7" ht="14.25" customHeight="1">
      <c r="M7" s="1"/>
      <c r="N7" s="1"/>
      <c r="O7" s="1"/>
      <c r="P7" s="1"/>
      <c r="Q7" s="1"/>
      <c r="R7" s="1"/>
      <c r="S7" s="1"/>
    </row>
    <row r="8" ht="14.25" customHeight="1">
      <c r="M8" s="1"/>
      <c r="N8" s="1"/>
      <c r="O8" s="1"/>
      <c r="P8" s="1"/>
      <c r="Q8" s="1"/>
      <c r="R8" s="1"/>
      <c r="S8" s="1"/>
    </row>
    <row r="9" ht="14.25" customHeight="1">
      <c r="M9" s="1"/>
      <c r="N9" s="1"/>
      <c r="O9" s="1"/>
      <c r="P9" s="1"/>
      <c r="Q9" s="1"/>
      <c r="R9" s="1"/>
      <c r="S9" s="1"/>
    </row>
    <row r="10" ht="14.2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4.2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4.2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4.2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4.2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4.2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4.25" customHeight="1">
      <c r="A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27" hidden="0" customWidth="1"/>
    <col min="2" max="2" width="21.71" hidden="0" customWidth="1"/>
    <col min="3" max="3" width="25.14" hidden="0" customWidth="1"/>
    <col min="4" max="4" width="13" hidden="0" customWidth="1"/>
    <col min="5" max="5" width="10.14" hidden="0" customWidth="1"/>
    <col min="6" max="6" width="13.57" hidden="0" customWidth="1"/>
    <col min="7" max="7" width="8.71" hidden="0" customWidth="1"/>
    <col min="8" max="8" width="8.71" hidden="0" customWidth="1"/>
    <col min="9" max="9" width="27.43" hidden="0" customWidth="1"/>
    <col min="10" max="10" width="13.57" hidden="0" customWidth="1"/>
    <col min="11" max="11" width="10" hidden="0" customWidth="1"/>
    <col min="12" max="12" width="9.57" hidden="0" customWidth="1"/>
    <col min="13" max="13" width="10.14" hidden="0" customWidth="1"/>
    <col min="14" max="14" width="10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</cols>
  <sheetData>
    <row r="1" ht="14.25" customHeight="1">
      <c r="A1" s="38" t="s">
        <v>103</v>
      </c>
      <c r="B1" s="100" t="str">
        <f>'Tabela 1 APS - Descr.'!B1</f>
        <v/>
      </c>
    </row>
    <row r="2" ht="14.25" customHeight="1"/>
    <row r="3" ht="14.25" customHeight="1">
      <c r="A3" s="101" t="s">
        <v>254</v>
      </c>
    </row>
    <row r="4" ht="14.25" customHeight="1">
      <c r="A4" s="101"/>
    </row>
    <row r="5" ht="15.0" customHeight="1">
      <c r="A5" s="102" t="s">
        <v>255</v>
      </c>
      <c r="B5" s="15"/>
      <c r="C5" s="15"/>
      <c r="D5" s="15"/>
      <c r="E5" s="15"/>
      <c r="F5" s="15"/>
      <c r="G5" s="15"/>
      <c r="H5" s="103"/>
    </row>
    <row r="6" ht="14.25" customHeight="1">
      <c r="A6" s="104" t="s">
        <v>256</v>
      </c>
      <c r="B6" s="16"/>
      <c r="C6" s="16"/>
      <c r="D6" s="16"/>
      <c r="E6" s="16"/>
      <c r="F6" s="16"/>
      <c r="G6" s="16"/>
      <c r="H6" s="17"/>
    </row>
    <row r="7" ht="14.25" customHeight="1">
      <c r="A7" s="105" t="s">
        <v>257</v>
      </c>
      <c r="B7" s="24"/>
      <c r="C7" s="24"/>
      <c r="D7" s="24"/>
      <c r="E7" s="24"/>
      <c r="F7" s="24"/>
      <c r="G7" s="24"/>
      <c r="H7" s="25"/>
    </row>
    <row r="8" ht="14.25" customHeight="1">
      <c r="A8" s="101"/>
    </row>
    <row r="9" ht="14.25" customHeight="1"/>
    <row r="10" ht="14.25" customHeight="1">
      <c r="F10" s="106" t="s">
        <v>258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2"/>
    </row>
    <row r="11" ht="14.25" customHeight="1"/>
    <row r="12" ht="89.25" customHeight="1">
      <c r="A12" s="107" t="s">
        <v>1</v>
      </c>
      <c r="B12" s="108" t="s">
        <v>241</v>
      </c>
      <c r="C12" s="108" t="s">
        <v>259</v>
      </c>
      <c r="D12" s="108" t="s">
        <v>120</v>
      </c>
      <c r="E12" s="108" t="s">
        <v>205</v>
      </c>
      <c r="F12" s="109" t="s">
        <v>260</v>
      </c>
      <c r="G12" s="110" t="s">
        <v>261</v>
      </c>
      <c r="H12" s="110" t="s">
        <v>262</v>
      </c>
      <c r="I12" s="110" t="s">
        <v>263</v>
      </c>
      <c r="J12" s="110" t="s">
        <v>264</v>
      </c>
      <c r="K12" s="110" t="s">
        <v>265</v>
      </c>
      <c r="L12" s="110" t="s">
        <v>266</v>
      </c>
      <c r="M12" s="110" t="s">
        <v>267</v>
      </c>
      <c r="N12" s="110" t="s">
        <v>268</v>
      </c>
      <c r="O12" s="84" t="s">
        <v>269</v>
      </c>
      <c r="P12" s="84" t="s">
        <v>270</v>
      </c>
      <c r="Q12" s="84" t="s">
        <v>271</v>
      </c>
      <c r="R12" s="84" t="s">
        <v>272</v>
      </c>
      <c r="S12" s="85" t="s">
        <v>273</v>
      </c>
      <c r="T12" s="85" t="s">
        <v>274</v>
      </c>
      <c r="U12" s="85" t="s">
        <v>275</v>
      </c>
      <c r="V12" s="84" t="s">
        <v>276</v>
      </c>
    </row>
    <row r="13" ht="21.75" customHeight="1">
      <c r="A13" s="86" t="s">
        <v>130</v>
      </c>
      <c r="B13" s="86" t="s">
        <v>131</v>
      </c>
      <c r="C13" s="87" t="s">
        <v>277</v>
      </c>
      <c r="D13" s="88" t="s">
        <v>11</v>
      </c>
      <c r="E13" s="88" t="s">
        <v>229</v>
      </c>
      <c r="F13" s="89" t="n">
        <v>36.0</v>
      </c>
      <c r="G13" s="89"/>
      <c r="H13" s="90" t="n">
        <v>3.0</v>
      </c>
      <c r="I13" s="89"/>
      <c r="J13" s="89"/>
      <c r="K13" s="89" t="n">
        <v>7.0</v>
      </c>
      <c r="L13" s="89"/>
      <c r="M13" s="89" t="n">
        <v>9.0</v>
      </c>
      <c r="N13" s="89" t="n">
        <v>3.0</v>
      </c>
      <c r="O13" s="89"/>
      <c r="P13" s="89"/>
      <c r="Q13" s="89"/>
      <c r="R13" s="91"/>
      <c r="S13" s="89" t="n">
        <v>1.0</v>
      </c>
      <c r="T13" s="89"/>
      <c r="U13" s="89"/>
      <c r="V13" s="92" t="s">
        <v>278</v>
      </c>
    </row>
    <row r="14" ht="21.75" customHeight="1">
      <c r="A14" s="86" t="s">
        <v>130</v>
      </c>
      <c r="B14" s="86" t="s">
        <v>233</v>
      </c>
      <c r="C14" s="87" t="s">
        <v>279</v>
      </c>
      <c r="D14" s="88" t="s">
        <v>143</v>
      </c>
      <c r="E14" s="88" t="s">
        <v>229</v>
      </c>
      <c r="F14" s="89" t="n">
        <v>2.0</v>
      </c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4"/>
      <c r="S14" s="93"/>
      <c r="T14" s="93"/>
      <c r="U14" s="93"/>
      <c r="V14" s="92" t="s">
        <v>278</v>
      </c>
    </row>
    <row r="15" ht="21.75" customHeight="1">
      <c r="A15" s="86" t="s">
        <v>130</v>
      </c>
      <c r="B15" s="86" t="s">
        <v>233</v>
      </c>
      <c r="C15" s="87" t="s">
        <v>280</v>
      </c>
      <c r="D15" s="88" t="s">
        <v>281</v>
      </c>
      <c r="E15" s="88" t="s">
        <v>229</v>
      </c>
      <c r="F15" s="89" t="n">
        <v>6.0</v>
      </c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4"/>
      <c r="S15" s="93"/>
      <c r="T15" s="93"/>
      <c r="U15" s="93"/>
      <c r="V15" s="92" t="s">
        <v>278</v>
      </c>
    </row>
    <row r="16" ht="21.75" customHeight="1">
      <c r="A16" s="86" t="s">
        <v>130</v>
      </c>
      <c r="B16" s="86" t="s">
        <v>233</v>
      </c>
      <c r="C16" s="87" t="s">
        <v>282</v>
      </c>
      <c r="D16" s="88" t="s">
        <v>283</v>
      </c>
      <c r="E16" s="88" t="s">
        <v>229</v>
      </c>
      <c r="F16" s="89" t="n">
        <v>4.0</v>
      </c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4"/>
      <c r="S16" s="93"/>
      <c r="T16" s="93"/>
      <c r="U16" s="93"/>
      <c r="V16" s="92" t="s">
        <v>278</v>
      </c>
    </row>
    <row r="17" ht="21.75" customHeight="1">
      <c r="A17" s="86" t="s">
        <v>130</v>
      </c>
      <c r="B17" s="86" t="s">
        <v>233</v>
      </c>
      <c r="C17" s="87" t="s">
        <v>284</v>
      </c>
      <c r="D17" s="88" t="s">
        <v>285</v>
      </c>
      <c r="E17" s="88" t="s">
        <v>229</v>
      </c>
      <c r="F17" s="89" t="n">
        <v>5.0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6"/>
      <c r="S17" s="97"/>
      <c r="T17" s="97"/>
      <c r="U17" s="97"/>
      <c r="V17" s="92" t="s">
        <v>278</v>
      </c>
    </row>
    <row r="18" ht="21.75" customHeight="1">
      <c r="A18" s="86" t="s">
        <v>130</v>
      </c>
      <c r="B18" s="86" t="s">
        <v>233</v>
      </c>
      <c r="C18" s="87" t="s">
        <v>286</v>
      </c>
      <c r="D18" s="88" t="s">
        <v>287</v>
      </c>
      <c r="E18" s="88" t="s">
        <v>229</v>
      </c>
      <c r="F18" s="89" t="n">
        <v>1.0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9"/>
      <c r="S18" s="97"/>
      <c r="T18" s="97"/>
      <c r="U18" s="97"/>
      <c r="V18" s="92" t="s">
        <v>278</v>
      </c>
    </row>
    <row r="19" ht="21.75" customHeight="1">
      <c r="A19" s="86" t="s">
        <v>130</v>
      </c>
      <c r="B19" s="86" t="s">
        <v>149</v>
      </c>
      <c r="C19" s="87" t="s">
        <v>288</v>
      </c>
      <c r="D19" s="88" t="s">
        <v>289</v>
      </c>
      <c r="E19" s="88" t="s">
        <v>229</v>
      </c>
      <c r="F19" s="89" t="n">
        <v>3.0</v>
      </c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9"/>
      <c r="S19" s="97"/>
      <c r="T19" s="97"/>
      <c r="U19" s="97"/>
      <c r="V19" s="92" t="s">
        <v>278</v>
      </c>
    </row>
    <row r="20" ht="21.75" customHeight="1">
      <c r="A20" s="86" t="s">
        <v>130</v>
      </c>
      <c r="B20" s="86" t="s">
        <v>149</v>
      </c>
      <c r="C20" s="87" t="s">
        <v>290</v>
      </c>
      <c r="D20" s="88" t="s">
        <v>152</v>
      </c>
      <c r="E20" s="88" t="s">
        <v>229</v>
      </c>
      <c r="F20" s="89" t="n">
        <v>4.0</v>
      </c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9"/>
      <c r="S20" s="97"/>
      <c r="T20" s="97"/>
      <c r="U20" s="97"/>
      <c r="V20" s="92" t="s">
        <v>278</v>
      </c>
    </row>
    <row r="21" ht="21.75" customHeight="1">
      <c r="A21" s="86" t="s">
        <v>130</v>
      </c>
      <c r="B21" s="86" t="s">
        <v>149</v>
      </c>
      <c r="C21" s="87" t="s">
        <v>291</v>
      </c>
      <c r="D21" s="88" t="s">
        <v>292</v>
      </c>
      <c r="E21" s="88" t="s">
        <v>229</v>
      </c>
      <c r="F21" s="89" t="n">
        <v>7.0</v>
      </c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9"/>
      <c r="S21" s="97"/>
      <c r="T21" s="97"/>
      <c r="U21" s="97"/>
      <c r="V21" s="92" t="s">
        <v>278</v>
      </c>
    </row>
    <row r="22" ht="21.75" customHeight="1">
      <c r="A22" s="86" t="s">
        <v>130</v>
      </c>
      <c r="B22" s="86" t="s">
        <v>149</v>
      </c>
      <c r="C22" s="87" t="s">
        <v>293</v>
      </c>
      <c r="D22" s="88" t="s">
        <v>294</v>
      </c>
      <c r="E22" s="88" t="s">
        <v>229</v>
      </c>
      <c r="F22" s="89" t="n">
        <v>2.0</v>
      </c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9"/>
      <c r="S22" s="97"/>
      <c r="T22" s="97"/>
      <c r="U22" s="97"/>
      <c r="V22" s="92" t="s">
        <v>278</v>
      </c>
    </row>
    <row r="23" ht="21.75" customHeight="1">
      <c r="A23" s="86" t="s">
        <v>130</v>
      </c>
      <c r="B23" s="86" t="s">
        <v>149</v>
      </c>
      <c r="C23" s="87" t="s">
        <v>295</v>
      </c>
      <c r="D23" s="88" t="s">
        <v>296</v>
      </c>
      <c r="E23" s="88" t="s">
        <v>229</v>
      </c>
      <c r="F23" s="89" t="n">
        <v>8.0</v>
      </c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9"/>
      <c r="S23" s="97"/>
      <c r="T23" s="97"/>
      <c r="U23" s="97"/>
      <c r="V23" s="92" t="s">
        <v>278</v>
      </c>
    </row>
    <row r="24" ht="14.25" customHeight="1">
      <c r="A24" s="86" t="s">
        <v>130</v>
      </c>
      <c r="B24" s="86" t="s">
        <v>149</v>
      </c>
      <c r="C24" s="87" t="s">
        <v>297</v>
      </c>
      <c r="D24" s="88" t="s">
        <v>156</v>
      </c>
      <c r="E24" s="88" t="s">
        <v>229</v>
      </c>
      <c r="F24" s="89" t="n">
        <v>25.0</v>
      </c>
      <c r="G24" s="89"/>
      <c r="H24" s="90" t="n">
        <v>4.0</v>
      </c>
      <c r="I24" s="89"/>
      <c r="J24" s="89" t="n">
        <v>30.0</v>
      </c>
      <c r="K24" s="89" t="n">
        <v>5.0</v>
      </c>
      <c r="L24" s="89"/>
      <c r="M24" s="89"/>
      <c r="N24" s="89"/>
      <c r="O24" s="89"/>
      <c r="P24" s="89"/>
      <c r="Q24" s="89"/>
      <c r="R24" s="91"/>
      <c r="S24" s="89" t="n">
        <v>1.0</v>
      </c>
      <c r="T24" s="89"/>
      <c r="U24" s="89"/>
      <c r="V24" s="92" t="s">
        <v>298</v>
      </c>
    </row>
    <row r="25" ht="14.25" customHeight="1">
      <c r="A25" s="86" t="s">
        <v>130</v>
      </c>
      <c r="B25" s="86" t="s">
        <v>157</v>
      </c>
      <c r="C25" s="87" t="s">
        <v>299</v>
      </c>
      <c r="D25" s="88" t="s">
        <v>161</v>
      </c>
      <c r="E25" s="88" t="s">
        <v>300</v>
      </c>
      <c r="F25" s="89" t="n">
        <v>20.0</v>
      </c>
      <c r="G25" s="89"/>
      <c r="H25" s="89" t="n">
        <v>4.0</v>
      </c>
      <c r="I25" s="89"/>
      <c r="J25" s="89" t="n">
        <v>20.0</v>
      </c>
      <c r="K25" s="89"/>
      <c r="L25" s="89" t="n">
        <v>5.0</v>
      </c>
      <c r="M25" s="89" t="n">
        <v>5.0</v>
      </c>
      <c r="N25" s="89" t="n">
        <v>3.0</v>
      </c>
      <c r="O25" s="89"/>
      <c r="P25" s="89"/>
      <c r="Q25" s="89"/>
      <c r="R25" s="91"/>
      <c r="S25" s="89" t="n">
        <v>1.0</v>
      </c>
      <c r="T25" s="89"/>
      <c r="U25" s="89"/>
      <c r="V25" s="92" t="s">
        <v>278</v>
      </c>
    </row>
    <row r="26" ht="14.25" customHeight="1">
      <c r="A26" s="86" t="s">
        <v>130</v>
      </c>
      <c r="B26" s="86" t="s">
        <v>157</v>
      </c>
      <c r="C26" s="87" t="s">
        <v>301</v>
      </c>
      <c r="D26" s="88" t="s">
        <v>159</v>
      </c>
      <c r="E26" s="88" t="s">
        <v>229</v>
      </c>
      <c r="F26" s="89" t="n">
        <v>11.0</v>
      </c>
      <c r="G26" s="89"/>
      <c r="H26" s="89"/>
      <c r="I26" s="89"/>
      <c r="J26" s="89"/>
      <c r="K26" s="89" t="n">
        <v>4.0</v>
      </c>
      <c r="L26" s="89"/>
      <c r="M26" s="89" t="n">
        <v>4.0</v>
      </c>
      <c r="N26" s="89" t="n">
        <v>1.0</v>
      </c>
      <c r="O26" s="89"/>
      <c r="P26" s="89"/>
      <c r="Q26" s="89"/>
      <c r="R26" s="91"/>
      <c r="S26" s="89"/>
      <c r="T26" s="89"/>
      <c r="U26" s="89"/>
      <c r="V26" s="92" t="s">
        <v>278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H5"/>
    <mergeCell ref="A6:H6"/>
    <mergeCell ref="A7:H7"/>
    <mergeCell ref="F10:V10"/>
  </mergeCells>
  <dataValidations count="2">
    <dataValidation type="list" allowBlank="1" showErrorMessage="1" sqref="B13:B26">
      <formula1>'listas de opções'!$E$2:$E$64</formula1>
    </dataValidation>
    <dataValidation type="list" allowBlank="1" showErrorMessage="1" sqref="A13:A26">
      <formula1>'listas de opções'!$C$2:$C$18</formula1>
    </dataValidation>
  </dataValidations>
  <pageMargins bottom="0.787401575" footer="0.0" header="0.0" left="0.511811024" right="0.511811024" top="0.787401575"/>
  <pageSetup paperSize="9" orientation="portrait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21.29" hidden="0" customWidth="1"/>
    <col min="2" max="2" width="21.71" hidden="0" customWidth="1"/>
    <col min="3" max="3" width="20.14" hidden="0" customWidth="1"/>
    <col min="4" max="4" width="20.14" hidden="0" customWidth="1"/>
    <col min="5" max="5" width="11.43" hidden="0" customWidth="1"/>
    <col min="6" max="6" width="11.43" hidden="0" customWidth="1"/>
    <col min="7" max="7" width="10.43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 ht="14.25" customHeight="1">
      <c r="A1" s="38" t="s">
        <v>103</v>
      </c>
      <c r="B1" s="100" t="str">
        <f>'Tabela 1 APS - Descr.'!B1</f>
        <v/>
      </c>
    </row>
    <row r="2" ht="14.25" customHeight="1"/>
    <row r="3" ht="14.25" customHeight="1">
      <c r="E3" s="106" t="s">
        <v>302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</row>
    <row r="4" ht="54.0" customHeight="1">
      <c r="A4" s="111" t="s">
        <v>1</v>
      </c>
      <c r="B4" s="112" t="s">
        <v>241</v>
      </c>
      <c r="C4" s="113" t="s">
        <v>303</v>
      </c>
      <c r="D4" s="113" t="s">
        <v>201</v>
      </c>
      <c r="E4" s="114" t="s">
        <v>260</v>
      </c>
      <c r="F4" s="115" t="s">
        <v>304</v>
      </c>
      <c r="G4" s="115" t="s">
        <v>264</v>
      </c>
      <c r="H4" s="115" t="s">
        <v>305</v>
      </c>
      <c r="I4" s="115" t="s">
        <v>267</v>
      </c>
      <c r="J4" s="115" t="s">
        <v>268</v>
      </c>
      <c r="K4" s="84" t="s">
        <v>306</v>
      </c>
      <c r="L4" s="116"/>
      <c r="M4" s="84" t="s">
        <v>307</v>
      </c>
      <c r="N4" s="116"/>
      <c r="O4" s="84" t="s">
        <v>308</v>
      </c>
      <c r="P4" s="103"/>
      <c r="Q4" s="116"/>
      <c r="R4" s="115" t="s">
        <v>276</v>
      </c>
    </row>
    <row r="5" ht="18.0" customHeight="1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8" t="s">
        <v>309</v>
      </c>
      <c r="L5" s="118" t="s">
        <v>310</v>
      </c>
      <c r="M5" s="118" t="s">
        <v>309</v>
      </c>
      <c r="N5" s="85" t="s">
        <v>310</v>
      </c>
      <c r="O5" s="118" t="s">
        <v>311</v>
      </c>
      <c r="P5" s="118" t="s">
        <v>312</v>
      </c>
      <c r="Q5" s="118" t="s">
        <v>313</v>
      </c>
      <c r="R5" s="117"/>
    </row>
    <row r="6" ht="14.25" customHeight="1">
      <c r="A6" s="60" t="s">
        <v>130</v>
      </c>
      <c r="B6" s="61" t="s">
        <v>131</v>
      </c>
      <c r="C6" s="119" t="n">
        <v>1897.0</v>
      </c>
      <c r="D6" s="119" t="n">
        <v>2086.0</v>
      </c>
      <c r="E6" s="120" t="n">
        <f t="shared" ref="E6:E9" si="1">((D6*2.5)/(365*0.7))*1.21</f>
        <v>24.69726027</v>
      </c>
      <c r="F6" s="121" t="n">
        <f t="shared" ref="F6:F9" si="2">E6*15/100</f>
        <v>3.704589041</v>
      </c>
      <c r="G6" s="121" t="n">
        <f t="shared" ref="G6:G9" si="3">(E6*6/100)</f>
        <v>1.481835616</v>
      </c>
      <c r="H6" s="121" t="n">
        <f t="shared" ref="H6:H9" si="4">C6*2/1000</f>
        <v>3.794</v>
      </c>
      <c r="I6" s="121" t="n">
        <f t="shared" ref="I6:I9" si="5">C6*2/1000</f>
        <v>3.794</v>
      </c>
      <c r="J6" s="121" t="n">
        <f t="shared" ref="J6:J9" si="6">C6*1/1000</f>
        <v>1.897</v>
      </c>
      <c r="K6" s="119"/>
      <c r="L6" s="119"/>
      <c r="M6" s="119"/>
      <c r="N6" s="119"/>
      <c r="O6" s="62"/>
      <c r="P6" s="62"/>
      <c r="Q6" s="62"/>
      <c r="R6" s="62"/>
    </row>
    <row r="7" ht="14.25" customHeight="1">
      <c r="A7" s="60" t="s">
        <v>130</v>
      </c>
      <c r="B7" s="61" t="s">
        <v>140</v>
      </c>
      <c r="C7" s="122" t="n">
        <v>1286.0</v>
      </c>
      <c r="D7" s="122" t="n">
        <v>1415.0</v>
      </c>
      <c r="E7" s="120" t="n">
        <f t="shared" si="1"/>
        <v>16.75293542</v>
      </c>
      <c r="F7" s="121" t="n">
        <f t="shared" si="2"/>
        <v>2.512940313</v>
      </c>
      <c r="G7" s="121" t="n">
        <f t="shared" si="3"/>
        <v>1.005176125</v>
      </c>
      <c r="H7" s="121" t="n">
        <f t="shared" si="4"/>
        <v>2.572</v>
      </c>
      <c r="I7" s="121" t="n">
        <f t="shared" si="5"/>
        <v>2.572</v>
      </c>
      <c r="J7" s="121" t="n">
        <f t="shared" si="6"/>
        <v>1.286</v>
      </c>
      <c r="K7" s="119"/>
      <c r="L7" s="119"/>
      <c r="M7" s="119"/>
      <c r="N7" s="119"/>
      <c r="O7" s="62"/>
      <c r="P7" s="62"/>
      <c r="Q7" s="62"/>
      <c r="R7" s="62"/>
    </row>
    <row r="8" ht="14.25" customHeight="1">
      <c r="A8" s="60" t="s">
        <v>130</v>
      </c>
      <c r="B8" s="61" t="s">
        <v>149</v>
      </c>
      <c r="C8" s="122" t="n">
        <v>2761.0</v>
      </c>
      <c r="D8" s="122" t="n">
        <v>3037.0</v>
      </c>
      <c r="E8" s="120" t="n">
        <f t="shared" si="1"/>
        <v>35.95665362</v>
      </c>
      <c r="F8" s="121" t="n">
        <f t="shared" si="2"/>
        <v>5.393498043</v>
      </c>
      <c r="G8" s="121" t="n">
        <f t="shared" si="3"/>
        <v>2.157399217</v>
      </c>
      <c r="H8" s="121" t="n">
        <f t="shared" si="4"/>
        <v>5.522</v>
      </c>
      <c r="I8" s="121" t="n">
        <f t="shared" si="5"/>
        <v>5.522</v>
      </c>
      <c r="J8" s="121" t="n">
        <f t="shared" si="6"/>
        <v>2.761</v>
      </c>
      <c r="K8" s="119"/>
      <c r="L8" s="119"/>
      <c r="M8" s="119"/>
      <c r="N8" s="119"/>
      <c r="O8" s="62"/>
      <c r="P8" s="62"/>
      <c r="Q8" s="62"/>
      <c r="R8" s="62"/>
    </row>
    <row r="9" ht="14.25" customHeight="1">
      <c r="A9" s="60" t="s">
        <v>130</v>
      </c>
      <c r="B9" s="61" t="s">
        <v>157</v>
      </c>
      <c r="C9" s="122" t="n">
        <v>1028.0</v>
      </c>
      <c r="D9" s="122" t="n">
        <v>1131.0</v>
      </c>
      <c r="E9" s="120" t="n">
        <f t="shared" si="1"/>
        <v>13.39050881</v>
      </c>
      <c r="F9" s="121" t="n">
        <f t="shared" si="2"/>
        <v>2.008576321</v>
      </c>
      <c r="G9" s="121" t="n">
        <f t="shared" si="3"/>
        <v>0.8034305284</v>
      </c>
      <c r="H9" s="121" t="n">
        <f t="shared" si="4"/>
        <v>2.056</v>
      </c>
      <c r="I9" s="121" t="n">
        <f t="shared" si="5"/>
        <v>2.056</v>
      </c>
      <c r="J9" s="121" t="n">
        <f t="shared" si="6"/>
        <v>1.028</v>
      </c>
      <c r="K9" s="119"/>
      <c r="L9" s="119"/>
      <c r="M9" s="119"/>
      <c r="N9" s="119"/>
      <c r="O9" s="62"/>
      <c r="P9" s="62"/>
      <c r="Q9" s="62"/>
      <c r="R9" s="62"/>
    </row>
    <row r="10" ht="14.25" customHeight="1">
      <c r="A10" s="123"/>
      <c r="B10" s="123"/>
      <c r="C10" s="1"/>
      <c r="D10" s="1"/>
      <c r="E10" s="124"/>
      <c r="F10" s="124"/>
      <c r="G10" s="124"/>
      <c r="H10" s="124"/>
      <c r="I10" s="124"/>
      <c r="J10" s="124"/>
      <c r="K10" s="1"/>
      <c r="L10" s="1"/>
      <c r="M10" s="1"/>
      <c r="N10" s="1"/>
      <c r="O10" s="1"/>
      <c r="P10" s="1"/>
      <c r="Q10" s="1"/>
      <c r="R10" s="1"/>
    </row>
    <row r="11" ht="14.25" customHeight="1">
      <c r="A11" s="123"/>
      <c r="B11" s="123"/>
      <c r="C11" s="1"/>
      <c r="D11" s="1"/>
      <c r="E11" s="124"/>
      <c r="F11" s="124"/>
      <c r="G11" s="124"/>
      <c r="H11" s="124"/>
      <c r="I11" s="124"/>
      <c r="J11" s="124"/>
      <c r="K11" s="1"/>
      <c r="L11" s="1"/>
      <c r="M11" s="1"/>
      <c r="N11" s="1"/>
      <c r="O11" s="1"/>
      <c r="P11" s="1"/>
      <c r="Q11" s="1"/>
      <c r="R11" s="1"/>
    </row>
    <row r="12" ht="14.25" customHeight="1"/>
    <row r="13" ht="14.25" customHeight="1">
      <c r="E13" s="106" t="s">
        <v>314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2"/>
    </row>
    <row r="14" ht="55.5" customHeight="1">
      <c r="A14" s="125" t="s">
        <v>1</v>
      </c>
      <c r="B14" s="125" t="s">
        <v>241</v>
      </c>
      <c r="C14" s="113" t="s">
        <v>303</v>
      </c>
      <c r="D14" s="113" t="s">
        <v>201</v>
      </c>
      <c r="E14" s="114" t="s">
        <v>260</v>
      </c>
      <c r="F14" s="115" t="s">
        <v>304</v>
      </c>
      <c r="G14" s="115" t="s">
        <v>264</v>
      </c>
      <c r="H14" s="115" t="s">
        <v>305</v>
      </c>
      <c r="I14" s="115" t="s">
        <v>267</v>
      </c>
      <c r="J14" s="115" t="s">
        <v>268</v>
      </c>
      <c r="K14" s="84" t="s">
        <v>269</v>
      </c>
      <c r="L14" s="116"/>
      <c r="M14" s="84" t="s">
        <v>307</v>
      </c>
      <c r="N14" s="116"/>
      <c r="O14" s="84" t="s">
        <v>308</v>
      </c>
      <c r="P14" s="103"/>
      <c r="Q14" s="116"/>
      <c r="R14" s="115" t="s">
        <v>276</v>
      </c>
    </row>
    <row r="15" ht="17.25" customHeight="1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8" t="s">
        <v>309</v>
      </c>
      <c r="L15" s="118" t="s">
        <v>310</v>
      </c>
      <c r="M15" s="118" t="s">
        <v>309</v>
      </c>
      <c r="N15" s="85" t="s">
        <v>310</v>
      </c>
      <c r="O15" s="118" t="s">
        <v>311</v>
      </c>
      <c r="P15" s="118" t="s">
        <v>312</v>
      </c>
      <c r="Q15" s="118" t="s">
        <v>313</v>
      </c>
      <c r="R15" s="117"/>
    </row>
    <row r="16" ht="14.25" customHeight="1">
      <c r="A16" s="126" t="str">
        <f t="shared" ref="A16:D16" si="7">A6</f>
        <v>III-ARARAQUARA</v>
      </c>
      <c r="B16" s="127" t="str">
        <f t="shared" si="7"/>
        <v>CENTRAL</v>
      </c>
      <c r="C16" s="128" t="n">
        <f t="shared" si="7"/>
        <v>1897</v>
      </c>
      <c r="D16" s="128" t="n">
        <f t="shared" si="7"/>
        <v>2086</v>
      </c>
      <c r="E16" s="129" t="n">
        <v>36.0</v>
      </c>
      <c r="F16" s="130" t="n">
        <v>3.0</v>
      </c>
      <c r="G16" s="131"/>
      <c r="H16" s="129" t="n">
        <v>7.0</v>
      </c>
      <c r="I16" s="129" t="n">
        <v>9.0</v>
      </c>
      <c r="J16" s="129" t="n">
        <v>3.0</v>
      </c>
      <c r="K16" s="119"/>
      <c r="L16" s="119"/>
      <c r="M16" s="119"/>
      <c r="N16" s="132"/>
      <c r="O16" s="129" t="n">
        <v>1.0</v>
      </c>
      <c r="P16" s="62"/>
      <c r="Q16" s="62"/>
      <c r="R16" s="62"/>
    </row>
    <row r="17" ht="14.25" customHeight="1">
      <c r="A17" s="126" t="str">
        <f t="shared" ref="A17:D17" si="8">A7</f>
        <v>III-ARARAQUARA</v>
      </c>
      <c r="B17" s="127" t="str">
        <f t="shared" si="8"/>
        <v>CENTRO-OESTE</v>
      </c>
      <c r="C17" s="133" t="n">
        <f t="shared" si="8"/>
        <v>1286</v>
      </c>
      <c r="D17" s="133" t="n">
        <f t="shared" si="8"/>
        <v>1415</v>
      </c>
      <c r="E17" s="129" t="n">
        <v>18.0</v>
      </c>
      <c r="F17" s="130" t="n">
        <v>0.0</v>
      </c>
      <c r="G17" s="131"/>
      <c r="H17" s="129"/>
      <c r="I17" s="129"/>
      <c r="J17" s="129"/>
      <c r="K17" s="134"/>
      <c r="L17" s="134"/>
      <c r="M17" s="134"/>
      <c r="N17" s="135"/>
      <c r="O17" s="129"/>
      <c r="P17" s="62"/>
      <c r="Q17" s="62"/>
      <c r="R17" s="62"/>
    </row>
    <row r="18" ht="14.25" customHeight="1">
      <c r="A18" s="126" t="str">
        <f t="shared" ref="A18:D18" si="9">A8</f>
        <v>III-ARARAQUARA</v>
      </c>
      <c r="B18" s="127" t="str">
        <f t="shared" si="9"/>
        <v>CORAÇÃO</v>
      </c>
      <c r="C18" s="133" t="n">
        <f t="shared" si="9"/>
        <v>2761</v>
      </c>
      <c r="D18" s="133" t="n">
        <f t="shared" si="9"/>
        <v>3037</v>
      </c>
      <c r="E18" s="129" t="n">
        <v>49.0</v>
      </c>
      <c r="F18" s="130" t="n">
        <v>4.0</v>
      </c>
      <c r="G18" s="131" t="n">
        <v>30.0</v>
      </c>
      <c r="H18" s="129" t="n">
        <v>5.0</v>
      </c>
      <c r="I18" s="129"/>
      <c r="J18" s="129"/>
      <c r="K18" s="134"/>
      <c r="L18" s="134"/>
      <c r="M18" s="134"/>
      <c r="N18" s="135"/>
      <c r="O18" s="129" t="n">
        <v>1.0</v>
      </c>
      <c r="P18" s="62"/>
      <c r="Q18" s="62"/>
      <c r="R18" s="62"/>
    </row>
    <row r="19" ht="14.25" customHeight="1">
      <c r="A19" s="126" t="str">
        <f t="shared" ref="A19:D19" si="10">A9</f>
        <v>III-ARARAQUARA</v>
      </c>
      <c r="B19" s="127" t="str">
        <f t="shared" si="10"/>
        <v>NORTE</v>
      </c>
      <c r="C19" s="133" t="n">
        <f t="shared" si="10"/>
        <v>1028</v>
      </c>
      <c r="D19" s="133" t="n">
        <f t="shared" si="10"/>
        <v>1131</v>
      </c>
      <c r="E19" s="129" t="n">
        <v>31.0</v>
      </c>
      <c r="F19" s="130" t="n">
        <v>4.0</v>
      </c>
      <c r="G19" s="131" t="n">
        <v>20.0</v>
      </c>
      <c r="H19" s="129" t="n">
        <v>9.0</v>
      </c>
      <c r="I19" s="129" t="n">
        <v>9.0</v>
      </c>
      <c r="J19" s="129" t="n">
        <v>4.0</v>
      </c>
      <c r="K19" s="134"/>
      <c r="L19" s="134"/>
      <c r="M19" s="134"/>
      <c r="N19" s="135"/>
      <c r="O19" s="129" t="n">
        <v>1.0</v>
      </c>
      <c r="P19" s="62"/>
      <c r="Q19" s="62"/>
      <c r="R19" s="62"/>
    </row>
    <row r="20" ht="48.0" customHeight="1">
      <c r="A20" s="126" t="str">
        <f t="shared" ref="A20:D20" si="11">#REF!</f>
        <v>#REF!</v>
      </c>
      <c r="B20" s="127" t="str">
        <f t="shared" si="11"/>
        <v>#REF!</v>
      </c>
      <c r="C20" s="128" t="str">
        <f t="shared" si="11"/>
        <v>#REF!</v>
      </c>
      <c r="D20" s="128" t="str">
        <f t="shared" si="11"/>
        <v>#REF!</v>
      </c>
      <c r="E20" s="136" t="n">
        <v>66.0</v>
      </c>
      <c r="F20" s="136" t="n">
        <v>5.0</v>
      </c>
      <c r="G20" s="136" t="n">
        <v>45.0</v>
      </c>
      <c r="H20" s="136" t="n">
        <v>8.0</v>
      </c>
      <c r="I20" s="136" t="n">
        <v>8.0</v>
      </c>
      <c r="J20" s="136" t="n">
        <v>4.0</v>
      </c>
      <c r="K20" s="119"/>
      <c r="L20" s="119"/>
      <c r="M20" s="119"/>
      <c r="N20" s="132"/>
      <c r="O20" s="62"/>
      <c r="P20" s="62"/>
      <c r="Q20" s="62"/>
      <c r="R20" s="62"/>
    </row>
    <row r="21" ht="14.25" customHeight="1">
      <c r="A21" s="126" t="str">
        <f t="shared" ref="A21:D21" si="12">#REF!</f>
        <v>#REF!</v>
      </c>
      <c r="B21" s="127" t="str">
        <f t="shared" si="12"/>
        <v>#REF!</v>
      </c>
      <c r="C21" s="128" t="str">
        <f t="shared" si="12"/>
        <v>#REF!</v>
      </c>
      <c r="D21" s="128" t="str">
        <f t="shared" si="12"/>
        <v>#REF!</v>
      </c>
      <c r="E21" s="130" t="n">
        <v>28.0</v>
      </c>
      <c r="F21" s="131" t="n">
        <v>0.0</v>
      </c>
      <c r="G21" s="131" t="n">
        <v>0.0</v>
      </c>
      <c r="H21" s="137" t="n">
        <v>0.0</v>
      </c>
      <c r="I21" s="137" t="n">
        <v>0.0</v>
      </c>
      <c r="J21" s="137" t="n">
        <v>0.0</v>
      </c>
      <c r="K21" s="119" t="n">
        <v>0.0</v>
      </c>
      <c r="L21" s="119" t="n">
        <v>0.0</v>
      </c>
      <c r="M21" s="119" t="n">
        <v>0.0</v>
      </c>
      <c r="N21" s="132" t="n">
        <v>0.0</v>
      </c>
      <c r="O21" s="62" t="n">
        <v>0.0</v>
      </c>
      <c r="P21" s="62" t="n">
        <v>0.0</v>
      </c>
      <c r="Q21" s="62" t="n">
        <v>0.0</v>
      </c>
      <c r="R21" s="62" t="n">
        <v>0.0</v>
      </c>
    </row>
    <row r="22" ht="14.25" customHeight="1">
      <c r="A22" s="126" t="str">
        <f t="shared" ref="A22:D22" si="13">#REF!</f>
        <v>#REF!</v>
      </c>
      <c r="B22" s="127" t="str">
        <f t="shared" si="13"/>
        <v>#REF!</v>
      </c>
      <c r="C22" s="128" t="str">
        <f t="shared" si="13"/>
        <v>#REF!</v>
      </c>
      <c r="D22" s="128" t="str">
        <f t="shared" si="13"/>
        <v>#REF!</v>
      </c>
      <c r="E22" s="130" t="n">
        <v>23.0</v>
      </c>
      <c r="F22" s="131" t="n">
        <v>0.0</v>
      </c>
      <c r="G22" s="131" t="n">
        <v>0.0</v>
      </c>
      <c r="H22" s="137" t="n">
        <v>0.0</v>
      </c>
      <c r="I22" s="137" t="n">
        <v>0.0</v>
      </c>
      <c r="J22" s="137" t="n">
        <v>0.0</v>
      </c>
      <c r="K22" s="119" t="n">
        <v>0.0</v>
      </c>
      <c r="L22" s="119" t="n">
        <v>0.0</v>
      </c>
      <c r="M22" s="119" t="n">
        <v>0.0</v>
      </c>
      <c r="N22" s="132" t="n">
        <v>0.0</v>
      </c>
      <c r="O22" s="62" t="n">
        <v>0.0</v>
      </c>
      <c r="P22" s="62" t="n">
        <v>0.0</v>
      </c>
      <c r="Q22" s="62" t="n">
        <v>0.0</v>
      </c>
      <c r="R22" s="62" t="n">
        <v>0.0</v>
      </c>
    </row>
    <row r="23" ht="14.25" customHeight="1">
      <c r="A23" s="126" t="str">
        <f t="shared" ref="A23:D23" si="14">#REF!</f>
        <v>#REF!</v>
      </c>
      <c r="B23" s="127" t="str">
        <f t="shared" si="14"/>
        <v>#REF!</v>
      </c>
      <c r="C23" s="128" t="str">
        <f t="shared" si="14"/>
        <v>#REF!</v>
      </c>
      <c r="D23" s="128" t="str">
        <f t="shared" si="14"/>
        <v>#REF!</v>
      </c>
      <c r="E23" s="130" t="n">
        <v>40.0</v>
      </c>
      <c r="F23" s="131" t="n">
        <v>9.0</v>
      </c>
      <c r="G23" s="131" t="n">
        <v>4.0</v>
      </c>
      <c r="H23" s="137" t="n">
        <v>13.0</v>
      </c>
      <c r="I23" s="137" t="n">
        <v>0.0</v>
      </c>
      <c r="J23" s="137" t="n">
        <v>0.0</v>
      </c>
      <c r="K23" s="119" t="n">
        <v>0.0</v>
      </c>
      <c r="L23" s="119" t="n">
        <v>0.0</v>
      </c>
      <c r="M23" s="119" t="n">
        <v>0.0</v>
      </c>
      <c r="N23" s="132" t="n">
        <v>0.0</v>
      </c>
      <c r="O23" s="62" t="n">
        <v>0.0</v>
      </c>
      <c r="P23" s="62" t="n">
        <v>0.0</v>
      </c>
      <c r="Q23" s="62" t="n">
        <v>0.0</v>
      </c>
      <c r="R23" s="62" t="n">
        <v>1.0</v>
      </c>
    </row>
    <row r="24" ht="14.25" customHeight="1">
      <c r="A24" s="126" t="str">
        <f t="shared" ref="A24:D24" si="15">#REF!</f>
        <v>#REF!</v>
      </c>
      <c r="B24" s="127" t="str">
        <f t="shared" si="15"/>
        <v>#REF!</v>
      </c>
      <c r="C24" s="128" t="str">
        <f t="shared" si="15"/>
        <v>#REF!</v>
      </c>
      <c r="D24" s="128" t="str">
        <f t="shared" si="15"/>
        <v>#REF!</v>
      </c>
      <c r="E24" s="130" t="n">
        <v>110.0</v>
      </c>
      <c r="F24" s="131" t="n">
        <v>15.0</v>
      </c>
      <c r="G24" s="131" t="n">
        <v>12.0</v>
      </c>
      <c r="H24" s="137" t="n">
        <v>36.0</v>
      </c>
      <c r="I24" s="137" t="n">
        <v>26.0</v>
      </c>
      <c r="J24" s="137" t="n">
        <v>2.0</v>
      </c>
      <c r="K24" s="119"/>
      <c r="L24" s="119"/>
      <c r="M24" s="119"/>
      <c r="N24" s="132"/>
      <c r="O24" s="62"/>
      <c r="P24" s="62"/>
      <c r="Q24" s="62"/>
      <c r="R24" s="62" t="n">
        <v>1.0</v>
      </c>
    </row>
    <row r="25" ht="14.25" customHeight="1">
      <c r="A25" s="126" t="str">
        <f t="shared" ref="A25:D25" si="16">#REF!</f>
        <v>#REF!</v>
      </c>
      <c r="B25" s="127" t="str">
        <f t="shared" si="16"/>
        <v>#REF!</v>
      </c>
      <c r="C25" s="128" t="str">
        <f t="shared" si="16"/>
        <v>#REF!</v>
      </c>
      <c r="D25" s="128" t="str">
        <f t="shared" si="16"/>
        <v>#REF!</v>
      </c>
      <c r="E25" s="130" t="n">
        <v>62.0</v>
      </c>
      <c r="F25" s="131" t="n">
        <v>0.0</v>
      </c>
      <c r="G25" s="131" t="n">
        <v>2.0</v>
      </c>
      <c r="H25" s="137" t="n">
        <v>6.0</v>
      </c>
      <c r="I25" s="137" t="n">
        <v>5.0</v>
      </c>
      <c r="J25" s="137" t="n">
        <v>1.0</v>
      </c>
      <c r="K25" s="134"/>
      <c r="L25" s="134"/>
      <c r="M25" s="134"/>
      <c r="N25" s="135"/>
      <c r="O25" s="62"/>
      <c r="P25" s="62"/>
      <c r="Q25" s="62"/>
      <c r="R25" s="62"/>
    </row>
    <row r="26" ht="14.25" customHeight="1">
      <c r="A26" s="126" t="str">
        <f t="shared" ref="A26:D26" si="17">#REF!</f>
        <v>#REF!</v>
      </c>
      <c r="B26" s="127" t="str">
        <f t="shared" si="17"/>
        <v>#REF!</v>
      </c>
      <c r="C26" s="128" t="str">
        <f t="shared" si="17"/>
        <v>#REF!</v>
      </c>
      <c r="D26" s="128" t="str">
        <f t="shared" si="17"/>
        <v>#REF!</v>
      </c>
      <c r="E26" s="130" t="n">
        <v>24.0</v>
      </c>
      <c r="F26" s="131" t="n">
        <v>0.0</v>
      </c>
      <c r="G26" s="131" t="n">
        <v>0.0</v>
      </c>
      <c r="H26" s="137" t="n">
        <v>0.0</v>
      </c>
      <c r="I26" s="137" t="n">
        <v>0.0</v>
      </c>
      <c r="J26" s="137" t="n">
        <v>0.0</v>
      </c>
      <c r="K26" s="134"/>
      <c r="L26" s="134"/>
      <c r="M26" s="134"/>
      <c r="N26" s="135"/>
      <c r="O26" s="62"/>
      <c r="P26" s="62"/>
      <c r="Q26" s="62"/>
      <c r="R26" s="62"/>
    </row>
    <row r="27" ht="14.25" customHeight="1">
      <c r="A27" s="126" t="str">
        <f t="shared" ref="A27:D27" si="18">#REF!</f>
        <v>#REF!</v>
      </c>
      <c r="B27" s="127" t="str">
        <f t="shared" si="18"/>
        <v>#REF!</v>
      </c>
      <c r="C27" s="128" t="str">
        <f t="shared" si="18"/>
        <v>#REF!</v>
      </c>
      <c r="D27" s="128" t="str">
        <f t="shared" si="18"/>
        <v>#REF!</v>
      </c>
      <c r="E27" s="138"/>
      <c r="F27" s="139"/>
      <c r="G27" s="139"/>
      <c r="H27" s="140"/>
      <c r="I27" s="140"/>
      <c r="J27" s="140"/>
      <c r="K27" s="141"/>
      <c r="L27" s="141"/>
      <c r="M27" s="141"/>
      <c r="N27" s="142"/>
      <c r="O27" s="141"/>
      <c r="P27" s="141"/>
      <c r="Q27" s="141"/>
      <c r="R27" s="141"/>
    </row>
    <row r="28" ht="14.25" customHeight="1">
      <c r="A28" s="143" t="s">
        <v>315</v>
      </c>
      <c r="B28" s="41"/>
      <c r="C28" s="41"/>
      <c r="D28" s="41"/>
      <c r="E28" s="144" t="n">
        <f t="shared" ref="E28:R28" si="19">SUM(E16:E27)</f>
        <v>487</v>
      </c>
      <c r="F28" s="145" t="n">
        <f t="shared" si="19"/>
        <v>40</v>
      </c>
      <c r="G28" s="145" t="n">
        <f t="shared" si="19"/>
        <v>113</v>
      </c>
      <c r="H28" s="145" t="n">
        <f t="shared" si="19"/>
        <v>84</v>
      </c>
      <c r="I28" s="145" t="n">
        <f t="shared" si="19"/>
        <v>57</v>
      </c>
      <c r="J28" s="145" t="n">
        <f t="shared" si="19"/>
        <v>14</v>
      </c>
      <c r="K28" s="145" t="n">
        <f t="shared" si="19"/>
        <v>0</v>
      </c>
      <c r="L28" s="145" t="n">
        <f t="shared" si="19"/>
        <v>0</v>
      </c>
      <c r="M28" s="145" t="n">
        <f t="shared" si="19"/>
        <v>0</v>
      </c>
      <c r="N28" s="145" t="n">
        <f t="shared" si="19"/>
        <v>0</v>
      </c>
      <c r="O28" s="145" t="n">
        <f t="shared" si="19"/>
        <v>3</v>
      </c>
      <c r="P28" s="145" t="n">
        <f t="shared" si="19"/>
        <v>0</v>
      </c>
      <c r="Q28" s="145" t="n">
        <f t="shared" si="19"/>
        <v>0</v>
      </c>
      <c r="R28" s="145" t="n">
        <f t="shared" si="19"/>
        <v>2</v>
      </c>
    </row>
    <row r="29" ht="14.25" customHeight="1"/>
    <row r="30" ht="14.25" customHeight="1"/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4.25" customHeight="1">
      <c r="E33" s="106" t="s">
        <v>316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2"/>
    </row>
    <row r="34" ht="54.75" customHeight="1">
      <c r="A34" s="112" t="s">
        <v>1</v>
      </c>
      <c r="B34" s="112" t="s">
        <v>241</v>
      </c>
      <c r="C34" s="113" t="s">
        <v>303</v>
      </c>
      <c r="D34" s="113" t="s">
        <v>201</v>
      </c>
      <c r="E34" s="114" t="s">
        <v>260</v>
      </c>
      <c r="F34" s="115" t="s">
        <v>304</v>
      </c>
      <c r="G34" s="115" t="s">
        <v>264</v>
      </c>
      <c r="H34" s="115" t="s">
        <v>305</v>
      </c>
      <c r="I34" s="115" t="s">
        <v>267</v>
      </c>
      <c r="J34" s="115" t="s">
        <v>268</v>
      </c>
      <c r="K34" s="84" t="s">
        <v>306</v>
      </c>
      <c r="L34" s="116"/>
      <c r="M34" s="84" t="s">
        <v>307</v>
      </c>
      <c r="N34" s="116"/>
      <c r="O34" s="84" t="s">
        <v>308</v>
      </c>
      <c r="P34" s="103"/>
      <c r="Q34" s="116"/>
      <c r="R34" s="115" t="s">
        <v>276</v>
      </c>
    </row>
    <row r="35" ht="19.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8" t="s">
        <v>309</v>
      </c>
      <c r="L35" s="118" t="s">
        <v>310</v>
      </c>
      <c r="M35" s="118" t="s">
        <v>309</v>
      </c>
      <c r="N35" s="85" t="s">
        <v>310</v>
      </c>
      <c r="O35" s="118" t="s">
        <v>311</v>
      </c>
      <c r="P35" s="118" t="s">
        <v>312</v>
      </c>
      <c r="Q35" s="118" t="s">
        <v>313</v>
      </c>
      <c r="R35" s="117"/>
    </row>
    <row r="36" ht="14.25" customHeight="1">
      <c r="A36" s="128" t="str">
        <f t="shared" ref="A36:D36" si="20">A6</f>
        <v>III-ARARAQUARA</v>
      </c>
      <c r="B36" s="128" t="str">
        <f t="shared" si="20"/>
        <v>CENTRAL</v>
      </c>
      <c r="C36" s="128" t="n">
        <f t="shared" si="20"/>
        <v>1897</v>
      </c>
      <c r="D36" s="128" t="n">
        <f t="shared" si="20"/>
        <v>2086</v>
      </c>
      <c r="E36" s="120" t="n">
        <f t="shared" ref="E36:J36" si="21">E16-E6</f>
        <v>11.30273973</v>
      </c>
      <c r="F36" s="120" t="n">
        <f t="shared" si="21"/>
        <v>-0.7045890411</v>
      </c>
      <c r="G36" s="120" t="n">
        <f t="shared" si="21"/>
        <v>-1.481835616</v>
      </c>
      <c r="H36" s="120" t="n">
        <f t="shared" si="21"/>
        <v>3.206</v>
      </c>
      <c r="I36" s="120" t="n">
        <f t="shared" si="21"/>
        <v>5.206</v>
      </c>
      <c r="J36" s="120" t="n">
        <f t="shared" si="21"/>
        <v>1.103</v>
      </c>
      <c r="K36" s="119"/>
      <c r="L36" s="119"/>
      <c r="M36" s="119"/>
      <c r="N36" s="132"/>
      <c r="O36" s="62"/>
      <c r="P36" s="62"/>
      <c r="Q36" s="62"/>
      <c r="R36" s="62"/>
    </row>
    <row r="37" ht="14.25" customHeight="1">
      <c r="A37" s="128" t="str">
        <f t="shared" ref="A37:D37" si="22">A7</f>
        <v>III-ARARAQUARA</v>
      </c>
      <c r="B37" s="128" t="str">
        <f t="shared" si="22"/>
        <v>CENTRO-OESTE</v>
      </c>
      <c r="C37" s="133" t="n">
        <f t="shared" si="22"/>
        <v>1286</v>
      </c>
      <c r="D37" s="133" t="n">
        <f t="shared" si="22"/>
        <v>1415</v>
      </c>
      <c r="E37" s="120" t="n">
        <f t="shared" ref="E37:J37" si="23">E17-E7</f>
        <v>1.247064579</v>
      </c>
      <c r="F37" s="120" t="n">
        <f t="shared" si="23"/>
        <v>-2.512940313</v>
      </c>
      <c r="G37" s="120" t="n">
        <f t="shared" si="23"/>
        <v>-1.005176125</v>
      </c>
      <c r="H37" s="120" t="n">
        <f t="shared" si="23"/>
        <v>-2.572</v>
      </c>
      <c r="I37" s="120" t="n">
        <f t="shared" si="23"/>
        <v>-2.572</v>
      </c>
      <c r="J37" s="120" t="n">
        <f t="shared" si="23"/>
        <v>-1.286</v>
      </c>
      <c r="K37" s="134"/>
      <c r="L37" s="134"/>
      <c r="M37" s="134"/>
      <c r="N37" s="135"/>
      <c r="O37" s="62"/>
      <c r="P37" s="62"/>
      <c r="Q37" s="62"/>
      <c r="R37" s="62"/>
    </row>
    <row r="38" ht="14.25" customHeight="1">
      <c r="A38" s="128" t="str">
        <f t="shared" ref="A38:D38" si="24">A8</f>
        <v>III-ARARAQUARA</v>
      </c>
      <c r="B38" s="128" t="str">
        <f t="shared" si="24"/>
        <v>CORAÇÃO</v>
      </c>
      <c r="C38" s="133" t="n">
        <f t="shared" si="24"/>
        <v>2761</v>
      </c>
      <c r="D38" s="133" t="n">
        <f t="shared" si="24"/>
        <v>3037</v>
      </c>
      <c r="E38" s="120" t="n">
        <f t="shared" ref="E38:J38" si="25">E18-E8</f>
        <v>13.04334638</v>
      </c>
      <c r="F38" s="120" t="n">
        <f t="shared" si="25"/>
        <v>-1.393498043</v>
      </c>
      <c r="G38" s="120" t="n">
        <f t="shared" si="25"/>
        <v>27.84260078</v>
      </c>
      <c r="H38" s="120" t="n">
        <f t="shared" si="25"/>
        <v>-0.522</v>
      </c>
      <c r="I38" s="120" t="n">
        <f t="shared" si="25"/>
        <v>-5.522</v>
      </c>
      <c r="J38" s="120" t="n">
        <f t="shared" si="25"/>
        <v>-2.761</v>
      </c>
      <c r="K38" s="134"/>
      <c r="L38" s="134"/>
      <c r="M38" s="134"/>
      <c r="N38" s="135"/>
      <c r="O38" s="62"/>
      <c r="P38" s="62"/>
      <c r="Q38" s="62"/>
      <c r="R38" s="62"/>
    </row>
    <row r="39" ht="14.25" customHeight="1">
      <c r="A39" s="128" t="str">
        <f t="shared" ref="A39:D39" si="26">A9</f>
        <v>III-ARARAQUARA</v>
      </c>
      <c r="B39" s="128" t="str">
        <f t="shared" si="26"/>
        <v>NORTE</v>
      </c>
      <c r="C39" s="133" t="n">
        <f t="shared" si="26"/>
        <v>1028</v>
      </c>
      <c r="D39" s="133" t="n">
        <f t="shared" si="26"/>
        <v>1131</v>
      </c>
      <c r="E39" s="120" t="n">
        <f t="shared" ref="E39:J39" si="27">E19-E9</f>
        <v>17.60949119</v>
      </c>
      <c r="F39" s="120" t="n">
        <f t="shared" si="27"/>
        <v>1.991423679</v>
      </c>
      <c r="G39" s="120" t="n">
        <f t="shared" si="27"/>
        <v>19.19656947</v>
      </c>
      <c r="H39" s="120" t="n">
        <f t="shared" si="27"/>
        <v>6.944</v>
      </c>
      <c r="I39" s="120" t="n">
        <f t="shared" si="27"/>
        <v>6.944</v>
      </c>
      <c r="J39" s="120" t="n">
        <f t="shared" si="27"/>
        <v>2.972</v>
      </c>
      <c r="K39" s="134"/>
      <c r="L39" s="134"/>
      <c r="M39" s="134"/>
      <c r="N39" s="135"/>
      <c r="O39" s="62"/>
      <c r="P39" s="62"/>
      <c r="Q39" s="62"/>
      <c r="R39" s="62"/>
    </row>
    <row r="40" ht="14.25" customHeight="1">
      <c r="A40" s="128" t="str">
        <f t="shared" ref="A40:D40" si="28">#REF!</f>
        <v>#REF!</v>
      </c>
      <c r="B40" s="128" t="str">
        <f t="shared" si="28"/>
        <v>#REF!</v>
      </c>
      <c r="C40" s="128" t="str">
        <f t="shared" si="28"/>
        <v>#REF!</v>
      </c>
      <c r="D40" s="128" t="str">
        <f t="shared" si="28"/>
        <v>#REF!</v>
      </c>
      <c r="E40" s="120" t="str">
        <f t="shared" ref="E40:J40" si="29">E20-#REF!</f>
        <v>#REF!</v>
      </c>
      <c r="F40" s="120" t="str">
        <f t="shared" si="29"/>
        <v>#REF!</v>
      </c>
      <c r="G40" s="120" t="str">
        <f t="shared" si="29"/>
        <v>#REF!</v>
      </c>
      <c r="H40" s="120" t="str">
        <f t="shared" si="29"/>
        <v>#REF!</v>
      </c>
      <c r="I40" s="120" t="str">
        <f t="shared" si="29"/>
        <v>#REF!</v>
      </c>
      <c r="J40" s="120" t="str">
        <f t="shared" si="29"/>
        <v>#REF!</v>
      </c>
      <c r="K40" s="134"/>
      <c r="L40" s="134"/>
      <c r="M40" s="134"/>
      <c r="N40" s="135"/>
      <c r="O40" s="62"/>
      <c r="P40" s="62"/>
      <c r="Q40" s="62"/>
      <c r="R40" s="62"/>
    </row>
    <row r="41" ht="14.25" customHeight="1">
      <c r="A41" s="128" t="str">
        <f t="shared" ref="A41:D41" si="30">#REF!</f>
        <v>#REF!</v>
      </c>
      <c r="B41" s="128" t="str">
        <f t="shared" si="30"/>
        <v>#REF!</v>
      </c>
      <c r="C41" s="128" t="str">
        <f t="shared" si="30"/>
        <v>#REF!</v>
      </c>
      <c r="D41" s="128" t="str">
        <f t="shared" si="30"/>
        <v>#REF!</v>
      </c>
      <c r="E41" s="120" t="str">
        <f t="shared" ref="E41:J41" si="31">E21-#REF!</f>
        <v>#REF!</v>
      </c>
      <c r="F41" s="120" t="str">
        <f t="shared" si="31"/>
        <v>#REF!</v>
      </c>
      <c r="G41" s="120" t="str">
        <f t="shared" si="31"/>
        <v>#REF!</v>
      </c>
      <c r="H41" s="120" t="str">
        <f t="shared" si="31"/>
        <v>#REF!</v>
      </c>
      <c r="I41" s="120" t="str">
        <f t="shared" si="31"/>
        <v>#REF!</v>
      </c>
      <c r="J41" s="120" t="str">
        <f t="shared" si="31"/>
        <v>#REF!</v>
      </c>
      <c r="K41" s="134"/>
      <c r="L41" s="134"/>
      <c r="M41" s="134"/>
      <c r="N41" s="135"/>
      <c r="O41" s="62"/>
      <c r="P41" s="62"/>
      <c r="Q41" s="62"/>
      <c r="R41" s="62"/>
    </row>
    <row r="42" ht="14.25" customHeight="1">
      <c r="A42" s="128" t="str">
        <f t="shared" ref="A42:D42" si="32">#REF!</f>
        <v>#REF!</v>
      </c>
      <c r="B42" s="128" t="str">
        <f t="shared" si="32"/>
        <v>#REF!</v>
      </c>
      <c r="C42" s="128" t="str">
        <f t="shared" si="32"/>
        <v>#REF!</v>
      </c>
      <c r="D42" s="128" t="str">
        <f t="shared" si="32"/>
        <v>#REF!</v>
      </c>
      <c r="E42" s="120" t="str">
        <f t="shared" ref="E42:J42" si="33">E22-#REF!</f>
        <v>#REF!</v>
      </c>
      <c r="F42" s="120" t="str">
        <f t="shared" si="33"/>
        <v>#REF!</v>
      </c>
      <c r="G42" s="120" t="str">
        <f t="shared" si="33"/>
        <v>#REF!</v>
      </c>
      <c r="H42" s="120" t="str">
        <f t="shared" si="33"/>
        <v>#REF!</v>
      </c>
      <c r="I42" s="120" t="str">
        <f t="shared" si="33"/>
        <v>#REF!</v>
      </c>
      <c r="J42" s="120" t="str">
        <f t="shared" si="33"/>
        <v>#REF!</v>
      </c>
      <c r="K42" s="134"/>
      <c r="L42" s="134"/>
      <c r="M42" s="134"/>
      <c r="N42" s="135"/>
      <c r="O42" s="62"/>
      <c r="P42" s="62"/>
      <c r="Q42" s="62"/>
      <c r="R42" s="62"/>
    </row>
    <row r="43" ht="14.25" customHeight="1">
      <c r="A43" s="128" t="str">
        <f t="shared" ref="A43:D43" si="34">#REF!</f>
        <v>#REF!</v>
      </c>
      <c r="B43" s="128" t="str">
        <f t="shared" si="34"/>
        <v>#REF!</v>
      </c>
      <c r="C43" s="128" t="str">
        <f t="shared" si="34"/>
        <v>#REF!</v>
      </c>
      <c r="D43" s="128" t="str">
        <f t="shared" si="34"/>
        <v>#REF!</v>
      </c>
      <c r="E43" s="120" t="str">
        <f t="shared" ref="E43:J43" si="35">E23-#REF!</f>
        <v>#REF!</v>
      </c>
      <c r="F43" s="120" t="str">
        <f t="shared" si="35"/>
        <v>#REF!</v>
      </c>
      <c r="G43" s="120" t="str">
        <f t="shared" si="35"/>
        <v>#REF!</v>
      </c>
      <c r="H43" s="120" t="str">
        <f t="shared" si="35"/>
        <v>#REF!</v>
      </c>
      <c r="I43" s="120" t="str">
        <f t="shared" si="35"/>
        <v>#REF!</v>
      </c>
      <c r="J43" s="120" t="str">
        <f t="shared" si="35"/>
        <v>#REF!</v>
      </c>
      <c r="K43" s="134"/>
      <c r="L43" s="134"/>
      <c r="M43" s="134"/>
      <c r="N43" s="135"/>
      <c r="O43" s="62"/>
      <c r="P43" s="62"/>
      <c r="Q43" s="62"/>
      <c r="R43" s="62"/>
    </row>
    <row r="44" ht="14.25" customHeight="1">
      <c r="A44" s="128" t="str">
        <f t="shared" ref="A44:D44" si="36">#REF!</f>
        <v>#REF!</v>
      </c>
      <c r="B44" s="128" t="str">
        <f t="shared" si="36"/>
        <v>#REF!</v>
      </c>
      <c r="C44" s="128" t="str">
        <f t="shared" si="36"/>
        <v>#REF!</v>
      </c>
      <c r="D44" s="128" t="str">
        <f t="shared" si="36"/>
        <v>#REF!</v>
      </c>
      <c r="E44" s="120" t="str">
        <f t="shared" ref="E44:J44" si="37">E24-#REF!</f>
        <v>#REF!</v>
      </c>
      <c r="F44" s="120" t="str">
        <f t="shared" si="37"/>
        <v>#REF!</v>
      </c>
      <c r="G44" s="120" t="str">
        <f t="shared" si="37"/>
        <v>#REF!</v>
      </c>
      <c r="H44" s="120" t="str">
        <f t="shared" si="37"/>
        <v>#REF!</v>
      </c>
      <c r="I44" s="120" t="str">
        <f t="shared" si="37"/>
        <v>#REF!</v>
      </c>
      <c r="J44" s="120" t="str">
        <f t="shared" si="37"/>
        <v>#REF!</v>
      </c>
      <c r="K44" s="134"/>
      <c r="L44" s="134"/>
      <c r="M44" s="134"/>
      <c r="N44" s="135"/>
      <c r="O44" s="62"/>
      <c r="P44" s="62"/>
      <c r="Q44" s="62"/>
      <c r="R44" s="62"/>
    </row>
    <row r="45" ht="14.25" customHeight="1">
      <c r="A45" s="128" t="str">
        <f t="shared" ref="A45:D45" si="38">#REF!</f>
        <v>#REF!</v>
      </c>
      <c r="B45" s="128" t="str">
        <f t="shared" si="38"/>
        <v>#REF!</v>
      </c>
      <c r="C45" s="128" t="str">
        <f t="shared" si="38"/>
        <v>#REF!</v>
      </c>
      <c r="D45" s="128" t="str">
        <f t="shared" si="38"/>
        <v>#REF!</v>
      </c>
      <c r="E45" s="120" t="str">
        <f t="shared" ref="E45:J45" si="39">E25-#REF!</f>
        <v>#REF!</v>
      </c>
      <c r="F45" s="120" t="str">
        <f t="shared" si="39"/>
        <v>#REF!</v>
      </c>
      <c r="G45" s="120" t="str">
        <f t="shared" si="39"/>
        <v>#REF!</v>
      </c>
      <c r="H45" s="120" t="str">
        <f t="shared" si="39"/>
        <v>#REF!</v>
      </c>
      <c r="I45" s="120" t="str">
        <f t="shared" si="39"/>
        <v>#REF!</v>
      </c>
      <c r="J45" s="120" t="str">
        <f t="shared" si="39"/>
        <v>#REF!</v>
      </c>
      <c r="K45" s="134"/>
      <c r="L45" s="134"/>
      <c r="M45" s="134"/>
      <c r="N45" s="135"/>
      <c r="O45" s="62"/>
      <c r="P45" s="62"/>
      <c r="Q45" s="62"/>
      <c r="R45" s="62"/>
    </row>
    <row r="46" ht="14.25" customHeight="1">
      <c r="A46" s="146" t="str">
        <f t="shared" ref="A46:D46" si="40">#REF!</f>
        <v>#REF!</v>
      </c>
      <c r="B46" s="146" t="str">
        <f t="shared" si="40"/>
        <v>#REF!</v>
      </c>
      <c r="C46" s="146" t="str">
        <f t="shared" si="40"/>
        <v>#REF!</v>
      </c>
      <c r="D46" s="146" t="str">
        <f t="shared" si="40"/>
        <v>#REF!</v>
      </c>
      <c r="E46" s="147" t="str">
        <f t="shared" ref="E46:J46" si="41">E27-#REF!</f>
        <v>#REF!</v>
      </c>
      <c r="F46" s="147" t="str">
        <f t="shared" si="41"/>
        <v>#REF!</v>
      </c>
      <c r="G46" s="147" t="str">
        <f t="shared" si="41"/>
        <v>#REF!</v>
      </c>
      <c r="H46" s="147" t="str">
        <f t="shared" si="41"/>
        <v>#REF!</v>
      </c>
      <c r="I46" s="147" t="str">
        <f t="shared" si="41"/>
        <v>#REF!</v>
      </c>
      <c r="J46" s="147" t="str">
        <f t="shared" si="41"/>
        <v>#REF!</v>
      </c>
      <c r="K46" s="141"/>
      <c r="L46" s="141"/>
      <c r="M46" s="141"/>
      <c r="N46" s="142"/>
      <c r="O46" s="141"/>
      <c r="P46" s="141"/>
      <c r="Q46" s="141"/>
      <c r="R46" s="141"/>
    </row>
    <row r="47" ht="14.25" customHeight="1">
      <c r="A47" s="148" t="s">
        <v>317</v>
      </c>
      <c r="B47" s="41"/>
      <c r="C47" s="41"/>
      <c r="D47" s="41"/>
      <c r="E47" s="145" t="str">
        <f t="shared" ref="E47:J47" si="42">SUM(E36:E46)</f>
        <v>#REF!</v>
      </c>
      <c r="F47" s="145" t="str">
        <f t="shared" si="42"/>
        <v>#REF!</v>
      </c>
      <c r="G47" s="145" t="str">
        <f t="shared" si="42"/>
        <v>#REF!</v>
      </c>
      <c r="H47" s="145" t="str">
        <f t="shared" si="42"/>
        <v>#REF!</v>
      </c>
      <c r="I47" s="145" t="str">
        <f t="shared" si="42"/>
        <v>#REF!</v>
      </c>
      <c r="J47" s="145" t="str">
        <f t="shared" si="42"/>
        <v>#REF!</v>
      </c>
      <c r="K47" s="144"/>
      <c r="L47" s="144"/>
      <c r="M47" s="144"/>
      <c r="N47" s="144"/>
      <c r="O47" s="144"/>
      <c r="P47" s="144"/>
      <c r="Q47" s="144"/>
      <c r="R47" s="149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4.25" customHeight="1"/>
    <row r="51" ht="14.25" customHeight="1"/>
    <row r="52" ht="13.5" customHeight="1">
      <c r="A52" s="83"/>
      <c r="B52" s="83"/>
      <c r="C52" s="83"/>
    </row>
    <row r="53" ht="15.0" customHeight="1">
      <c r="A53" s="83"/>
      <c r="B53" s="83"/>
      <c r="C53" s="8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>
      <c r="A66" s="150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>
      <c r="A81" s="151"/>
      <c r="B81" s="151"/>
      <c r="C81" s="152" t="s">
        <v>318</v>
      </c>
    </row>
    <row r="82" ht="14.25" customHeight="1">
      <c r="A82" s="151"/>
      <c r="B82" s="151"/>
      <c r="C82" s="151" t="n">
        <v>1.0</v>
      </c>
    </row>
    <row r="83" ht="14.25" customHeight="1">
      <c r="A83" s="151"/>
      <c r="B83" s="151"/>
      <c r="C83" s="151" t="n">
        <v>2.0</v>
      </c>
    </row>
    <row r="84" ht="14.25" customHeight="1">
      <c r="A84" s="151"/>
      <c r="B84" s="151"/>
      <c r="C84" s="151" t="n">
        <v>3.0</v>
      </c>
    </row>
    <row r="85" ht="14.25" customHeight="1">
      <c r="A85" s="151"/>
      <c r="B85" s="151"/>
      <c r="C85" s="151" t="n">
        <v>4.0</v>
      </c>
    </row>
    <row r="86" ht="14.25" customHeight="1">
      <c r="A86" s="151"/>
      <c r="B86" s="151"/>
      <c r="C86" s="151" t="n">
        <v>5.0</v>
      </c>
    </row>
    <row r="87" ht="14.25" customHeight="1">
      <c r="A87" s="151"/>
      <c r="B87" s="151"/>
      <c r="C87" s="151" t="n">
        <v>6.0</v>
      </c>
    </row>
    <row r="88" ht="14.25" customHeight="1">
      <c r="A88" s="153"/>
      <c r="B88" s="154"/>
      <c r="C88" s="155"/>
    </row>
    <row r="89" ht="14.25" customHeight="1">
      <c r="C89" s="156"/>
    </row>
    <row r="90" ht="7.5" customHeight="1">
      <c r="C90" s="156"/>
    </row>
    <row r="91" ht="14.25" customHeight="1">
      <c r="A91" s="103"/>
      <c r="B91" s="103"/>
      <c r="C91" s="11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E3:R3"/>
    <mergeCell ref="A4:A5"/>
    <mergeCell ref="B4:B5"/>
    <mergeCell ref="C4:C5"/>
    <mergeCell ref="D4:D5"/>
    <mergeCell ref="E4:E5"/>
    <mergeCell ref="F4:F5"/>
    <mergeCell ref="O14:Q14"/>
    <mergeCell ref="R14:R15"/>
    <mergeCell ref="O4:Q4"/>
    <mergeCell ref="R4:R5"/>
    <mergeCell ref="E13:R13"/>
    <mergeCell ref="A14:A15"/>
    <mergeCell ref="B14:B15"/>
    <mergeCell ref="C14:C15"/>
    <mergeCell ref="D14:D15"/>
    <mergeCell ref="F34:F35"/>
    <mergeCell ref="G34:G35"/>
    <mergeCell ref="A47:D47"/>
    <mergeCell ref="A66:C67"/>
    <mergeCell ref="A88:C91"/>
    <mergeCell ref="H34:H35"/>
    <mergeCell ref="I34:I35"/>
    <mergeCell ref="J34:J35"/>
    <mergeCell ref="K34:L34"/>
    <mergeCell ref="M34:N34"/>
    <mergeCell ref="O34:Q34"/>
    <mergeCell ref="E14:E15"/>
    <mergeCell ref="F14:F15"/>
    <mergeCell ref="A28:D28"/>
    <mergeCell ref="E33:R33"/>
    <mergeCell ref="A34:A35"/>
    <mergeCell ref="B34:B35"/>
    <mergeCell ref="C34:C35"/>
    <mergeCell ref="R34:R35"/>
    <mergeCell ref="G4:G5"/>
    <mergeCell ref="H4:H5"/>
    <mergeCell ref="I4:I5"/>
    <mergeCell ref="J4:J5"/>
    <mergeCell ref="K4:L4"/>
    <mergeCell ref="M4:N4"/>
    <mergeCell ref="G14:G15"/>
    <mergeCell ref="H14:H15"/>
    <mergeCell ref="I14:I15"/>
    <mergeCell ref="J14:J15"/>
    <mergeCell ref="K14:L14"/>
    <mergeCell ref="M14:N14"/>
    <mergeCell ref="D34:D35"/>
    <mergeCell ref="E34:E35"/>
  </mergeCells>
  <conditionalFormatting sqref="E40:J46">
    <cfRule type="cellIs" dxfId="6" priority="1" operator="lessThan">
      <formula>0</formula>
    </cfRule>
    <cfRule type="cellIs" dxfId="6" priority="2" operator="lessThan">
      <formula>-5</formula>
    </cfRule>
    <cfRule type="cellIs" dxfId="6" priority="3" operator="lessThan">
      <formula>-5</formula>
    </cfRule>
  </conditionalFormatting>
  <conditionalFormatting sqref="E36:J39">
    <cfRule type="cellIs" dxfId="6" priority="4" operator="lessThan">
      <formula>0</formula>
    </cfRule>
    <cfRule type="cellIs" dxfId="6" priority="5" operator="lessThan">
      <formula>-5</formula>
    </cfRule>
    <cfRule type="cellIs" dxfId="6" priority="6" operator="lessThan">
      <formula>-5</formula>
    </cfRule>
  </conditionalFormatting>
  <dataValidations count="1">
    <dataValidation type="list" allowBlank="1" showErrorMessage="1" sqref="A6:B9">
      <formula1>#REF!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25.71" hidden="0" customWidth="1"/>
    <col min="2" max="2" width="25.71" hidden="0" customWidth="1"/>
    <col min="3" max="3" width="22.71" hidden="0" customWidth="1"/>
    <col min="4" max="4" width="12.29" hidden="0" customWidth="1"/>
    <col min="5" max="5" width="12.29" hidden="0" customWidth="1"/>
    <col min="6" max="6" width="11" hidden="0" customWidth="1"/>
    <col min="7" max="7" width="13" hidden="0" customWidth="1"/>
    <col min="8" max="8" width="9.43" hidden="0" customWidth="1"/>
    <col min="9" max="9" width="9.43" hidden="0" customWidth="1"/>
    <col min="10" max="10" width="9.43" hidden="0" customWidth="1"/>
    <col min="11" max="11" width="9.43" hidden="0" customWidth="1"/>
    <col min="12" max="12" width="9.43" hidden="0" customWidth="1"/>
    <col min="13" max="13" width="9.43" hidden="0" customWidth="1"/>
    <col min="14" max="14" width="9.43" hidden="0" customWidth="1"/>
    <col min="15" max="15" width="9.43" hidden="0" customWidth="1"/>
    <col min="16" max="16" width="9.43" hidden="0" customWidth="1"/>
    <col min="17" max="17" width="9.43" hidden="0" customWidth="1"/>
    <col min="18" max="18" width="9.43" hidden="0" customWidth="1"/>
    <col min="19" max="19" width="9.43" hidden="0" customWidth="1"/>
    <col min="20" max="20" width="11.43" hidden="0" customWidth="1"/>
    <col min="21" max="21" width="11.43" hidden="0" customWidth="1"/>
    <col min="22" max="22" width="11.43" hidden="0" customWidth="1"/>
    <col min="23" max="23" width="11.43" hidden="0" customWidth="1"/>
    <col min="24" max="24" width="11.43" hidden="0" customWidth="1"/>
    <col min="25" max="25" width="11.43" hidden="0" customWidth="1"/>
    <col min="26" max="26" width="11.43" hidden="0" customWidth="1"/>
    <col min="27" max="27" width="11.43" hidden="0" customWidth="1"/>
  </cols>
  <sheetData>
    <row r="1" ht="14.25" customHeight="1">
      <c r="A1" s="38" t="s">
        <v>103</v>
      </c>
      <c r="B1" s="157" t="str">
        <f>'Tabela 1 APS - Descr.'!B1</f>
        <v/>
      </c>
    </row>
    <row r="2" ht="14.25" customHeight="1"/>
    <row r="3" ht="14.25" customHeight="1">
      <c r="A3" s="158" t="s">
        <v>319</v>
      </c>
    </row>
    <row r="4" ht="14.25" customHeight="1">
      <c r="A4" s="159" t="s">
        <v>320</v>
      </c>
    </row>
    <row r="5" ht="14.25" customHeight="1"/>
    <row r="6" ht="18.0" customHeight="1">
      <c r="A6" s="160" t="s">
        <v>321</v>
      </c>
    </row>
    <row r="7" ht="18.0" customHeight="1">
      <c r="A7" s="160" t="s">
        <v>322</v>
      </c>
    </row>
    <row r="8" ht="14.25" customHeight="1">
      <c r="A8" s="158" t="s">
        <v>323</v>
      </c>
    </row>
    <row r="9" ht="14.25" customHeight="1">
      <c r="A9" s="158" t="s">
        <v>324</v>
      </c>
    </row>
    <row r="10" ht="14.25" customHeight="1">
      <c r="A10" s="158" t="s">
        <v>325</v>
      </c>
    </row>
    <row r="11" ht="14.25" customHeight="1"/>
    <row r="12" ht="14.25" customHeight="1">
      <c r="A12" s="101" t="s">
        <v>326</v>
      </c>
    </row>
    <row r="13" ht="14.25" customHeight="1">
      <c r="G13" s="106" t="s">
        <v>327</v>
      </c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2"/>
      <c r="U13" s="162"/>
      <c r="V13" s="162"/>
      <c r="W13" s="162"/>
      <c r="X13" s="162"/>
      <c r="Y13" s="162"/>
      <c r="Z13" s="162"/>
      <c r="AA13" s="162"/>
    </row>
    <row r="14" ht="43.5" customHeight="1">
      <c r="A14" s="112" t="s">
        <v>1</v>
      </c>
      <c r="B14" s="112" t="s">
        <v>241</v>
      </c>
      <c r="C14" s="112" t="s">
        <v>259</v>
      </c>
      <c r="D14" s="112" t="s">
        <v>120</v>
      </c>
      <c r="E14" s="112" t="s">
        <v>205</v>
      </c>
      <c r="F14" s="112" t="s">
        <v>328</v>
      </c>
      <c r="G14" s="163" t="s">
        <v>329</v>
      </c>
      <c r="H14" s="164" t="s">
        <v>304</v>
      </c>
      <c r="J14" s="156"/>
      <c r="K14" s="164" t="s">
        <v>330</v>
      </c>
      <c r="M14" s="156"/>
      <c r="N14" s="164" t="s">
        <v>267</v>
      </c>
      <c r="P14" s="156"/>
      <c r="Q14" s="164" t="s">
        <v>268</v>
      </c>
      <c r="S14" s="156"/>
      <c r="T14" s="85" t="s">
        <v>306</v>
      </c>
      <c r="U14" s="165"/>
      <c r="V14" s="85" t="s">
        <v>307</v>
      </c>
      <c r="W14" s="165"/>
      <c r="X14" s="85" t="s">
        <v>308</v>
      </c>
      <c r="Y14" s="166"/>
      <c r="Z14" s="165"/>
      <c r="AA14" s="118" t="s">
        <v>276</v>
      </c>
    </row>
    <row r="15" ht="43.5" customHeight="1">
      <c r="A15" s="167"/>
      <c r="B15" s="167"/>
      <c r="C15" s="167"/>
      <c r="D15" s="167"/>
      <c r="E15" s="167"/>
      <c r="F15" s="167"/>
      <c r="G15" s="168"/>
      <c r="H15" s="169"/>
      <c r="I15" s="103"/>
      <c r="J15" s="116"/>
      <c r="K15" s="169"/>
      <c r="L15" s="103"/>
      <c r="M15" s="116"/>
      <c r="N15" s="169"/>
      <c r="O15" s="103"/>
      <c r="P15" s="116"/>
      <c r="Q15" s="169"/>
      <c r="R15" s="103"/>
      <c r="S15" s="116"/>
      <c r="T15" s="118" t="s">
        <v>309</v>
      </c>
      <c r="U15" s="118" t="s">
        <v>310</v>
      </c>
      <c r="V15" s="118" t="s">
        <v>309</v>
      </c>
      <c r="W15" s="118" t="s">
        <v>310</v>
      </c>
      <c r="X15" s="118" t="s">
        <v>311</v>
      </c>
      <c r="Y15" s="118" t="s">
        <v>312</v>
      </c>
      <c r="Z15" s="118" t="s">
        <v>331</v>
      </c>
      <c r="AA15" s="118"/>
    </row>
    <row r="16" ht="14.25" customHeight="1">
      <c r="A16" s="117"/>
      <c r="B16" s="117"/>
      <c r="C16" s="117"/>
      <c r="D16" s="117"/>
      <c r="E16" s="117"/>
      <c r="F16" s="117"/>
      <c r="G16" s="170" t="s">
        <v>4</v>
      </c>
      <c r="H16" s="171" t="s">
        <v>332</v>
      </c>
      <c r="I16" s="118" t="s">
        <v>333</v>
      </c>
      <c r="J16" s="118" t="s">
        <v>334</v>
      </c>
      <c r="K16" s="171" t="s">
        <v>332</v>
      </c>
      <c r="L16" s="118" t="s">
        <v>333</v>
      </c>
      <c r="M16" s="118" t="s">
        <v>334</v>
      </c>
      <c r="N16" s="171" t="s">
        <v>335</v>
      </c>
      <c r="O16" s="118" t="s">
        <v>333</v>
      </c>
      <c r="P16" s="118" t="s">
        <v>334</v>
      </c>
      <c r="Q16" s="171" t="s">
        <v>335</v>
      </c>
      <c r="R16" s="118" t="s">
        <v>333</v>
      </c>
      <c r="S16" s="118" t="s">
        <v>334</v>
      </c>
      <c r="T16" s="171" t="s">
        <v>3</v>
      </c>
      <c r="U16" s="171" t="s">
        <v>3</v>
      </c>
      <c r="V16" s="171" t="s">
        <v>3</v>
      </c>
      <c r="W16" s="171" t="s">
        <v>3</v>
      </c>
      <c r="X16" s="171" t="s">
        <v>3</v>
      </c>
      <c r="Y16" s="171" t="s">
        <v>3</v>
      </c>
      <c r="Z16" s="171" t="s">
        <v>3</v>
      </c>
      <c r="AA16" s="171" t="s">
        <v>3</v>
      </c>
    </row>
    <row r="17" ht="14.25" customHeight="1">
      <c r="A17" s="60" t="s">
        <v>130</v>
      </c>
      <c r="B17" s="61" t="s">
        <v>131</v>
      </c>
      <c r="C17" s="172" t="s">
        <v>336</v>
      </c>
      <c r="D17" s="172" t="s">
        <v>337</v>
      </c>
      <c r="E17" s="173" t="s">
        <v>229</v>
      </c>
      <c r="F17" s="172" t="n">
        <v>1997.0</v>
      </c>
      <c r="G17" s="174" t="s">
        <v>211</v>
      </c>
      <c r="H17" s="175" t="n">
        <v>3.0</v>
      </c>
      <c r="I17" s="176" t="n">
        <v>5.0</v>
      </c>
      <c r="J17" s="177" t="n">
        <f t="shared" ref="J17:J29" si="1">SUM(H17:I17)</f>
        <v>8</v>
      </c>
      <c r="K17" s="175" t="n">
        <v>7.0</v>
      </c>
      <c r="L17" s="176"/>
      <c r="M17" s="177" t="n">
        <f t="shared" ref="M17:M29" si="2">SUM(K17:L17)</f>
        <v>7</v>
      </c>
      <c r="N17" s="175" t="n">
        <v>9.0</v>
      </c>
      <c r="O17" s="176"/>
      <c r="P17" s="177" t="n">
        <f t="shared" ref="P17:P29" si="3">SUM(N17:O17)</f>
        <v>9</v>
      </c>
      <c r="Q17" s="175" t="n">
        <v>3.0</v>
      </c>
      <c r="R17" s="176"/>
      <c r="S17" s="177" t="n">
        <f t="shared" ref="S17:S29" si="4">SUM(Q17:R17)</f>
        <v>3</v>
      </c>
      <c r="T17" s="176"/>
      <c r="U17" s="176"/>
      <c r="V17" s="176" t="s">
        <v>338</v>
      </c>
      <c r="W17" s="176"/>
      <c r="X17" s="176"/>
      <c r="Y17" s="176" t="s">
        <v>339</v>
      </c>
      <c r="Z17" s="176"/>
      <c r="AA17" s="176"/>
    </row>
    <row r="18" ht="14.25" customHeight="1">
      <c r="A18" s="60" t="s">
        <v>130</v>
      </c>
      <c r="B18" s="61" t="s">
        <v>234</v>
      </c>
      <c r="C18" s="172" t="s">
        <v>284</v>
      </c>
      <c r="D18" s="172" t="s">
        <v>340</v>
      </c>
      <c r="E18" s="173" t="s">
        <v>229</v>
      </c>
      <c r="F18" s="172" t="n">
        <v>83.0</v>
      </c>
      <c r="G18" s="174"/>
      <c r="H18" s="175"/>
      <c r="I18" s="176"/>
      <c r="J18" s="177" t="n">
        <f t="shared" si="1"/>
        <v>0</v>
      </c>
      <c r="K18" s="175"/>
      <c r="L18" s="176"/>
      <c r="M18" s="177" t="n">
        <f t="shared" si="2"/>
        <v>0</v>
      </c>
      <c r="N18" s="175"/>
      <c r="O18" s="176"/>
      <c r="P18" s="177" t="n">
        <f t="shared" si="3"/>
        <v>0</v>
      </c>
      <c r="Q18" s="175"/>
      <c r="R18" s="176"/>
      <c r="S18" s="177" t="n">
        <f t="shared" si="4"/>
        <v>0</v>
      </c>
      <c r="T18" s="176"/>
      <c r="U18" s="176"/>
      <c r="V18" s="176"/>
      <c r="W18" s="176"/>
      <c r="X18" s="176"/>
      <c r="Y18" s="176"/>
      <c r="Z18" s="176"/>
      <c r="AA18" s="176"/>
    </row>
    <row r="19" ht="45.0" customHeight="1">
      <c r="A19" s="60" t="s">
        <v>130</v>
      </c>
      <c r="B19" s="61" t="s">
        <v>234</v>
      </c>
      <c r="C19" s="172" t="s">
        <v>282</v>
      </c>
      <c r="D19" s="172" t="s">
        <v>341</v>
      </c>
      <c r="E19" s="173" t="s">
        <v>229</v>
      </c>
      <c r="F19" s="172" t="n">
        <v>229.0</v>
      </c>
      <c r="G19" s="174"/>
      <c r="H19" s="175"/>
      <c r="I19" s="176"/>
      <c r="J19" s="177" t="n">
        <f t="shared" si="1"/>
        <v>0</v>
      </c>
      <c r="K19" s="175"/>
      <c r="L19" s="176"/>
      <c r="M19" s="177" t="n">
        <f t="shared" si="2"/>
        <v>0</v>
      </c>
      <c r="N19" s="175"/>
      <c r="O19" s="176"/>
      <c r="P19" s="177" t="n">
        <f t="shared" si="3"/>
        <v>0</v>
      </c>
      <c r="Q19" s="175"/>
      <c r="R19" s="176"/>
      <c r="S19" s="177" t="n">
        <f t="shared" si="4"/>
        <v>0</v>
      </c>
      <c r="T19" s="176"/>
      <c r="U19" s="176"/>
      <c r="V19" s="176"/>
      <c r="W19" s="176"/>
      <c r="X19" s="176"/>
      <c r="Y19" s="176"/>
      <c r="Z19" s="176"/>
      <c r="AA19" s="176"/>
    </row>
    <row r="20" ht="45.0" customHeight="1">
      <c r="A20" s="60" t="s">
        <v>130</v>
      </c>
      <c r="B20" s="61" t="s">
        <v>234</v>
      </c>
      <c r="C20" s="172" t="s">
        <v>342</v>
      </c>
      <c r="D20" s="172" t="s">
        <v>343</v>
      </c>
      <c r="E20" s="173" t="s">
        <v>229</v>
      </c>
      <c r="F20" s="172" t="n">
        <v>51.0</v>
      </c>
      <c r="G20" s="174"/>
      <c r="H20" s="175"/>
      <c r="I20" s="176"/>
      <c r="J20" s="177" t="n">
        <f t="shared" si="1"/>
        <v>0</v>
      </c>
      <c r="K20" s="175"/>
      <c r="L20" s="176"/>
      <c r="M20" s="177" t="n">
        <f t="shared" si="2"/>
        <v>0</v>
      </c>
      <c r="N20" s="175"/>
      <c r="O20" s="176"/>
      <c r="P20" s="177" t="n">
        <f t="shared" si="3"/>
        <v>0</v>
      </c>
      <c r="Q20" s="175"/>
      <c r="R20" s="176"/>
      <c r="S20" s="177" t="n">
        <f t="shared" si="4"/>
        <v>0</v>
      </c>
      <c r="T20" s="176"/>
      <c r="U20" s="176"/>
      <c r="V20" s="176"/>
      <c r="W20" s="176"/>
      <c r="X20" s="176"/>
      <c r="Y20" s="176"/>
      <c r="Z20" s="176"/>
      <c r="AA20" s="176"/>
    </row>
    <row r="21" ht="45.0" customHeight="1">
      <c r="A21" s="60" t="s">
        <v>130</v>
      </c>
      <c r="B21" s="61" t="s">
        <v>234</v>
      </c>
      <c r="C21" s="172" t="s">
        <v>344</v>
      </c>
      <c r="D21" s="172" t="s">
        <v>345</v>
      </c>
      <c r="E21" s="173" t="s">
        <v>229</v>
      </c>
      <c r="F21" s="172" t="n">
        <v>475.0</v>
      </c>
      <c r="G21" s="174" t="s">
        <v>211</v>
      </c>
      <c r="H21" s="175"/>
      <c r="I21" s="176"/>
      <c r="J21" s="177" t="n">
        <f t="shared" si="1"/>
        <v>0</v>
      </c>
      <c r="K21" s="175"/>
      <c r="L21" s="176"/>
      <c r="M21" s="177" t="n">
        <f t="shared" si="2"/>
        <v>0</v>
      </c>
      <c r="N21" s="175"/>
      <c r="O21" s="176"/>
      <c r="P21" s="177" t="n">
        <f t="shared" si="3"/>
        <v>0</v>
      </c>
      <c r="Q21" s="175"/>
      <c r="R21" s="176"/>
      <c r="S21" s="177" t="n">
        <f t="shared" si="4"/>
        <v>0</v>
      </c>
      <c r="T21" s="176"/>
      <c r="U21" s="176"/>
      <c r="V21" s="176"/>
      <c r="W21" s="176"/>
      <c r="X21" s="176"/>
      <c r="Y21" s="176"/>
      <c r="Z21" s="176"/>
      <c r="AA21" s="176"/>
    </row>
    <row r="22" ht="45.0" customHeight="1">
      <c r="A22" s="60" t="s">
        <v>130</v>
      </c>
      <c r="B22" s="61" t="s">
        <v>234</v>
      </c>
      <c r="C22" s="172" t="s">
        <v>286</v>
      </c>
      <c r="D22" s="172" t="s">
        <v>287</v>
      </c>
      <c r="E22" s="173" t="s">
        <v>229</v>
      </c>
      <c r="F22" s="172" t="n">
        <v>62.0</v>
      </c>
      <c r="G22" s="174"/>
      <c r="H22" s="175"/>
      <c r="I22" s="176"/>
      <c r="J22" s="177" t="n">
        <f t="shared" si="1"/>
        <v>0</v>
      </c>
      <c r="K22" s="175"/>
      <c r="L22" s="176"/>
      <c r="M22" s="177" t="n">
        <f t="shared" si="2"/>
        <v>0</v>
      </c>
      <c r="N22" s="175"/>
      <c r="O22" s="176"/>
      <c r="P22" s="177" t="n">
        <f t="shared" si="3"/>
        <v>0</v>
      </c>
      <c r="Q22" s="175"/>
      <c r="R22" s="176"/>
      <c r="S22" s="177" t="n">
        <f t="shared" si="4"/>
        <v>0</v>
      </c>
      <c r="T22" s="176"/>
      <c r="U22" s="176"/>
      <c r="V22" s="176"/>
      <c r="W22" s="176"/>
      <c r="X22" s="176"/>
      <c r="Y22" s="176"/>
      <c r="Z22" s="176"/>
      <c r="AA22" s="176"/>
    </row>
    <row r="23" ht="45.0" customHeight="1">
      <c r="A23" s="60" t="s">
        <v>130</v>
      </c>
      <c r="B23" s="61" t="s">
        <v>149</v>
      </c>
      <c r="C23" s="172" t="s">
        <v>346</v>
      </c>
      <c r="D23" s="172" t="s">
        <v>347</v>
      </c>
      <c r="E23" s="173" t="s">
        <v>229</v>
      </c>
      <c r="F23" s="172" t="n">
        <v>1753.0</v>
      </c>
      <c r="G23" s="174" t="s">
        <v>211</v>
      </c>
      <c r="H23" s="175" t="n">
        <v>4.0</v>
      </c>
      <c r="I23" s="176" t="n">
        <v>5.0</v>
      </c>
      <c r="J23" s="177" t="n">
        <f t="shared" si="1"/>
        <v>9</v>
      </c>
      <c r="K23" s="175" t="n">
        <v>5.0</v>
      </c>
      <c r="L23" s="176" t="n">
        <v>1.0</v>
      </c>
      <c r="M23" s="177" t="n">
        <f t="shared" si="2"/>
        <v>6</v>
      </c>
      <c r="N23" s="175"/>
      <c r="O23" s="176" t="n">
        <v>6.0</v>
      </c>
      <c r="P23" s="177" t="n">
        <f t="shared" si="3"/>
        <v>6</v>
      </c>
      <c r="Q23" s="175"/>
      <c r="R23" s="176" t="n">
        <v>3.0</v>
      </c>
      <c r="S23" s="177" t="n">
        <f t="shared" si="4"/>
        <v>3</v>
      </c>
      <c r="T23" s="176"/>
      <c r="U23" s="176"/>
      <c r="V23" s="176"/>
      <c r="W23" s="176" t="s">
        <v>338</v>
      </c>
      <c r="X23" s="176" t="s">
        <v>338</v>
      </c>
      <c r="Y23" s="176"/>
      <c r="Z23" s="176"/>
      <c r="AA23" s="176" t="s">
        <v>339</v>
      </c>
    </row>
    <row r="24" ht="45.0" customHeight="1">
      <c r="A24" s="60" t="s">
        <v>130</v>
      </c>
      <c r="B24" s="61" t="s">
        <v>149</v>
      </c>
      <c r="C24" s="172" t="s">
        <v>288</v>
      </c>
      <c r="D24" s="172" t="s">
        <v>348</v>
      </c>
      <c r="E24" s="173" t="s">
        <v>229</v>
      </c>
      <c r="F24" s="172" t="n">
        <v>175.0</v>
      </c>
      <c r="G24" s="174"/>
      <c r="H24" s="175"/>
      <c r="I24" s="176"/>
      <c r="J24" s="177" t="n">
        <f t="shared" si="1"/>
        <v>0</v>
      </c>
      <c r="K24" s="175"/>
      <c r="L24" s="176"/>
      <c r="M24" s="177" t="n">
        <f t="shared" si="2"/>
        <v>0</v>
      </c>
      <c r="N24" s="175"/>
      <c r="O24" s="176"/>
      <c r="P24" s="177" t="n">
        <f t="shared" si="3"/>
        <v>0</v>
      </c>
      <c r="Q24" s="175"/>
      <c r="R24" s="176"/>
      <c r="S24" s="177" t="n">
        <f t="shared" si="4"/>
        <v>0</v>
      </c>
      <c r="T24" s="176"/>
      <c r="U24" s="176"/>
      <c r="V24" s="176"/>
      <c r="W24" s="176"/>
      <c r="X24" s="176"/>
      <c r="Y24" s="176"/>
      <c r="Z24" s="176"/>
      <c r="AA24" s="176"/>
    </row>
    <row r="25" ht="45.0" customHeight="1">
      <c r="A25" s="60" t="s">
        <v>130</v>
      </c>
      <c r="B25" s="61" t="s">
        <v>149</v>
      </c>
      <c r="C25" s="172" t="s">
        <v>295</v>
      </c>
      <c r="D25" s="172" t="s">
        <v>349</v>
      </c>
      <c r="E25" s="173" t="s">
        <v>229</v>
      </c>
      <c r="F25" s="172" t="n">
        <v>313.0</v>
      </c>
      <c r="G25" s="174" t="s">
        <v>211</v>
      </c>
      <c r="H25" s="175"/>
      <c r="I25" s="176"/>
      <c r="J25" s="177" t="n">
        <f t="shared" si="1"/>
        <v>0</v>
      </c>
      <c r="K25" s="175"/>
      <c r="L25" s="176"/>
      <c r="M25" s="177" t="n">
        <f t="shared" si="2"/>
        <v>0</v>
      </c>
      <c r="N25" s="175"/>
      <c r="O25" s="176"/>
      <c r="P25" s="177" t="n">
        <f t="shared" si="3"/>
        <v>0</v>
      </c>
      <c r="Q25" s="175"/>
      <c r="R25" s="176"/>
      <c r="S25" s="177" t="n">
        <f t="shared" si="4"/>
        <v>0</v>
      </c>
      <c r="T25" s="176"/>
      <c r="U25" s="176"/>
      <c r="V25" s="176"/>
      <c r="W25" s="176"/>
      <c r="X25" s="176"/>
      <c r="Y25" s="176"/>
      <c r="Z25" s="176"/>
      <c r="AA25" s="176"/>
    </row>
    <row r="26" ht="45.0" customHeight="1">
      <c r="A26" s="60" t="s">
        <v>130</v>
      </c>
      <c r="B26" s="61" t="s">
        <v>149</v>
      </c>
      <c r="C26" s="172" t="s">
        <v>350</v>
      </c>
      <c r="D26" s="172" t="s">
        <v>351</v>
      </c>
      <c r="E26" s="173" t="s">
        <v>229</v>
      </c>
      <c r="F26" s="172" t="n">
        <v>286.0</v>
      </c>
      <c r="G26" s="174"/>
      <c r="H26" s="175"/>
      <c r="I26" s="176"/>
      <c r="J26" s="177" t="n">
        <f t="shared" si="1"/>
        <v>0</v>
      </c>
      <c r="K26" s="175"/>
      <c r="L26" s="176"/>
      <c r="M26" s="177" t="n">
        <f t="shared" si="2"/>
        <v>0</v>
      </c>
      <c r="N26" s="175"/>
      <c r="O26" s="176"/>
      <c r="P26" s="177" t="n">
        <f t="shared" si="3"/>
        <v>0</v>
      </c>
      <c r="Q26" s="175"/>
      <c r="R26" s="176"/>
      <c r="S26" s="177" t="n">
        <f t="shared" si="4"/>
        <v>0</v>
      </c>
      <c r="T26" s="176"/>
      <c r="U26" s="176"/>
      <c r="V26" s="176"/>
      <c r="W26" s="176"/>
      <c r="X26" s="176"/>
      <c r="Y26" s="176"/>
      <c r="Z26" s="176"/>
      <c r="AA26" s="176"/>
    </row>
    <row r="27" ht="45.0" customHeight="1">
      <c r="A27" s="60" t="s">
        <v>130</v>
      </c>
      <c r="B27" s="61" t="s">
        <v>149</v>
      </c>
      <c r="C27" s="172" t="s">
        <v>293</v>
      </c>
      <c r="D27" s="172" t="s">
        <v>352</v>
      </c>
      <c r="E27" s="173" t="s">
        <v>229</v>
      </c>
      <c r="F27" s="172" t="n">
        <v>75.0</v>
      </c>
      <c r="G27" s="174"/>
      <c r="H27" s="175"/>
      <c r="I27" s="176"/>
      <c r="J27" s="177" t="n">
        <f t="shared" si="1"/>
        <v>0</v>
      </c>
      <c r="K27" s="175"/>
      <c r="L27" s="176"/>
      <c r="M27" s="177" t="n">
        <f t="shared" si="2"/>
        <v>0</v>
      </c>
      <c r="N27" s="175"/>
      <c r="O27" s="176"/>
      <c r="P27" s="177" t="n">
        <f t="shared" si="3"/>
        <v>0</v>
      </c>
      <c r="Q27" s="175"/>
      <c r="R27" s="176"/>
      <c r="S27" s="177" t="n">
        <f t="shared" si="4"/>
        <v>0</v>
      </c>
      <c r="T27" s="176"/>
      <c r="U27" s="176"/>
      <c r="V27" s="176"/>
      <c r="W27" s="176"/>
      <c r="X27" s="176"/>
      <c r="Y27" s="176"/>
      <c r="Z27" s="176"/>
      <c r="AA27" s="176"/>
    </row>
    <row r="28" ht="45.0" customHeight="1">
      <c r="A28" s="60" t="s">
        <v>130</v>
      </c>
      <c r="B28" s="61" t="s">
        <v>157</v>
      </c>
      <c r="C28" s="172" t="s">
        <v>353</v>
      </c>
      <c r="D28" s="172" t="s">
        <v>354</v>
      </c>
      <c r="E28" s="173" t="s">
        <v>229</v>
      </c>
      <c r="F28" s="172" t="n">
        <v>371.0</v>
      </c>
      <c r="G28" s="174" t="s">
        <v>211</v>
      </c>
      <c r="H28" s="175"/>
      <c r="I28" s="176"/>
      <c r="J28" s="177" t="n">
        <f t="shared" si="1"/>
        <v>0</v>
      </c>
      <c r="K28" s="175" t="n">
        <v>4.0</v>
      </c>
      <c r="L28" s="176"/>
      <c r="M28" s="177" t="n">
        <f t="shared" si="2"/>
        <v>4</v>
      </c>
      <c r="N28" s="175" t="n">
        <v>4.0</v>
      </c>
      <c r="O28" s="176"/>
      <c r="P28" s="177" t="n">
        <f t="shared" si="3"/>
        <v>4</v>
      </c>
      <c r="Q28" s="175" t="n">
        <v>1.0</v>
      </c>
      <c r="R28" s="176"/>
      <c r="S28" s="177" t="n">
        <f t="shared" si="4"/>
        <v>1</v>
      </c>
      <c r="T28" s="176"/>
      <c r="U28" s="176"/>
      <c r="V28" s="176"/>
      <c r="W28" s="176"/>
      <c r="X28" s="176"/>
      <c r="Y28" s="176"/>
      <c r="Z28" s="176"/>
      <c r="AA28" s="176"/>
    </row>
    <row r="29" ht="45.0" customHeight="1">
      <c r="A29" s="60" t="s">
        <v>130</v>
      </c>
      <c r="B29" s="61" t="s">
        <v>157</v>
      </c>
      <c r="C29" s="172" t="s">
        <v>355</v>
      </c>
      <c r="D29" s="172" t="s">
        <v>356</v>
      </c>
      <c r="E29" s="173" t="s">
        <v>300</v>
      </c>
      <c r="F29" s="172" t="n">
        <v>604.0</v>
      </c>
      <c r="G29" s="174" t="s">
        <v>211</v>
      </c>
      <c r="H29" s="175" t="n">
        <v>4.0</v>
      </c>
      <c r="I29" s="176" t="n">
        <v>1.0</v>
      </c>
      <c r="J29" s="177" t="n">
        <f t="shared" si="1"/>
        <v>5</v>
      </c>
      <c r="K29" s="175" t="n">
        <v>5.0</v>
      </c>
      <c r="L29" s="176"/>
      <c r="M29" s="177" t="n">
        <f t="shared" si="2"/>
        <v>5</v>
      </c>
      <c r="N29" s="175" t="n">
        <v>5.0</v>
      </c>
      <c r="O29" s="176"/>
      <c r="P29" s="177" t="n">
        <f t="shared" si="3"/>
        <v>5</v>
      </c>
      <c r="Q29" s="175" t="n">
        <v>3.0</v>
      </c>
      <c r="R29" s="176"/>
      <c r="S29" s="177" t="n">
        <f t="shared" si="4"/>
        <v>3</v>
      </c>
      <c r="T29" s="176"/>
      <c r="U29" s="176"/>
      <c r="V29" s="176"/>
      <c r="W29" s="176"/>
      <c r="X29" s="176" t="s">
        <v>339</v>
      </c>
      <c r="Y29" s="176"/>
      <c r="Z29" s="176"/>
      <c r="AA29" s="17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H3"/>
    <mergeCell ref="A4:H5"/>
    <mergeCell ref="A6:H6"/>
    <mergeCell ref="A7:H7"/>
    <mergeCell ref="A8:H8"/>
    <mergeCell ref="A9:H9"/>
    <mergeCell ref="A10:H10"/>
    <mergeCell ref="K14:M15"/>
    <mergeCell ref="N14:P15"/>
    <mergeCell ref="Q14:S15"/>
    <mergeCell ref="T14:U14"/>
    <mergeCell ref="V14:W14"/>
    <mergeCell ref="X14:Z14"/>
    <mergeCell ref="A14:A16"/>
    <mergeCell ref="B14:B16"/>
    <mergeCell ref="C14:C16"/>
    <mergeCell ref="D14:D16"/>
    <mergeCell ref="E14:E16"/>
    <mergeCell ref="F14:F16"/>
    <mergeCell ref="H14:J15"/>
  </mergeCells>
  <dataValidations count="1">
    <dataValidation type="list" allowBlank="1" showErrorMessage="1" sqref="A17:B29 G17:G29 T17:AA29">
      <formula1>#REF!</formula1>
    </dataValidation>
  </dataValidations>
  <pageMargins bottom="0.787401575" footer="0.0" header="0.0" left="0.511811024" right="0.511811024" top="0.7874015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2026-04-16T15:33:23Z</dcterms:created>
</coreProperties>
</file>